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dc0ba0609f8e1b/Documents/Finance/"/>
    </mc:Choice>
  </mc:AlternateContent>
  <xr:revisionPtr revIDLastSave="1" documentId="8_{857FD411-BF19-4A1C-BCF5-83C5AFBEBF45}" xr6:coauthVersionLast="47" xr6:coauthVersionMax="47" xr10:uidLastSave="{CDD57160-A5C5-4E93-981D-2F2BF7BFA94E}"/>
  <bookViews>
    <workbookView xWindow="-120" yWindow="-120" windowWidth="24240" windowHeight="13020" activeTab="1" xr2:uid="{60CAA305-2341-46D8-A60B-2009E32E4F4A}"/>
  </bookViews>
  <sheets>
    <sheet name="ReadMe" sheetId="10" r:id="rId1"/>
    <sheet name="ERPcalcINDIA" sheetId="2" r:id="rId2"/>
    <sheet name="RelativeVolatility" sheetId="3" r:id="rId3"/>
    <sheet name="Data&gt;" sheetId="5" r:id="rId4"/>
    <sheet name="CDS" sheetId="6" r:id="rId5"/>
    <sheet name="Ratings" sheetId="7" r:id="rId6"/>
    <sheet name="Spreads" sheetId="9" r:id="rId7"/>
  </sheets>
  <definedNames>
    <definedName name="_xlnm._FilterDatabase" localSheetId="2" hidden="1">RelativeVolatility!$F$17:$G$1235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2" l="1"/>
  <c r="C18" i="2"/>
  <c r="C7" i="2"/>
  <c r="C6" i="2"/>
  <c r="C16" i="2"/>
  <c r="C9" i="2"/>
  <c r="C12" i="2" s="1"/>
  <c r="D1266" i="3" l="1"/>
  <c r="D1265" i="3"/>
  <c r="D1264" i="3"/>
  <c r="D1263" i="3"/>
  <c r="D1262" i="3"/>
  <c r="D1261" i="3"/>
  <c r="D1260" i="3"/>
  <c r="D1259" i="3"/>
  <c r="D1258" i="3"/>
  <c r="D1257" i="3"/>
  <c r="D1256" i="3"/>
  <c r="D1255" i="3"/>
  <c r="D1254" i="3"/>
  <c r="D1253" i="3"/>
  <c r="D1252" i="3"/>
  <c r="D1251" i="3"/>
  <c r="D1250" i="3"/>
  <c r="D1249" i="3"/>
  <c r="D1248" i="3"/>
  <c r="D1247" i="3"/>
  <c r="D1246" i="3"/>
  <c r="D1245" i="3"/>
  <c r="D1244" i="3"/>
  <c r="D1243" i="3"/>
  <c r="D1242" i="3"/>
  <c r="D1241" i="3"/>
  <c r="D1240" i="3"/>
  <c r="D1239" i="3"/>
  <c r="D1238" i="3"/>
  <c r="D1237" i="3"/>
  <c r="D1236" i="3"/>
  <c r="H1235" i="3"/>
  <c r="D1235" i="3"/>
  <c r="H1234" i="3"/>
  <c r="D1234" i="3"/>
  <c r="H1233" i="3"/>
  <c r="D1233" i="3"/>
  <c r="H1232" i="3"/>
  <c r="D1232" i="3"/>
  <c r="H1231" i="3"/>
  <c r="D1231" i="3"/>
  <c r="H1230" i="3"/>
  <c r="D1230" i="3"/>
  <c r="H1229" i="3"/>
  <c r="D1229" i="3"/>
  <c r="H1228" i="3"/>
  <c r="D1228" i="3"/>
  <c r="H1227" i="3"/>
  <c r="D1227" i="3"/>
  <c r="H1226" i="3"/>
  <c r="D1226" i="3"/>
  <c r="H1225" i="3"/>
  <c r="D1225" i="3"/>
  <c r="H1224" i="3"/>
  <c r="D1224" i="3"/>
  <c r="H1223" i="3"/>
  <c r="D1223" i="3"/>
  <c r="H1222" i="3"/>
  <c r="D1222" i="3"/>
  <c r="H1221" i="3"/>
  <c r="D1221" i="3"/>
  <c r="H1220" i="3"/>
  <c r="D1220" i="3"/>
  <c r="H1219" i="3"/>
  <c r="D1219" i="3"/>
  <c r="H1218" i="3"/>
  <c r="D1218" i="3"/>
  <c r="H1217" i="3"/>
  <c r="D1217" i="3"/>
  <c r="H1216" i="3"/>
  <c r="D1216" i="3"/>
  <c r="H1215" i="3"/>
  <c r="D1215" i="3"/>
  <c r="H1214" i="3"/>
  <c r="D1214" i="3"/>
  <c r="H1213" i="3"/>
  <c r="D1213" i="3"/>
  <c r="H1212" i="3"/>
  <c r="D1212" i="3"/>
  <c r="H1211" i="3"/>
  <c r="D1211" i="3"/>
  <c r="H1210" i="3"/>
  <c r="D1210" i="3"/>
  <c r="H1209" i="3"/>
  <c r="D1209" i="3"/>
  <c r="H1208" i="3"/>
  <c r="D1208" i="3"/>
  <c r="H1207" i="3"/>
  <c r="D1207" i="3"/>
  <c r="H1206" i="3"/>
  <c r="D1206" i="3"/>
  <c r="H1205" i="3"/>
  <c r="D1205" i="3"/>
  <c r="H1204" i="3"/>
  <c r="D1204" i="3"/>
  <c r="H1203" i="3"/>
  <c r="D1203" i="3"/>
  <c r="H1202" i="3"/>
  <c r="D1202" i="3"/>
  <c r="H1201" i="3"/>
  <c r="D1201" i="3"/>
  <c r="H1200" i="3"/>
  <c r="D1200" i="3"/>
  <c r="H1199" i="3"/>
  <c r="D1199" i="3"/>
  <c r="H1198" i="3"/>
  <c r="D1198" i="3"/>
  <c r="H1197" i="3"/>
  <c r="D1197" i="3"/>
  <c r="H1196" i="3"/>
  <c r="D1196" i="3"/>
  <c r="H1195" i="3"/>
  <c r="D1195" i="3"/>
  <c r="H1194" i="3"/>
  <c r="D1194" i="3"/>
  <c r="H1193" i="3"/>
  <c r="D1193" i="3"/>
  <c r="H1192" i="3"/>
  <c r="D1192" i="3"/>
  <c r="H1191" i="3"/>
  <c r="D1191" i="3"/>
  <c r="H1190" i="3"/>
  <c r="D1190" i="3"/>
  <c r="H1189" i="3"/>
  <c r="D1189" i="3"/>
  <c r="H1188" i="3"/>
  <c r="D1188" i="3"/>
  <c r="H1187" i="3"/>
  <c r="D1187" i="3"/>
  <c r="H1186" i="3"/>
  <c r="D1186" i="3"/>
  <c r="H1185" i="3"/>
  <c r="D1185" i="3"/>
  <c r="H1184" i="3"/>
  <c r="D1184" i="3"/>
  <c r="H1183" i="3"/>
  <c r="D1183" i="3"/>
  <c r="H1182" i="3"/>
  <c r="D1182" i="3"/>
  <c r="H1181" i="3"/>
  <c r="D1181" i="3"/>
  <c r="H1180" i="3"/>
  <c r="D1180" i="3"/>
  <c r="H1179" i="3"/>
  <c r="D1179" i="3"/>
  <c r="H1178" i="3"/>
  <c r="D1178" i="3"/>
  <c r="H1177" i="3"/>
  <c r="D1177" i="3"/>
  <c r="H1176" i="3"/>
  <c r="D1176" i="3"/>
  <c r="H1175" i="3"/>
  <c r="D1175" i="3"/>
  <c r="H1174" i="3"/>
  <c r="D1174" i="3"/>
  <c r="H1173" i="3"/>
  <c r="D1173" i="3"/>
  <c r="H1172" i="3"/>
  <c r="D1172" i="3"/>
  <c r="H1171" i="3"/>
  <c r="D1171" i="3"/>
  <c r="H1170" i="3"/>
  <c r="D1170" i="3"/>
  <c r="H1169" i="3"/>
  <c r="D1169" i="3"/>
  <c r="H1168" i="3"/>
  <c r="D1168" i="3"/>
  <c r="H1167" i="3"/>
  <c r="D1167" i="3"/>
  <c r="H1166" i="3"/>
  <c r="D1166" i="3"/>
  <c r="H1165" i="3"/>
  <c r="D1165" i="3"/>
  <c r="H1164" i="3"/>
  <c r="D1164" i="3"/>
  <c r="H1163" i="3"/>
  <c r="D1163" i="3"/>
  <c r="H1162" i="3"/>
  <c r="D1162" i="3"/>
  <c r="H1161" i="3"/>
  <c r="D1161" i="3"/>
  <c r="H1160" i="3"/>
  <c r="D1160" i="3"/>
  <c r="H1159" i="3"/>
  <c r="D1159" i="3"/>
  <c r="H1158" i="3"/>
  <c r="D1158" i="3"/>
  <c r="H1157" i="3"/>
  <c r="D1157" i="3"/>
  <c r="H1156" i="3"/>
  <c r="D1156" i="3"/>
  <c r="H1155" i="3"/>
  <c r="D1155" i="3"/>
  <c r="H1154" i="3"/>
  <c r="D1154" i="3"/>
  <c r="H1153" i="3"/>
  <c r="D1153" i="3"/>
  <c r="H1152" i="3"/>
  <c r="D1152" i="3"/>
  <c r="H1151" i="3"/>
  <c r="D1151" i="3"/>
  <c r="H1150" i="3"/>
  <c r="D1150" i="3"/>
  <c r="H1149" i="3"/>
  <c r="D1149" i="3"/>
  <c r="H1148" i="3"/>
  <c r="D1148" i="3"/>
  <c r="H1147" i="3"/>
  <c r="D1147" i="3"/>
  <c r="H1146" i="3"/>
  <c r="D1146" i="3"/>
  <c r="H1145" i="3"/>
  <c r="D1145" i="3"/>
  <c r="H1144" i="3"/>
  <c r="D1144" i="3"/>
  <c r="H1143" i="3"/>
  <c r="D1143" i="3"/>
  <c r="H1142" i="3"/>
  <c r="D1142" i="3"/>
  <c r="H1141" i="3"/>
  <c r="D1141" i="3"/>
  <c r="H1140" i="3"/>
  <c r="D1140" i="3"/>
  <c r="H1139" i="3"/>
  <c r="D1139" i="3"/>
  <c r="H1138" i="3"/>
  <c r="D1138" i="3"/>
  <c r="H1137" i="3"/>
  <c r="D1137" i="3"/>
  <c r="H1136" i="3"/>
  <c r="D1136" i="3"/>
  <c r="H1135" i="3"/>
  <c r="D1135" i="3"/>
  <c r="H1134" i="3"/>
  <c r="D1134" i="3"/>
  <c r="H1133" i="3"/>
  <c r="D1133" i="3"/>
  <c r="H1132" i="3"/>
  <c r="D1132" i="3"/>
  <c r="H1131" i="3"/>
  <c r="D1131" i="3"/>
  <c r="H1130" i="3"/>
  <c r="D1130" i="3"/>
  <c r="H1129" i="3"/>
  <c r="D1129" i="3"/>
  <c r="H1128" i="3"/>
  <c r="D1128" i="3"/>
  <c r="H1127" i="3"/>
  <c r="D1127" i="3"/>
  <c r="H1126" i="3"/>
  <c r="D1126" i="3"/>
  <c r="H1125" i="3"/>
  <c r="D1125" i="3"/>
  <c r="H1124" i="3"/>
  <c r="D1124" i="3"/>
  <c r="H1123" i="3"/>
  <c r="D1123" i="3"/>
  <c r="H1122" i="3"/>
  <c r="D1122" i="3"/>
  <c r="H1121" i="3"/>
  <c r="D1121" i="3"/>
  <c r="H1120" i="3"/>
  <c r="D1120" i="3"/>
  <c r="H1119" i="3"/>
  <c r="D1119" i="3"/>
  <c r="H1118" i="3"/>
  <c r="D1118" i="3"/>
  <c r="H1117" i="3"/>
  <c r="D1117" i="3"/>
  <c r="H1116" i="3"/>
  <c r="D1116" i="3"/>
  <c r="H1115" i="3"/>
  <c r="D1115" i="3"/>
  <c r="H1114" i="3"/>
  <c r="D1114" i="3"/>
  <c r="H1113" i="3"/>
  <c r="D1113" i="3"/>
  <c r="H1112" i="3"/>
  <c r="D1112" i="3"/>
  <c r="H1111" i="3"/>
  <c r="D1111" i="3"/>
  <c r="H1110" i="3"/>
  <c r="D1110" i="3"/>
  <c r="H1109" i="3"/>
  <c r="D1109" i="3"/>
  <c r="H1108" i="3"/>
  <c r="D1108" i="3"/>
  <c r="H1107" i="3"/>
  <c r="D1107" i="3"/>
  <c r="H1106" i="3"/>
  <c r="D1106" i="3"/>
  <c r="H1105" i="3"/>
  <c r="D1105" i="3"/>
  <c r="H1104" i="3"/>
  <c r="D1104" i="3"/>
  <c r="H1103" i="3"/>
  <c r="D1103" i="3"/>
  <c r="H1102" i="3"/>
  <c r="D1102" i="3"/>
  <c r="H1101" i="3"/>
  <c r="D1101" i="3"/>
  <c r="H1100" i="3"/>
  <c r="D1100" i="3"/>
  <c r="H1099" i="3"/>
  <c r="D1099" i="3"/>
  <c r="H1098" i="3"/>
  <c r="D1098" i="3"/>
  <c r="H1097" i="3"/>
  <c r="D1097" i="3"/>
  <c r="H1096" i="3"/>
  <c r="D1096" i="3"/>
  <c r="H1095" i="3"/>
  <c r="D1095" i="3"/>
  <c r="H1094" i="3"/>
  <c r="D1094" i="3"/>
  <c r="H1093" i="3"/>
  <c r="D1093" i="3"/>
  <c r="H1092" i="3"/>
  <c r="D1092" i="3"/>
  <c r="H1091" i="3"/>
  <c r="D1091" i="3"/>
  <c r="H1090" i="3"/>
  <c r="D1090" i="3"/>
  <c r="H1089" i="3"/>
  <c r="D1089" i="3"/>
  <c r="H1088" i="3"/>
  <c r="D1088" i="3"/>
  <c r="H1087" i="3"/>
  <c r="D1087" i="3"/>
  <c r="H1086" i="3"/>
  <c r="D1086" i="3"/>
  <c r="H1085" i="3"/>
  <c r="D1085" i="3"/>
  <c r="H1084" i="3"/>
  <c r="D1084" i="3"/>
  <c r="H1083" i="3"/>
  <c r="D1083" i="3"/>
  <c r="H1082" i="3"/>
  <c r="D1082" i="3"/>
  <c r="H1081" i="3"/>
  <c r="D1081" i="3"/>
  <c r="H1080" i="3"/>
  <c r="D1080" i="3"/>
  <c r="H1079" i="3"/>
  <c r="D1079" i="3"/>
  <c r="H1078" i="3"/>
  <c r="D1078" i="3"/>
  <c r="H1077" i="3"/>
  <c r="D1077" i="3"/>
  <c r="H1076" i="3"/>
  <c r="D1076" i="3"/>
  <c r="H1075" i="3"/>
  <c r="D1075" i="3"/>
  <c r="H1074" i="3"/>
  <c r="D1074" i="3"/>
  <c r="H1073" i="3"/>
  <c r="D1073" i="3"/>
  <c r="H1072" i="3"/>
  <c r="D1072" i="3"/>
  <c r="H1071" i="3"/>
  <c r="D1071" i="3"/>
  <c r="H1070" i="3"/>
  <c r="D1070" i="3"/>
  <c r="H1069" i="3"/>
  <c r="D1069" i="3"/>
  <c r="H1068" i="3"/>
  <c r="D1068" i="3"/>
  <c r="H1067" i="3"/>
  <c r="D1067" i="3"/>
  <c r="H1066" i="3"/>
  <c r="D1066" i="3"/>
  <c r="H1065" i="3"/>
  <c r="D1065" i="3"/>
  <c r="H1064" i="3"/>
  <c r="D1064" i="3"/>
  <c r="H1063" i="3"/>
  <c r="D1063" i="3"/>
  <c r="H1062" i="3"/>
  <c r="D1062" i="3"/>
  <c r="H1061" i="3"/>
  <c r="D1061" i="3"/>
  <c r="H1060" i="3"/>
  <c r="D1060" i="3"/>
  <c r="H1059" i="3"/>
  <c r="D1059" i="3"/>
  <c r="H1058" i="3"/>
  <c r="D1058" i="3"/>
  <c r="H1057" i="3"/>
  <c r="D1057" i="3"/>
  <c r="H1056" i="3"/>
  <c r="D1056" i="3"/>
  <c r="H1055" i="3"/>
  <c r="D1055" i="3"/>
  <c r="H1054" i="3"/>
  <c r="D1054" i="3"/>
  <c r="H1053" i="3"/>
  <c r="D1053" i="3"/>
  <c r="H1052" i="3"/>
  <c r="D1052" i="3"/>
  <c r="H1051" i="3"/>
  <c r="D1051" i="3"/>
  <c r="H1050" i="3"/>
  <c r="D1050" i="3"/>
  <c r="H1049" i="3"/>
  <c r="D1049" i="3"/>
  <c r="H1048" i="3"/>
  <c r="D1048" i="3"/>
  <c r="H1047" i="3"/>
  <c r="D1047" i="3"/>
  <c r="H1046" i="3"/>
  <c r="D1046" i="3"/>
  <c r="H1045" i="3"/>
  <c r="D1045" i="3"/>
  <c r="H1044" i="3"/>
  <c r="D1044" i="3"/>
  <c r="H1043" i="3"/>
  <c r="D1043" i="3"/>
  <c r="H1042" i="3"/>
  <c r="D1042" i="3"/>
  <c r="H1041" i="3"/>
  <c r="D1041" i="3"/>
  <c r="H1040" i="3"/>
  <c r="D1040" i="3"/>
  <c r="H1039" i="3"/>
  <c r="D1039" i="3"/>
  <c r="H1038" i="3"/>
  <c r="D1038" i="3"/>
  <c r="H1037" i="3"/>
  <c r="D1037" i="3"/>
  <c r="H1036" i="3"/>
  <c r="D1036" i="3"/>
  <c r="H1035" i="3"/>
  <c r="D1035" i="3"/>
  <c r="H1034" i="3"/>
  <c r="D1034" i="3"/>
  <c r="H1033" i="3"/>
  <c r="D1033" i="3"/>
  <c r="H1032" i="3"/>
  <c r="D1032" i="3"/>
  <c r="H1031" i="3"/>
  <c r="D1031" i="3"/>
  <c r="H1030" i="3"/>
  <c r="D1030" i="3"/>
  <c r="H1029" i="3"/>
  <c r="D1029" i="3"/>
  <c r="H1028" i="3"/>
  <c r="D1028" i="3"/>
  <c r="H1027" i="3"/>
  <c r="D1027" i="3"/>
  <c r="H1026" i="3"/>
  <c r="D1026" i="3"/>
  <c r="H1025" i="3"/>
  <c r="D1025" i="3"/>
  <c r="H1024" i="3"/>
  <c r="D1024" i="3"/>
  <c r="H1023" i="3"/>
  <c r="D1023" i="3"/>
  <c r="H1022" i="3"/>
  <c r="D1022" i="3"/>
  <c r="H1021" i="3"/>
  <c r="D1021" i="3"/>
  <c r="H1020" i="3"/>
  <c r="D1020" i="3"/>
  <c r="H1019" i="3"/>
  <c r="D1019" i="3"/>
  <c r="H1018" i="3"/>
  <c r="D1018" i="3"/>
  <c r="C10" i="3" s="1"/>
  <c r="H1017" i="3"/>
  <c r="H1016" i="3"/>
  <c r="D1016" i="3"/>
  <c r="H1015" i="3"/>
  <c r="D1015" i="3"/>
  <c r="H1014" i="3"/>
  <c r="D1014" i="3"/>
  <c r="H1013" i="3"/>
  <c r="D1013" i="3"/>
  <c r="H1012" i="3"/>
  <c r="D1012" i="3"/>
  <c r="H1011" i="3"/>
  <c r="D1011" i="3"/>
  <c r="H1010" i="3"/>
  <c r="D1010" i="3"/>
  <c r="H1009" i="3"/>
  <c r="D1009" i="3"/>
  <c r="H1008" i="3"/>
  <c r="D1008" i="3"/>
  <c r="H1007" i="3"/>
  <c r="D1007" i="3"/>
  <c r="H1006" i="3"/>
  <c r="D1006" i="3"/>
  <c r="H1005" i="3"/>
  <c r="D1005" i="3"/>
  <c r="H1004" i="3"/>
  <c r="D1004" i="3"/>
  <c r="H1003" i="3"/>
  <c r="D1003" i="3"/>
  <c r="H1002" i="3"/>
  <c r="D1002" i="3"/>
  <c r="H1001" i="3"/>
  <c r="D1001" i="3"/>
  <c r="H1000" i="3"/>
  <c r="D1000" i="3"/>
  <c r="H999" i="3"/>
  <c r="D999" i="3"/>
  <c r="H998" i="3"/>
  <c r="D998" i="3"/>
  <c r="H997" i="3"/>
  <c r="D997" i="3"/>
  <c r="H996" i="3"/>
  <c r="D10" i="3" s="1"/>
  <c r="D996" i="3"/>
  <c r="D995" i="3"/>
  <c r="H994" i="3"/>
  <c r="D994" i="3"/>
  <c r="H993" i="3"/>
  <c r="D993" i="3"/>
  <c r="H992" i="3"/>
  <c r="D992" i="3"/>
  <c r="H991" i="3"/>
  <c r="D991" i="3"/>
  <c r="H990" i="3"/>
  <c r="D990" i="3"/>
  <c r="H989" i="3"/>
  <c r="D989" i="3"/>
  <c r="H988" i="3"/>
  <c r="D988" i="3"/>
  <c r="H987" i="3"/>
  <c r="D987" i="3"/>
  <c r="H986" i="3"/>
  <c r="D986" i="3"/>
  <c r="H985" i="3"/>
  <c r="D985" i="3"/>
  <c r="H984" i="3"/>
  <c r="D984" i="3"/>
  <c r="H983" i="3"/>
  <c r="D983" i="3"/>
  <c r="H982" i="3"/>
  <c r="D982" i="3"/>
  <c r="H981" i="3"/>
  <c r="D981" i="3"/>
  <c r="H980" i="3"/>
  <c r="D980" i="3"/>
  <c r="H979" i="3"/>
  <c r="D979" i="3"/>
  <c r="H978" i="3"/>
  <c r="D978" i="3"/>
  <c r="H977" i="3"/>
  <c r="D977" i="3"/>
  <c r="H976" i="3"/>
  <c r="D976" i="3"/>
  <c r="H975" i="3"/>
  <c r="D975" i="3"/>
  <c r="H974" i="3"/>
  <c r="D974" i="3"/>
  <c r="H973" i="3"/>
  <c r="D973" i="3"/>
  <c r="H972" i="3"/>
  <c r="D972" i="3"/>
  <c r="H971" i="3"/>
  <c r="D971" i="3"/>
  <c r="H970" i="3"/>
  <c r="D970" i="3"/>
  <c r="H969" i="3"/>
  <c r="D969" i="3"/>
  <c r="H968" i="3"/>
  <c r="D968" i="3"/>
  <c r="H967" i="3"/>
  <c r="D967" i="3"/>
  <c r="H966" i="3"/>
  <c r="D966" i="3"/>
  <c r="H965" i="3"/>
  <c r="D965" i="3"/>
  <c r="H964" i="3"/>
  <c r="D964" i="3"/>
  <c r="H963" i="3"/>
  <c r="D963" i="3"/>
  <c r="H962" i="3"/>
  <c r="D962" i="3"/>
  <c r="H961" i="3"/>
  <c r="D961" i="3"/>
  <c r="H960" i="3"/>
  <c r="D960" i="3"/>
  <c r="H959" i="3"/>
  <c r="D959" i="3"/>
  <c r="H958" i="3"/>
  <c r="D958" i="3"/>
  <c r="H957" i="3"/>
  <c r="D957" i="3"/>
  <c r="H956" i="3"/>
  <c r="D956" i="3"/>
  <c r="H955" i="3"/>
  <c r="D955" i="3"/>
  <c r="H954" i="3"/>
  <c r="D954" i="3"/>
  <c r="H953" i="3"/>
  <c r="D953" i="3"/>
  <c r="H952" i="3"/>
  <c r="D952" i="3"/>
  <c r="H951" i="3"/>
  <c r="D951" i="3"/>
  <c r="H950" i="3"/>
  <c r="D950" i="3"/>
  <c r="H949" i="3"/>
  <c r="D949" i="3"/>
  <c r="H948" i="3"/>
  <c r="D948" i="3"/>
  <c r="H947" i="3"/>
  <c r="D947" i="3"/>
  <c r="H946" i="3"/>
  <c r="D946" i="3"/>
  <c r="H945" i="3"/>
  <c r="D945" i="3"/>
  <c r="H944" i="3"/>
  <c r="D944" i="3"/>
  <c r="H943" i="3"/>
  <c r="D943" i="3"/>
  <c r="H942" i="3"/>
  <c r="D942" i="3"/>
  <c r="H941" i="3"/>
  <c r="D941" i="3"/>
  <c r="H940" i="3"/>
  <c r="D940" i="3"/>
  <c r="H939" i="3"/>
  <c r="D939" i="3"/>
  <c r="H938" i="3"/>
  <c r="D938" i="3"/>
  <c r="H937" i="3"/>
  <c r="D937" i="3"/>
  <c r="H936" i="3"/>
  <c r="D936" i="3"/>
  <c r="H935" i="3"/>
  <c r="D935" i="3"/>
  <c r="H934" i="3"/>
  <c r="D934" i="3"/>
  <c r="H933" i="3"/>
  <c r="D933" i="3"/>
  <c r="H932" i="3"/>
  <c r="D932" i="3"/>
  <c r="H931" i="3"/>
  <c r="D931" i="3"/>
  <c r="H930" i="3"/>
  <c r="D930" i="3"/>
  <c r="H929" i="3"/>
  <c r="D929" i="3"/>
  <c r="H928" i="3"/>
  <c r="D928" i="3"/>
  <c r="H927" i="3"/>
  <c r="D927" i="3"/>
  <c r="H926" i="3"/>
  <c r="D926" i="3"/>
  <c r="H925" i="3"/>
  <c r="D925" i="3"/>
  <c r="H924" i="3"/>
  <c r="D924" i="3"/>
  <c r="H923" i="3"/>
  <c r="D923" i="3"/>
  <c r="H922" i="3"/>
  <c r="D922" i="3"/>
  <c r="H921" i="3"/>
  <c r="D921" i="3"/>
  <c r="H920" i="3"/>
  <c r="D920" i="3"/>
  <c r="H919" i="3"/>
  <c r="D919" i="3"/>
  <c r="H918" i="3"/>
  <c r="D918" i="3"/>
  <c r="H917" i="3"/>
  <c r="D917" i="3"/>
  <c r="H916" i="3"/>
  <c r="D916" i="3"/>
  <c r="H915" i="3"/>
  <c r="D915" i="3"/>
  <c r="H914" i="3"/>
  <c r="D914" i="3"/>
  <c r="H913" i="3"/>
  <c r="D913" i="3"/>
  <c r="H912" i="3"/>
  <c r="D912" i="3"/>
  <c r="H911" i="3"/>
  <c r="D911" i="3"/>
  <c r="H910" i="3"/>
  <c r="D910" i="3"/>
  <c r="H909" i="3"/>
  <c r="D909" i="3"/>
  <c r="H908" i="3"/>
  <c r="D908" i="3"/>
  <c r="H907" i="3"/>
  <c r="D907" i="3"/>
  <c r="H906" i="3"/>
  <c r="D906" i="3"/>
  <c r="H905" i="3"/>
  <c r="D905" i="3"/>
  <c r="H904" i="3"/>
  <c r="D904" i="3"/>
  <c r="H903" i="3"/>
  <c r="D903" i="3"/>
  <c r="H902" i="3"/>
  <c r="D902" i="3"/>
  <c r="H901" i="3"/>
  <c r="D901" i="3"/>
  <c r="H900" i="3"/>
  <c r="D900" i="3"/>
  <c r="H899" i="3"/>
  <c r="D899" i="3"/>
  <c r="H898" i="3"/>
  <c r="D898" i="3"/>
  <c r="H897" i="3"/>
  <c r="D897" i="3"/>
  <c r="H896" i="3"/>
  <c r="D896" i="3"/>
  <c r="H895" i="3"/>
  <c r="D895" i="3"/>
  <c r="H894" i="3"/>
  <c r="D894" i="3"/>
  <c r="H893" i="3"/>
  <c r="D893" i="3"/>
  <c r="H892" i="3"/>
  <c r="D892" i="3"/>
  <c r="H891" i="3"/>
  <c r="D891" i="3"/>
  <c r="H890" i="3"/>
  <c r="D890" i="3"/>
  <c r="H889" i="3"/>
  <c r="D889" i="3"/>
  <c r="H888" i="3"/>
  <c r="D888" i="3"/>
  <c r="H887" i="3"/>
  <c r="D887" i="3"/>
  <c r="H886" i="3"/>
  <c r="D886" i="3"/>
  <c r="H885" i="3"/>
  <c r="D885" i="3"/>
  <c r="H884" i="3"/>
  <c r="D884" i="3"/>
  <c r="H883" i="3"/>
  <c r="D883" i="3"/>
  <c r="H882" i="3"/>
  <c r="D882" i="3"/>
  <c r="H881" i="3"/>
  <c r="D881" i="3"/>
  <c r="H880" i="3"/>
  <c r="D880" i="3"/>
  <c r="H879" i="3"/>
  <c r="D879" i="3"/>
  <c r="H878" i="3"/>
  <c r="D878" i="3"/>
  <c r="H877" i="3"/>
  <c r="D877" i="3"/>
  <c r="H876" i="3"/>
  <c r="D876" i="3"/>
  <c r="H875" i="3"/>
  <c r="D875" i="3"/>
  <c r="H874" i="3"/>
  <c r="D874" i="3"/>
  <c r="H873" i="3"/>
  <c r="D873" i="3"/>
  <c r="H872" i="3"/>
  <c r="D872" i="3"/>
  <c r="H871" i="3"/>
  <c r="D871" i="3"/>
  <c r="H870" i="3"/>
  <c r="D870" i="3"/>
  <c r="H869" i="3"/>
  <c r="D869" i="3"/>
  <c r="H868" i="3"/>
  <c r="D868" i="3"/>
  <c r="H867" i="3"/>
  <c r="D867" i="3"/>
  <c r="H866" i="3"/>
  <c r="D866" i="3"/>
  <c r="H865" i="3"/>
  <c r="D865" i="3"/>
  <c r="H864" i="3"/>
  <c r="D864" i="3"/>
  <c r="H863" i="3"/>
  <c r="D863" i="3"/>
  <c r="H862" i="3"/>
  <c r="D862" i="3"/>
  <c r="H861" i="3"/>
  <c r="D861" i="3"/>
  <c r="H860" i="3"/>
  <c r="D860" i="3"/>
  <c r="H859" i="3"/>
  <c r="D859" i="3"/>
  <c r="H858" i="3"/>
  <c r="D858" i="3"/>
  <c r="H857" i="3"/>
  <c r="D857" i="3"/>
  <c r="H856" i="3"/>
  <c r="D856" i="3"/>
  <c r="H855" i="3"/>
  <c r="D855" i="3"/>
  <c r="H854" i="3"/>
  <c r="D854" i="3"/>
  <c r="H853" i="3"/>
  <c r="D853" i="3"/>
  <c r="H852" i="3"/>
  <c r="D852" i="3"/>
  <c r="H851" i="3"/>
  <c r="D851" i="3"/>
  <c r="H850" i="3"/>
  <c r="D850" i="3"/>
  <c r="H849" i="3"/>
  <c r="D849" i="3"/>
  <c r="H848" i="3"/>
  <c r="D848" i="3"/>
  <c r="H847" i="3"/>
  <c r="D847" i="3"/>
  <c r="H846" i="3"/>
  <c r="D846" i="3"/>
  <c r="H845" i="3"/>
  <c r="D845" i="3"/>
  <c r="H844" i="3"/>
  <c r="D844" i="3"/>
  <c r="H843" i="3"/>
  <c r="D843" i="3"/>
  <c r="H842" i="3"/>
  <c r="D842" i="3"/>
  <c r="H841" i="3"/>
  <c r="D841" i="3"/>
  <c r="H840" i="3"/>
  <c r="D840" i="3"/>
  <c r="H839" i="3"/>
  <c r="D839" i="3"/>
  <c r="H838" i="3"/>
  <c r="D838" i="3"/>
  <c r="H837" i="3"/>
  <c r="D837" i="3"/>
  <c r="H836" i="3"/>
  <c r="D836" i="3"/>
  <c r="H835" i="3"/>
  <c r="D835" i="3"/>
  <c r="H834" i="3"/>
  <c r="D834" i="3"/>
  <c r="H833" i="3"/>
  <c r="D833" i="3"/>
  <c r="H832" i="3"/>
  <c r="D832" i="3"/>
  <c r="H831" i="3"/>
  <c r="D831" i="3"/>
  <c r="H830" i="3"/>
  <c r="D830" i="3"/>
  <c r="H829" i="3"/>
  <c r="D829" i="3"/>
  <c r="H828" i="3"/>
  <c r="D828" i="3"/>
  <c r="H827" i="3"/>
  <c r="D827" i="3"/>
  <c r="H826" i="3"/>
  <c r="D826" i="3"/>
  <c r="H825" i="3"/>
  <c r="D825" i="3"/>
  <c r="H824" i="3"/>
  <c r="D824" i="3"/>
  <c r="H823" i="3"/>
  <c r="D823" i="3"/>
  <c r="H822" i="3"/>
  <c r="D822" i="3"/>
  <c r="H821" i="3"/>
  <c r="D821" i="3"/>
  <c r="H820" i="3"/>
  <c r="D820" i="3"/>
  <c r="H819" i="3"/>
  <c r="D819" i="3"/>
  <c r="H818" i="3"/>
  <c r="D818" i="3"/>
  <c r="H817" i="3"/>
  <c r="D817" i="3"/>
  <c r="H816" i="3"/>
  <c r="D816" i="3"/>
  <c r="H815" i="3"/>
  <c r="D815" i="3"/>
  <c r="H814" i="3"/>
  <c r="D814" i="3"/>
  <c r="H813" i="3"/>
  <c r="D813" i="3"/>
  <c r="H812" i="3"/>
  <c r="D812" i="3"/>
  <c r="H811" i="3"/>
  <c r="D811" i="3"/>
  <c r="H810" i="3"/>
  <c r="D810" i="3"/>
  <c r="H809" i="3"/>
  <c r="D809" i="3"/>
  <c r="H808" i="3"/>
  <c r="D808" i="3"/>
  <c r="H807" i="3"/>
  <c r="D807" i="3"/>
  <c r="H806" i="3"/>
  <c r="D806" i="3"/>
  <c r="H805" i="3"/>
  <c r="D805" i="3"/>
  <c r="H804" i="3"/>
  <c r="D804" i="3"/>
  <c r="H803" i="3"/>
  <c r="D803" i="3"/>
  <c r="H802" i="3"/>
  <c r="D802" i="3"/>
  <c r="H801" i="3"/>
  <c r="D801" i="3"/>
  <c r="H800" i="3"/>
  <c r="D800" i="3"/>
  <c r="H799" i="3"/>
  <c r="D799" i="3"/>
  <c r="H798" i="3"/>
  <c r="D798" i="3"/>
  <c r="H797" i="3"/>
  <c r="D797" i="3"/>
  <c r="H796" i="3"/>
  <c r="D796" i="3"/>
  <c r="H795" i="3"/>
  <c r="D795" i="3"/>
  <c r="H794" i="3"/>
  <c r="D794" i="3"/>
  <c r="H793" i="3"/>
  <c r="D793" i="3"/>
  <c r="H792" i="3"/>
  <c r="D792" i="3"/>
  <c r="H791" i="3"/>
  <c r="D791" i="3"/>
  <c r="H790" i="3"/>
  <c r="D790" i="3"/>
  <c r="H789" i="3"/>
  <c r="D789" i="3"/>
  <c r="H788" i="3"/>
  <c r="D788" i="3"/>
  <c r="H787" i="3"/>
  <c r="D787" i="3"/>
  <c r="H786" i="3"/>
  <c r="D786" i="3"/>
  <c r="H785" i="3"/>
  <c r="D785" i="3"/>
  <c r="H784" i="3"/>
  <c r="D784" i="3"/>
  <c r="H783" i="3"/>
  <c r="D783" i="3"/>
  <c r="H782" i="3"/>
  <c r="D782" i="3"/>
  <c r="H781" i="3"/>
  <c r="D781" i="3"/>
  <c r="H780" i="3"/>
  <c r="D780" i="3"/>
  <c r="H779" i="3"/>
  <c r="D779" i="3"/>
  <c r="H778" i="3"/>
  <c r="D778" i="3"/>
  <c r="H777" i="3"/>
  <c r="D777" i="3"/>
  <c r="H776" i="3"/>
  <c r="D776" i="3"/>
  <c r="H775" i="3"/>
  <c r="D775" i="3"/>
  <c r="H774" i="3"/>
  <c r="D774" i="3"/>
  <c r="H773" i="3"/>
  <c r="D773" i="3"/>
  <c r="H772" i="3"/>
  <c r="D772" i="3"/>
  <c r="H771" i="3"/>
  <c r="D771" i="3"/>
  <c r="C9" i="3" s="1"/>
  <c r="E9" i="3" s="1"/>
  <c r="H770" i="3"/>
  <c r="H769" i="3"/>
  <c r="D769" i="3"/>
  <c r="H768" i="3"/>
  <c r="D768" i="3"/>
  <c r="H767" i="3"/>
  <c r="D767" i="3"/>
  <c r="H766" i="3"/>
  <c r="D766" i="3"/>
  <c r="H765" i="3"/>
  <c r="D765" i="3"/>
  <c r="H764" i="3"/>
  <c r="D764" i="3"/>
  <c r="H763" i="3"/>
  <c r="D763" i="3"/>
  <c r="H762" i="3"/>
  <c r="D762" i="3"/>
  <c r="H761" i="3"/>
  <c r="D761" i="3"/>
  <c r="H760" i="3"/>
  <c r="D760" i="3"/>
  <c r="H759" i="3"/>
  <c r="D759" i="3"/>
  <c r="H758" i="3"/>
  <c r="D758" i="3"/>
  <c r="H757" i="3"/>
  <c r="D757" i="3"/>
  <c r="H756" i="3"/>
  <c r="D756" i="3"/>
  <c r="H755" i="3"/>
  <c r="D755" i="3"/>
  <c r="H754" i="3"/>
  <c r="D754" i="3"/>
  <c r="H753" i="3"/>
  <c r="D753" i="3"/>
  <c r="H752" i="3"/>
  <c r="D9" i="3" s="1"/>
  <c r="D752" i="3"/>
  <c r="D751" i="3"/>
  <c r="H750" i="3"/>
  <c r="D750" i="3"/>
  <c r="H749" i="3"/>
  <c r="D749" i="3"/>
  <c r="H748" i="3"/>
  <c r="D748" i="3"/>
  <c r="H747" i="3"/>
  <c r="D747" i="3"/>
  <c r="H746" i="3"/>
  <c r="D746" i="3"/>
  <c r="H745" i="3"/>
  <c r="D745" i="3"/>
  <c r="H744" i="3"/>
  <c r="D744" i="3"/>
  <c r="H743" i="3"/>
  <c r="D743" i="3"/>
  <c r="H742" i="3"/>
  <c r="D742" i="3"/>
  <c r="H741" i="3"/>
  <c r="D741" i="3"/>
  <c r="H740" i="3"/>
  <c r="D740" i="3"/>
  <c r="H739" i="3"/>
  <c r="D739" i="3"/>
  <c r="H738" i="3"/>
  <c r="D738" i="3"/>
  <c r="H737" i="3"/>
  <c r="D737" i="3"/>
  <c r="H736" i="3"/>
  <c r="D736" i="3"/>
  <c r="H735" i="3"/>
  <c r="D735" i="3"/>
  <c r="H734" i="3"/>
  <c r="D734" i="3"/>
  <c r="H733" i="3"/>
  <c r="D733" i="3"/>
  <c r="H732" i="3"/>
  <c r="D732" i="3"/>
  <c r="H731" i="3"/>
  <c r="D731" i="3"/>
  <c r="H730" i="3"/>
  <c r="D730" i="3"/>
  <c r="H729" i="3"/>
  <c r="D729" i="3"/>
  <c r="H728" i="3"/>
  <c r="D728" i="3"/>
  <c r="H727" i="3"/>
  <c r="D727" i="3"/>
  <c r="H726" i="3"/>
  <c r="D726" i="3"/>
  <c r="H725" i="3"/>
  <c r="D725" i="3"/>
  <c r="H724" i="3"/>
  <c r="D724" i="3"/>
  <c r="H723" i="3"/>
  <c r="D723" i="3"/>
  <c r="H722" i="3"/>
  <c r="D722" i="3"/>
  <c r="H721" i="3"/>
  <c r="D721" i="3"/>
  <c r="H720" i="3"/>
  <c r="D720" i="3"/>
  <c r="H719" i="3"/>
  <c r="D719" i="3"/>
  <c r="H718" i="3"/>
  <c r="D718" i="3"/>
  <c r="H717" i="3"/>
  <c r="D717" i="3"/>
  <c r="H716" i="3"/>
  <c r="D716" i="3"/>
  <c r="H715" i="3"/>
  <c r="D715" i="3"/>
  <c r="H714" i="3"/>
  <c r="D714" i="3"/>
  <c r="H713" i="3"/>
  <c r="D713" i="3"/>
  <c r="H712" i="3"/>
  <c r="D712" i="3"/>
  <c r="H711" i="3"/>
  <c r="D711" i="3"/>
  <c r="H710" i="3"/>
  <c r="D710" i="3"/>
  <c r="H709" i="3"/>
  <c r="D709" i="3"/>
  <c r="H708" i="3"/>
  <c r="D708" i="3"/>
  <c r="H707" i="3"/>
  <c r="D707" i="3"/>
  <c r="H706" i="3"/>
  <c r="D706" i="3"/>
  <c r="H705" i="3"/>
  <c r="D705" i="3"/>
  <c r="H704" i="3"/>
  <c r="D704" i="3"/>
  <c r="H703" i="3"/>
  <c r="D703" i="3"/>
  <c r="H702" i="3"/>
  <c r="D702" i="3"/>
  <c r="H701" i="3"/>
  <c r="D701" i="3"/>
  <c r="H700" i="3"/>
  <c r="D700" i="3"/>
  <c r="H699" i="3"/>
  <c r="D699" i="3"/>
  <c r="H698" i="3"/>
  <c r="D698" i="3"/>
  <c r="H697" i="3"/>
  <c r="D697" i="3"/>
  <c r="H696" i="3"/>
  <c r="D696" i="3"/>
  <c r="H695" i="3"/>
  <c r="D695" i="3"/>
  <c r="H694" i="3"/>
  <c r="D694" i="3"/>
  <c r="H693" i="3"/>
  <c r="D693" i="3"/>
  <c r="H692" i="3"/>
  <c r="D692" i="3"/>
  <c r="H691" i="3"/>
  <c r="D691" i="3"/>
  <c r="H690" i="3"/>
  <c r="D690" i="3"/>
  <c r="H689" i="3"/>
  <c r="D689" i="3"/>
  <c r="H688" i="3"/>
  <c r="D688" i="3"/>
  <c r="H687" i="3"/>
  <c r="D687" i="3"/>
  <c r="H686" i="3"/>
  <c r="D686" i="3"/>
  <c r="H685" i="3"/>
  <c r="D685" i="3"/>
  <c r="H684" i="3"/>
  <c r="D684" i="3"/>
  <c r="H683" i="3"/>
  <c r="D683" i="3"/>
  <c r="H682" i="3"/>
  <c r="D682" i="3"/>
  <c r="H681" i="3"/>
  <c r="D681" i="3"/>
  <c r="H680" i="3"/>
  <c r="D680" i="3"/>
  <c r="H679" i="3"/>
  <c r="D679" i="3"/>
  <c r="H678" i="3"/>
  <c r="D678" i="3"/>
  <c r="H677" i="3"/>
  <c r="D677" i="3"/>
  <c r="H676" i="3"/>
  <c r="D676" i="3"/>
  <c r="H675" i="3"/>
  <c r="D675" i="3"/>
  <c r="H674" i="3"/>
  <c r="D674" i="3"/>
  <c r="H673" i="3"/>
  <c r="D673" i="3"/>
  <c r="H672" i="3"/>
  <c r="D672" i="3"/>
  <c r="H671" i="3"/>
  <c r="D671" i="3"/>
  <c r="H670" i="3"/>
  <c r="D670" i="3"/>
  <c r="H669" i="3"/>
  <c r="D669" i="3"/>
  <c r="H668" i="3"/>
  <c r="D668" i="3"/>
  <c r="H667" i="3"/>
  <c r="D667" i="3"/>
  <c r="H666" i="3"/>
  <c r="D666" i="3"/>
  <c r="H665" i="3"/>
  <c r="D665" i="3"/>
  <c r="H664" i="3"/>
  <c r="D664" i="3"/>
  <c r="H663" i="3"/>
  <c r="D663" i="3"/>
  <c r="H662" i="3"/>
  <c r="D662" i="3"/>
  <c r="H661" i="3"/>
  <c r="D661" i="3"/>
  <c r="H660" i="3"/>
  <c r="D660" i="3"/>
  <c r="H659" i="3"/>
  <c r="D659" i="3"/>
  <c r="H658" i="3"/>
  <c r="D658" i="3"/>
  <c r="H657" i="3"/>
  <c r="D657" i="3"/>
  <c r="H656" i="3"/>
  <c r="D656" i="3"/>
  <c r="H655" i="3"/>
  <c r="D655" i="3"/>
  <c r="H654" i="3"/>
  <c r="D654" i="3"/>
  <c r="H653" i="3"/>
  <c r="D653" i="3"/>
  <c r="H652" i="3"/>
  <c r="D652" i="3"/>
  <c r="H651" i="3"/>
  <c r="D651" i="3"/>
  <c r="H650" i="3"/>
  <c r="D650" i="3"/>
  <c r="H649" i="3"/>
  <c r="D649" i="3"/>
  <c r="H648" i="3"/>
  <c r="D648" i="3"/>
  <c r="H647" i="3"/>
  <c r="D647" i="3"/>
  <c r="H646" i="3"/>
  <c r="D646" i="3"/>
  <c r="H645" i="3"/>
  <c r="D645" i="3"/>
  <c r="H644" i="3"/>
  <c r="D644" i="3"/>
  <c r="H643" i="3"/>
  <c r="D643" i="3"/>
  <c r="H642" i="3"/>
  <c r="D642" i="3"/>
  <c r="H641" i="3"/>
  <c r="D641" i="3"/>
  <c r="H640" i="3"/>
  <c r="D640" i="3"/>
  <c r="H639" i="3"/>
  <c r="D639" i="3"/>
  <c r="H638" i="3"/>
  <c r="D638" i="3"/>
  <c r="H637" i="3"/>
  <c r="D637" i="3"/>
  <c r="H636" i="3"/>
  <c r="D636" i="3"/>
  <c r="H635" i="3"/>
  <c r="D635" i="3"/>
  <c r="H634" i="3"/>
  <c r="D634" i="3"/>
  <c r="H633" i="3"/>
  <c r="D633" i="3"/>
  <c r="H632" i="3"/>
  <c r="D632" i="3"/>
  <c r="H631" i="3"/>
  <c r="D631" i="3"/>
  <c r="H630" i="3"/>
  <c r="D630" i="3"/>
  <c r="H629" i="3"/>
  <c r="D629" i="3"/>
  <c r="H628" i="3"/>
  <c r="D628" i="3"/>
  <c r="H627" i="3"/>
  <c r="D627" i="3"/>
  <c r="H626" i="3"/>
  <c r="D626" i="3"/>
  <c r="H625" i="3"/>
  <c r="D625" i="3"/>
  <c r="H624" i="3"/>
  <c r="D624" i="3"/>
  <c r="H623" i="3"/>
  <c r="D623" i="3"/>
  <c r="H622" i="3"/>
  <c r="D622" i="3"/>
  <c r="H621" i="3"/>
  <c r="D621" i="3"/>
  <c r="H620" i="3"/>
  <c r="D620" i="3"/>
  <c r="H619" i="3"/>
  <c r="D619" i="3"/>
  <c r="H618" i="3"/>
  <c r="D618" i="3"/>
  <c r="H617" i="3"/>
  <c r="D617" i="3"/>
  <c r="H616" i="3"/>
  <c r="D616" i="3"/>
  <c r="H615" i="3"/>
  <c r="D615" i="3"/>
  <c r="H614" i="3"/>
  <c r="D614" i="3"/>
  <c r="H613" i="3"/>
  <c r="D613" i="3"/>
  <c r="H612" i="3"/>
  <c r="D612" i="3"/>
  <c r="H611" i="3"/>
  <c r="D611" i="3"/>
  <c r="H610" i="3"/>
  <c r="D610" i="3"/>
  <c r="H609" i="3"/>
  <c r="D609" i="3"/>
  <c r="H608" i="3"/>
  <c r="D608" i="3"/>
  <c r="H607" i="3"/>
  <c r="D607" i="3"/>
  <c r="H606" i="3"/>
  <c r="D606" i="3"/>
  <c r="H605" i="3"/>
  <c r="D605" i="3"/>
  <c r="H604" i="3"/>
  <c r="D604" i="3"/>
  <c r="H603" i="3"/>
  <c r="D603" i="3"/>
  <c r="H602" i="3"/>
  <c r="D602" i="3"/>
  <c r="H601" i="3"/>
  <c r="D601" i="3"/>
  <c r="H600" i="3"/>
  <c r="D600" i="3"/>
  <c r="H599" i="3"/>
  <c r="D599" i="3"/>
  <c r="H598" i="3"/>
  <c r="D598" i="3"/>
  <c r="H597" i="3"/>
  <c r="D597" i="3"/>
  <c r="H596" i="3"/>
  <c r="D596" i="3"/>
  <c r="H595" i="3"/>
  <c r="D595" i="3"/>
  <c r="H594" i="3"/>
  <c r="D594" i="3"/>
  <c r="H593" i="3"/>
  <c r="D593" i="3"/>
  <c r="H592" i="3"/>
  <c r="D592" i="3"/>
  <c r="H591" i="3"/>
  <c r="D591" i="3"/>
  <c r="H590" i="3"/>
  <c r="D590" i="3"/>
  <c r="H589" i="3"/>
  <c r="D589" i="3"/>
  <c r="H588" i="3"/>
  <c r="D588" i="3"/>
  <c r="H587" i="3"/>
  <c r="D587" i="3"/>
  <c r="H586" i="3"/>
  <c r="D586" i="3"/>
  <c r="H585" i="3"/>
  <c r="D585" i="3"/>
  <c r="H584" i="3"/>
  <c r="D584" i="3"/>
  <c r="H583" i="3"/>
  <c r="D583" i="3"/>
  <c r="H582" i="3"/>
  <c r="D582" i="3"/>
  <c r="H581" i="3"/>
  <c r="D581" i="3"/>
  <c r="H580" i="3"/>
  <c r="D580" i="3"/>
  <c r="H579" i="3"/>
  <c r="D579" i="3"/>
  <c r="H578" i="3"/>
  <c r="D578" i="3"/>
  <c r="H577" i="3"/>
  <c r="D577" i="3"/>
  <c r="H576" i="3"/>
  <c r="D576" i="3"/>
  <c r="H575" i="3"/>
  <c r="D575" i="3"/>
  <c r="H574" i="3"/>
  <c r="D574" i="3"/>
  <c r="H573" i="3"/>
  <c r="D573" i="3"/>
  <c r="H572" i="3"/>
  <c r="D572" i="3"/>
  <c r="H571" i="3"/>
  <c r="D571" i="3"/>
  <c r="H570" i="3"/>
  <c r="D570" i="3"/>
  <c r="H569" i="3"/>
  <c r="D569" i="3"/>
  <c r="H568" i="3"/>
  <c r="D568" i="3"/>
  <c r="H567" i="3"/>
  <c r="D567" i="3"/>
  <c r="H566" i="3"/>
  <c r="D566" i="3"/>
  <c r="H565" i="3"/>
  <c r="D565" i="3"/>
  <c r="H564" i="3"/>
  <c r="D564" i="3"/>
  <c r="H563" i="3"/>
  <c r="D563" i="3"/>
  <c r="H562" i="3"/>
  <c r="D562" i="3"/>
  <c r="H561" i="3"/>
  <c r="D561" i="3"/>
  <c r="H560" i="3"/>
  <c r="D560" i="3"/>
  <c r="H559" i="3"/>
  <c r="D559" i="3"/>
  <c r="H558" i="3"/>
  <c r="D558" i="3"/>
  <c r="H557" i="3"/>
  <c r="D557" i="3"/>
  <c r="H556" i="3"/>
  <c r="D556" i="3"/>
  <c r="H555" i="3"/>
  <c r="D555" i="3"/>
  <c r="H554" i="3"/>
  <c r="D554" i="3"/>
  <c r="H553" i="3"/>
  <c r="D553" i="3"/>
  <c r="H552" i="3"/>
  <c r="D552" i="3"/>
  <c r="H551" i="3"/>
  <c r="D551" i="3"/>
  <c r="H550" i="3"/>
  <c r="D550" i="3"/>
  <c r="H549" i="3"/>
  <c r="D549" i="3"/>
  <c r="H548" i="3"/>
  <c r="D548" i="3"/>
  <c r="H547" i="3"/>
  <c r="D547" i="3"/>
  <c r="H546" i="3"/>
  <c r="D546" i="3"/>
  <c r="H545" i="3"/>
  <c r="D545" i="3"/>
  <c r="H544" i="3"/>
  <c r="D544" i="3"/>
  <c r="H543" i="3"/>
  <c r="D543" i="3"/>
  <c r="H542" i="3"/>
  <c r="D542" i="3"/>
  <c r="H541" i="3"/>
  <c r="D541" i="3"/>
  <c r="H540" i="3"/>
  <c r="D540" i="3"/>
  <c r="H539" i="3"/>
  <c r="D539" i="3"/>
  <c r="H538" i="3"/>
  <c r="D538" i="3"/>
  <c r="H537" i="3"/>
  <c r="D537" i="3"/>
  <c r="H536" i="3"/>
  <c r="D536" i="3"/>
  <c r="H535" i="3"/>
  <c r="D535" i="3"/>
  <c r="H534" i="3"/>
  <c r="D534" i="3"/>
  <c r="H533" i="3"/>
  <c r="D533" i="3"/>
  <c r="H532" i="3"/>
  <c r="D532" i="3"/>
  <c r="H531" i="3"/>
  <c r="D531" i="3"/>
  <c r="H530" i="3"/>
  <c r="D530" i="3"/>
  <c r="H529" i="3"/>
  <c r="D529" i="3"/>
  <c r="H528" i="3"/>
  <c r="D528" i="3"/>
  <c r="H527" i="3"/>
  <c r="D527" i="3"/>
  <c r="H526" i="3"/>
  <c r="D526" i="3"/>
  <c r="H525" i="3"/>
  <c r="D525" i="3"/>
  <c r="H524" i="3"/>
  <c r="D524" i="3"/>
  <c r="H523" i="3"/>
  <c r="D523" i="3"/>
  <c r="H522" i="3"/>
  <c r="D522" i="3"/>
  <c r="H521" i="3"/>
  <c r="H520" i="3"/>
  <c r="D520" i="3"/>
  <c r="H519" i="3"/>
  <c r="D519" i="3"/>
  <c r="H518" i="3"/>
  <c r="D518" i="3"/>
  <c r="H517" i="3"/>
  <c r="D517" i="3"/>
  <c r="H516" i="3"/>
  <c r="D516" i="3"/>
  <c r="H515" i="3"/>
  <c r="D515" i="3"/>
  <c r="H514" i="3"/>
  <c r="D514" i="3"/>
  <c r="H513" i="3"/>
  <c r="D513" i="3"/>
  <c r="H512" i="3"/>
  <c r="D512" i="3"/>
  <c r="H511" i="3"/>
  <c r="D511" i="3"/>
  <c r="H510" i="3"/>
  <c r="D510" i="3"/>
  <c r="H509" i="3"/>
  <c r="D509" i="3"/>
  <c r="H508" i="3"/>
  <c r="D508" i="3"/>
  <c r="D507" i="3"/>
  <c r="H506" i="3"/>
  <c r="D506" i="3"/>
  <c r="H505" i="3"/>
  <c r="D505" i="3"/>
  <c r="H504" i="3"/>
  <c r="D504" i="3"/>
  <c r="H503" i="3"/>
  <c r="D503" i="3"/>
  <c r="H502" i="3"/>
  <c r="D502" i="3"/>
  <c r="H501" i="3"/>
  <c r="D501" i="3"/>
  <c r="H500" i="3"/>
  <c r="D500" i="3"/>
  <c r="H499" i="3"/>
  <c r="D499" i="3"/>
  <c r="H498" i="3"/>
  <c r="D498" i="3"/>
  <c r="H497" i="3"/>
  <c r="D497" i="3"/>
  <c r="H496" i="3"/>
  <c r="D496" i="3"/>
  <c r="H495" i="3"/>
  <c r="D495" i="3"/>
  <c r="H494" i="3"/>
  <c r="D494" i="3"/>
  <c r="H493" i="3"/>
  <c r="D493" i="3"/>
  <c r="H492" i="3"/>
  <c r="D492" i="3"/>
  <c r="H491" i="3"/>
  <c r="D491" i="3"/>
  <c r="H490" i="3"/>
  <c r="D490" i="3"/>
  <c r="H489" i="3"/>
  <c r="D489" i="3"/>
  <c r="H488" i="3"/>
  <c r="D488" i="3"/>
  <c r="H487" i="3"/>
  <c r="D487" i="3"/>
  <c r="H486" i="3"/>
  <c r="D486" i="3"/>
  <c r="H485" i="3"/>
  <c r="D485" i="3"/>
  <c r="H484" i="3"/>
  <c r="D484" i="3"/>
  <c r="H483" i="3"/>
  <c r="D483" i="3"/>
  <c r="H482" i="3"/>
  <c r="D482" i="3"/>
  <c r="H481" i="3"/>
  <c r="D481" i="3"/>
  <c r="H480" i="3"/>
  <c r="D480" i="3"/>
  <c r="H479" i="3"/>
  <c r="D479" i="3"/>
  <c r="H478" i="3"/>
  <c r="D478" i="3"/>
  <c r="H477" i="3"/>
  <c r="D477" i="3"/>
  <c r="H476" i="3"/>
  <c r="D476" i="3"/>
  <c r="H475" i="3"/>
  <c r="D475" i="3"/>
  <c r="H474" i="3"/>
  <c r="D474" i="3"/>
  <c r="H473" i="3"/>
  <c r="D473" i="3"/>
  <c r="H472" i="3"/>
  <c r="D472" i="3"/>
  <c r="H471" i="3"/>
  <c r="D471" i="3"/>
  <c r="H470" i="3"/>
  <c r="D470" i="3"/>
  <c r="H469" i="3"/>
  <c r="D469" i="3"/>
  <c r="H468" i="3"/>
  <c r="D468" i="3"/>
  <c r="H467" i="3"/>
  <c r="D467" i="3"/>
  <c r="H466" i="3"/>
  <c r="D466" i="3"/>
  <c r="H465" i="3"/>
  <c r="D465" i="3"/>
  <c r="H464" i="3"/>
  <c r="D464" i="3"/>
  <c r="H463" i="3"/>
  <c r="D463" i="3"/>
  <c r="H462" i="3"/>
  <c r="D462" i="3"/>
  <c r="H461" i="3"/>
  <c r="D461" i="3"/>
  <c r="H460" i="3"/>
  <c r="D460" i="3"/>
  <c r="H459" i="3"/>
  <c r="D459" i="3"/>
  <c r="H458" i="3"/>
  <c r="D458" i="3"/>
  <c r="H457" i="3"/>
  <c r="D457" i="3"/>
  <c r="H456" i="3"/>
  <c r="D456" i="3"/>
  <c r="H455" i="3"/>
  <c r="D455" i="3"/>
  <c r="H454" i="3"/>
  <c r="D454" i="3"/>
  <c r="H453" i="3"/>
  <c r="D453" i="3"/>
  <c r="H452" i="3"/>
  <c r="D452" i="3"/>
  <c r="H451" i="3"/>
  <c r="D451" i="3"/>
  <c r="H450" i="3"/>
  <c r="D450" i="3"/>
  <c r="H449" i="3"/>
  <c r="D449" i="3"/>
  <c r="H448" i="3"/>
  <c r="D448" i="3"/>
  <c r="H447" i="3"/>
  <c r="D447" i="3"/>
  <c r="H446" i="3"/>
  <c r="D446" i="3"/>
  <c r="H445" i="3"/>
  <c r="D445" i="3"/>
  <c r="H444" i="3"/>
  <c r="D444" i="3"/>
  <c r="H443" i="3"/>
  <c r="D443" i="3"/>
  <c r="H442" i="3"/>
  <c r="D442" i="3"/>
  <c r="H441" i="3"/>
  <c r="D441" i="3"/>
  <c r="H440" i="3"/>
  <c r="D440" i="3"/>
  <c r="H439" i="3"/>
  <c r="D439" i="3"/>
  <c r="H438" i="3"/>
  <c r="D438" i="3"/>
  <c r="H437" i="3"/>
  <c r="D437" i="3"/>
  <c r="H436" i="3"/>
  <c r="D436" i="3"/>
  <c r="H435" i="3"/>
  <c r="D435" i="3"/>
  <c r="H434" i="3"/>
  <c r="D434" i="3"/>
  <c r="H433" i="3"/>
  <c r="D433" i="3"/>
  <c r="H432" i="3"/>
  <c r="D432" i="3"/>
  <c r="H431" i="3"/>
  <c r="D431" i="3"/>
  <c r="H430" i="3"/>
  <c r="D430" i="3"/>
  <c r="H429" i="3"/>
  <c r="D429" i="3"/>
  <c r="H428" i="3"/>
  <c r="D428" i="3"/>
  <c r="H427" i="3"/>
  <c r="D427" i="3"/>
  <c r="H426" i="3"/>
  <c r="D426" i="3"/>
  <c r="H425" i="3"/>
  <c r="D425" i="3"/>
  <c r="H424" i="3"/>
  <c r="D424" i="3"/>
  <c r="H423" i="3"/>
  <c r="D423" i="3"/>
  <c r="H422" i="3"/>
  <c r="D422" i="3"/>
  <c r="H421" i="3"/>
  <c r="D421" i="3"/>
  <c r="H420" i="3"/>
  <c r="D420" i="3"/>
  <c r="H419" i="3"/>
  <c r="D419" i="3"/>
  <c r="H418" i="3"/>
  <c r="D418" i="3"/>
  <c r="H417" i="3"/>
  <c r="D417" i="3"/>
  <c r="H416" i="3"/>
  <c r="D416" i="3"/>
  <c r="H415" i="3"/>
  <c r="D415" i="3"/>
  <c r="H414" i="3"/>
  <c r="D414" i="3"/>
  <c r="H413" i="3"/>
  <c r="D413" i="3"/>
  <c r="H412" i="3"/>
  <c r="D412" i="3"/>
  <c r="H411" i="3"/>
  <c r="D411" i="3"/>
  <c r="H410" i="3"/>
  <c r="D410" i="3"/>
  <c r="H409" i="3"/>
  <c r="D409" i="3"/>
  <c r="H408" i="3"/>
  <c r="D408" i="3"/>
  <c r="H407" i="3"/>
  <c r="D407" i="3"/>
  <c r="H406" i="3"/>
  <c r="D406" i="3"/>
  <c r="H405" i="3"/>
  <c r="D405" i="3"/>
  <c r="H404" i="3"/>
  <c r="D404" i="3"/>
  <c r="H403" i="3"/>
  <c r="D403" i="3"/>
  <c r="H402" i="3"/>
  <c r="D402" i="3"/>
  <c r="H401" i="3"/>
  <c r="D401" i="3"/>
  <c r="H400" i="3"/>
  <c r="D400" i="3"/>
  <c r="H399" i="3"/>
  <c r="D399" i="3"/>
  <c r="H398" i="3"/>
  <c r="D398" i="3"/>
  <c r="H397" i="3"/>
  <c r="D397" i="3"/>
  <c r="H396" i="3"/>
  <c r="D396" i="3"/>
  <c r="H395" i="3"/>
  <c r="D395" i="3"/>
  <c r="H394" i="3"/>
  <c r="D394" i="3"/>
  <c r="H393" i="3"/>
  <c r="D393" i="3"/>
  <c r="H392" i="3"/>
  <c r="D392" i="3"/>
  <c r="H391" i="3"/>
  <c r="D391" i="3"/>
  <c r="H390" i="3"/>
  <c r="D390" i="3"/>
  <c r="H389" i="3"/>
  <c r="D389" i="3"/>
  <c r="H388" i="3"/>
  <c r="D388" i="3"/>
  <c r="H387" i="3"/>
  <c r="D387" i="3"/>
  <c r="H386" i="3"/>
  <c r="D386" i="3"/>
  <c r="H385" i="3"/>
  <c r="D385" i="3"/>
  <c r="H384" i="3"/>
  <c r="D384" i="3"/>
  <c r="H383" i="3"/>
  <c r="D383" i="3"/>
  <c r="H382" i="3"/>
  <c r="D382" i="3"/>
  <c r="H381" i="3"/>
  <c r="D381" i="3"/>
  <c r="H380" i="3"/>
  <c r="D380" i="3"/>
  <c r="H379" i="3"/>
  <c r="D379" i="3"/>
  <c r="H378" i="3"/>
  <c r="D378" i="3"/>
  <c r="H377" i="3"/>
  <c r="D377" i="3"/>
  <c r="H376" i="3"/>
  <c r="D376" i="3"/>
  <c r="H375" i="3"/>
  <c r="D375" i="3"/>
  <c r="H374" i="3"/>
  <c r="D374" i="3"/>
  <c r="H373" i="3"/>
  <c r="D373" i="3"/>
  <c r="H372" i="3"/>
  <c r="D372" i="3"/>
  <c r="H371" i="3"/>
  <c r="D371" i="3"/>
  <c r="H370" i="3"/>
  <c r="D370" i="3"/>
  <c r="H369" i="3"/>
  <c r="D369" i="3"/>
  <c r="H368" i="3"/>
  <c r="D368" i="3"/>
  <c r="H367" i="3"/>
  <c r="D367" i="3"/>
  <c r="H366" i="3"/>
  <c r="D366" i="3"/>
  <c r="H365" i="3"/>
  <c r="D365" i="3"/>
  <c r="H364" i="3"/>
  <c r="D364" i="3"/>
  <c r="H363" i="3"/>
  <c r="D363" i="3"/>
  <c r="H362" i="3"/>
  <c r="D362" i="3"/>
  <c r="H361" i="3"/>
  <c r="D361" i="3"/>
  <c r="H360" i="3"/>
  <c r="D360" i="3"/>
  <c r="H359" i="3"/>
  <c r="D359" i="3"/>
  <c r="H358" i="3"/>
  <c r="D358" i="3"/>
  <c r="H357" i="3"/>
  <c r="D357" i="3"/>
  <c r="H356" i="3"/>
  <c r="D356" i="3"/>
  <c r="H355" i="3"/>
  <c r="D355" i="3"/>
  <c r="H354" i="3"/>
  <c r="D354" i="3"/>
  <c r="H353" i="3"/>
  <c r="D353" i="3"/>
  <c r="H352" i="3"/>
  <c r="D352" i="3"/>
  <c r="H351" i="3"/>
  <c r="D351" i="3"/>
  <c r="H350" i="3"/>
  <c r="D350" i="3"/>
  <c r="H349" i="3"/>
  <c r="D349" i="3"/>
  <c r="H348" i="3"/>
  <c r="D348" i="3"/>
  <c r="H347" i="3"/>
  <c r="D347" i="3"/>
  <c r="H346" i="3"/>
  <c r="D346" i="3"/>
  <c r="H345" i="3"/>
  <c r="D345" i="3"/>
  <c r="H344" i="3"/>
  <c r="D344" i="3"/>
  <c r="H343" i="3"/>
  <c r="D343" i="3"/>
  <c r="H342" i="3"/>
  <c r="D342" i="3"/>
  <c r="H341" i="3"/>
  <c r="D341" i="3"/>
  <c r="H340" i="3"/>
  <c r="D340" i="3"/>
  <c r="H339" i="3"/>
  <c r="D339" i="3"/>
  <c r="H338" i="3"/>
  <c r="D338" i="3"/>
  <c r="H337" i="3"/>
  <c r="D337" i="3"/>
  <c r="H336" i="3"/>
  <c r="D336" i="3"/>
  <c r="H335" i="3"/>
  <c r="D335" i="3"/>
  <c r="H334" i="3"/>
  <c r="D334" i="3"/>
  <c r="H333" i="3"/>
  <c r="D333" i="3"/>
  <c r="H332" i="3"/>
  <c r="D332" i="3"/>
  <c r="H331" i="3"/>
  <c r="D331" i="3"/>
  <c r="H330" i="3"/>
  <c r="D330" i="3"/>
  <c r="H329" i="3"/>
  <c r="D329" i="3"/>
  <c r="H328" i="3"/>
  <c r="D328" i="3"/>
  <c r="H327" i="3"/>
  <c r="D327" i="3"/>
  <c r="H326" i="3"/>
  <c r="D326" i="3"/>
  <c r="H325" i="3"/>
  <c r="D325" i="3"/>
  <c r="H324" i="3"/>
  <c r="D324" i="3"/>
  <c r="H323" i="3"/>
  <c r="D323" i="3"/>
  <c r="H322" i="3"/>
  <c r="D322" i="3"/>
  <c r="H321" i="3"/>
  <c r="D321" i="3"/>
  <c r="H320" i="3"/>
  <c r="D320" i="3"/>
  <c r="H319" i="3"/>
  <c r="D319" i="3"/>
  <c r="H318" i="3"/>
  <c r="D318" i="3"/>
  <c r="H317" i="3"/>
  <c r="D317" i="3"/>
  <c r="H316" i="3"/>
  <c r="D316" i="3"/>
  <c r="H315" i="3"/>
  <c r="D315" i="3"/>
  <c r="H314" i="3"/>
  <c r="D314" i="3"/>
  <c r="H313" i="3"/>
  <c r="D313" i="3"/>
  <c r="H312" i="3"/>
  <c r="D312" i="3"/>
  <c r="H311" i="3"/>
  <c r="D311" i="3"/>
  <c r="H310" i="3"/>
  <c r="D310" i="3"/>
  <c r="H309" i="3"/>
  <c r="D309" i="3"/>
  <c r="H308" i="3"/>
  <c r="D308" i="3"/>
  <c r="H307" i="3"/>
  <c r="D307" i="3"/>
  <c r="H306" i="3"/>
  <c r="D306" i="3"/>
  <c r="H305" i="3"/>
  <c r="D305" i="3"/>
  <c r="H304" i="3"/>
  <c r="D304" i="3"/>
  <c r="H303" i="3"/>
  <c r="D303" i="3"/>
  <c r="H302" i="3"/>
  <c r="D302" i="3"/>
  <c r="H301" i="3"/>
  <c r="D301" i="3"/>
  <c r="H300" i="3"/>
  <c r="D300" i="3"/>
  <c r="H299" i="3"/>
  <c r="D299" i="3"/>
  <c r="H298" i="3"/>
  <c r="D298" i="3"/>
  <c r="H297" i="3"/>
  <c r="D297" i="3"/>
  <c r="H296" i="3"/>
  <c r="D296" i="3"/>
  <c r="H295" i="3"/>
  <c r="D295" i="3"/>
  <c r="H294" i="3"/>
  <c r="D294" i="3"/>
  <c r="H293" i="3"/>
  <c r="D293" i="3"/>
  <c r="H292" i="3"/>
  <c r="D292" i="3"/>
  <c r="H291" i="3"/>
  <c r="D291" i="3"/>
  <c r="H290" i="3"/>
  <c r="D290" i="3"/>
  <c r="H289" i="3"/>
  <c r="D289" i="3"/>
  <c r="H288" i="3"/>
  <c r="D288" i="3"/>
  <c r="H287" i="3"/>
  <c r="D287" i="3"/>
  <c r="H286" i="3"/>
  <c r="D286" i="3"/>
  <c r="H285" i="3"/>
  <c r="D285" i="3"/>
  <c r="H284" i="3"/>
  <c r="D284" i="3"/>
  <c r="H283" i="3"/>
  <c r="D283" i="3"/>
  <c r="H282" i="3"/>
  <c r="D282" i="3"/>
  <c r="H281" i="3"/>
  <c r="D281" i="3"/>
  <c r="H280" i="3"/>
  <c r="D280" i="3"/>
  <c r="H279" i="3"/>
  <c r="D279" i="3"/>
  <c r="H278" i="3"/>
  <c r="D278" i="3"/>
  <c r="H277" i="3"/>
  <c r="D277" i="3"/>
  <c r="H276" i="3"/>
  <c r="D276" i="3"/>
  <c r="H275" i="3"/>
  <c r="D275" i="3"/>
  <c r="H274" i="3"/>
  <c r="D274" i="3"/>
  <c r="H273" i="3"/>
  <c r="D273" i="3"/>
  <c r="H272" i="3"/>
  <c r="H271" i="3"/>
  <c r="D271" i="3"/>
  <c r="H270" i="3"/>
  <c r="D270" i="3"/>
  <c r="H269" i="3"/>
  <c r="D269" i="3"/>
  <c r="H268" i="3"/>
  <c r="D268" i="3"/>
  <c r="H267" i="3"/>
  <c r="D267" i="3"/>
  <c r="H266" i="3"/>
  <c r="D266" i="3"/>
  <c r="D265" i="3"/>
  <c r="H264" i="3"/>
  <c r="D264" i="3"/>
  <c r="H263" i="3"/>
  <c r="D263" i="3"/>
  <c r="H262" i="3"/>
  <c r="D262" i="3"/>
  <c r="H261" i="3"/>
  <c r="D261" i="3"/>
  <c r="H260" i="3"/>
  <c r="D260" i="3"/>
  <c r="H259" i="3"/>
  <c r="D259" i="3"/>
  <c r="H258" i="3"/>
  <c r="D258" i="3"/>
  <c r="H257" i="3"/>
  <c r="D257" i="3"/>
  <c r="H256" i="3"/>
  <c r="D256" i="3"/>
  <c r="H255" i="3"/>
  <c r="D255" i="3"/>
  <c r="H254" i="3"/>
  <c r="D254" i="3"/>
  <c r="H253" i="3"/>
  <c r="D253" i="3"/>
  <c r="H252" i="3"/>
  <c r="D252" i="3"/>
  <c r="H251" i="3"/>
  <c r="D251" i="3"/>
  <c r="H250" i="3"/>
  <c r="D250" i="3"/>
  <c r="H249" i="3"/>
  <c r="D249" i="3"/>
  <c r="H248" i="3"/>
  <c r="D248" i="3"/>
  <c r="H247" i="3"/>
  <c r="D247" i="3"/>
  <c r="H246" i="3"/>
  <c r="D246" i="3"/>
  <c r="H245" i="3"/>
  <c r="D245" i="3"/>
  <c r="H244" i="3"/>
  <c r="D244" i="3"/>
  <c r="H243" i="3"/>
  <c r="D243" i="3"/>
  <c r="H242" i="3"/>
  <c r="D242" i="3"/>
  <c r="H241" i="3"/>
  <c r="D241" i="3"/>
  <c r="H240" i="3"/>
  <c r="D240" i="3"/>
  <c r="H239" i="3"/>
  <c r="D239" i="3"/>
  <c r="H238" i="3"/>
  <c r="D238" i="3"/>
  <c r="H237" i="3"/>
  <c r="D237" i="3"/>
  <c r="H236" i="3"/>
  <c r="D236" i="3"/>
  <c r="H235" i="3"/>
  <c r="D235" i="3"/>
  <c r="H234" i="3"/>
  <c r="D234" i="3"/>
  <c r="H233" i="3"/>
  <c r="D233" i="3"/>
  <c r="H232" i="3"/>
  <c r="D232" i="3"/>
  <c r="H231" i="3"/>
  <c r="D231" i="3"/>
  <c r="H230" i="3"/>
  <c r="D230" i="3"/>
  <c r="H229" i="3"/>
  <c r="D229" i="3"/>
  <c r="H228" i="3"/>
  <c r="D228" i="3"/>
  <c r="H227" i="3"/>
  <c r="D227" i="3"/>
  <c r="H226" i="3"/>
  <c r="D226" i="3"/>
  <c r="H225" i="3"/>
  <c r="D225" i="3"/>
  <c r="H224" i="3"/>
  <c r="D224" i="3"/>
  <c r="H223" i="3"/>
  <c r="D223" i="3"/>
  <c r="H222" i="3"/>
  <c r="D222" i="3"/>
  <c r="H221" i="3"/>
  <c r="D221" i="3"/>
  <c r="H220" i="3"/>
  <c r="D220" i="3"/>
  <c r="H219" i="3"/>
  <c r="D219" i="3"/>
  <c r="H218" i="3"/>
  <c r="D218" i="3"/>
  <c r="H217" i="3"/>
  <c r="D217" i="3"/>
  <c r="H216" i="3"/>
  <c r="D216" i="3"/>
  <c r="H215" i="3"/>
  <c r="D215" i="3"/>
  <c r="H214" i="3"/>
  <c r="D214" i="3"/>
  <c r="H213" i="3"/>
  <c r="D213" i="3"/>
  <c r="H212" i="3"/>
  <c r="D212" i="3"/>
  <c r="H211" i="3"/>
  <c r="D211" i="3"/>
  <c r="H210" i="3"/>
  <c r="D210" i="3"/>
  <c r="H209" i="3"/>
  <c r="D209" i="3"/>
  <c r="H208" i="3"/>
  <c r="D208" i="3"/>
  <c r="H207" i="3"/>
  <c r="D207" i="3"/>
  <c r="H206" i="3"/>
  <c r="D206" i="3"/>
  <c r="H205" i="3"/>
  <c r="D205" i="3"/>
  <c r="H204" i="3"/>
  <c r="D204" i="3"/>
  <c r="H203" i="3"/>
  <c r="D203" i="3"/>
  <c r="H202" i="3"/>
  <c r="D202" i="3"/>
  <c r="H201" i="3"/>
  <c r="D201" i="3"/>
  <c r="H200" i="3"/>
  <c r="D200" i="3"/>
  <c r="H199" i="3"/>
  <c r="D199" i="3"/>
  <c r="H198" i="3"/>
  <c r="D198" i="3"/>
  <c r="H197" i="3"/>
  <c r="D197" i="3"/>
  <c r="H196" i="3"/>
  <c r="D196" i="3"/>
  <c r="H195" i="3"/>
  <c r="D195" i="3"/>
  <c r="H194" i="3"/>
  <c r="D194" i="3"/>
  <c r="H193" i="3"/>
  <c r="D193" i="3"/>
  <c r="H192" i="3"/>
  <c r="D192" i="3"/>
  <c r="H191" i="3"/>
  <c r="D191" i="3"/>
  <c r="H190" i="3"/>
  <c r="D190" i="3"/>
  <c r="H189" i="3"/>
  <c r="D189" i="3"/>
  <c r="H188" i="3"/>
  <c r="D188" i="3"/>
  <c r="H187" i="3"/>
  <c r="D187" i="3"/>
  <c r="H186" i="3"/>
  <c r="D186" i="3"/>
  <c r="H185" i="3"/>
  <c r="D185" i="3"/>
  <c r="H184" i="3"/>
  <c r="D184" i="3"/>
  <c r="H183" i="3"/>
  <c r="D183" i="3"/>
  <c r="H182" i="3"/>
  <c r="D182" i="3"/>
  <c r="H181" i="3"/>
  <c r="D181" i="3"/>
  <c r="H180" i="3"/>
  <c r="D180" i="3"/>
  <c r="H179" i="3"/>
  <c r="D179" i="3"/>
  <c r="H178" i="3"/>
  <c r="D178" i="3"/>
  <c r="H177" i="3"/>
  <c r="D177" i="3"/>
  <c r="H176" i="3"/>
  <c r="D176" i="3"/>
  <c r="H175" i="3"/>
  <c r="D175" i="3"/>
  <c r="H174" i="3"/>
  <c r="D174" i="3"/>
  <c r="H173" i="3"/>
  <c r="D173" i="3"/>
  <c r="H172" i="3"/>
  <c r="D172" i="3"/>
  <c r="H171" i="3"/>
  <c r="D171" i="3"/>
  <c r="H170" i="3"/>
  <c r="D170" i="3"/>
  <c r="H169" i="3"/>
  <c r="D169" i="3"/>
  <c r="H168" i="3"/>
  <c r="D168" i="3"/>
  <c r="H167" i="3"/>
  <c r="D167" i="3"/>
  <c r="H166" i="3"/>
  <c r="D166" i="3"/>
  <c r="H165" i="3"/>
  <c r="D165" i="3"/>
  <c r="H164" i="3"/>
  <c r="D164" i="3"/>
  <c r="H163" i="3"/>
  <c r="D163" i="3"/>
  <c r="H162" i="3"/>
  <c r="D162" i="3"/>
  <c r="H161" i="3"/>
  <c r="D161" i="3"/>
  <c r="H160" i="3"/>
  <c r="D160" i="3"/>
  <c r="H159" i="3"/>
  <c r="D159" i="3"/>
  <c r="H158" i="3"/>
  <c r="D158" i="3"/>
  <c r="H157" i="3"/>
  <c r="D157" i="3"/>
  <c r="H156" i="3"/>
  <c r="D156" i="3"/>
  <c r="H155" i="3"/>
  <c r="D155" i="3"/>
  <c r="H154" i="3"/>
  <c r="D154" i="3"/>
  <c r="H153" i="3"/>
  <c r="D153" i="3"/>
  <c r="H152" i="3"/>
  <c r="D152" i="3"/>
  <c r="H151" i="3"/>
  <c r="D151" i="3"/>
  <c r="H150" i="3"/>
  <c r="D150" i="3"/>
  <c r="H149" i="3"/>
  <c r="D149" i="3"/>
  <c r="H148" i="3"/>
  <c r="D148" i="3"/>
  <c r="H147" i="3"/>
  <c r="D147" i="3"/>
  <c r="H146" i="3"/>
  <c r="D146" i="3"/>
  <c r="H145" i="3"/>
  <c r="D145" i="3"/>
  <c r="H144" i="3"/>
  <c r="D144" i="3"/>
  <c r="H143" i="3"/>
  <c r="D143" i="3"/>
  <c r="H142" i="3"/>
  <c r="D142" i="3"/>
  <c r="H141" i="3"/>
  <c r="D141" i="3"/>
  <c r="H140" i="3"/>
  <c r="D140" i="3"/>
  <c r="H139" i="3"/>
  <c r="D139" i="3"/>
  <c r="H138" i="3"/>
  <c r="D138" i="3"/>
  <c r="H137" i="3"/>
  <c r="D137" i="3"/>
  <c r="H136" i="3"/>
  <c r="D136" i="3"/>
  <c r="H135" i="3"/>
  <c r="D135" i="3"/>
  <c r="H134" i="3"/>
  <c r="D134" i="3"/>
  <c r="H133" i="3"/>
  <c r="D133" i="3"/>
  <c r="H132" i="3"/>
  <c r="D132" i="3"/>
  <c r="H131" i="3"/>
  <c r="D131" i="3"/>
  <c r="H130" i="3"/>
  <c r="D130" i="3"/>
  <c r="H129" i="3"/>
  <c r="D129" i="3"/>
  <c r="H128" i="3"/>
  <c r="D128" i="3"/>
  <c r="H127" i="3"/>
  <c r="D127" i="3"/>
  <c r="H126" i="3"/>
  <c r="D126" i="3"/>
  <c r="H125" i="3"/>
  <c r="D125" i="3"/>
  <c r="H124" i="3"/>
  <c r="D124" i="3"/>
  <c r="H123" i="3"/>
  <c r="D123" i="3"/>
  <c r="H122" i="3"/>
  <c r="D122" i="3"/>
  <c r="H121" i="3"/>
  <c r="D121" i="3"/>
  <c r="H120" i="3"/>
  <c r="D120" i="3"/>
  <c r="H119" i="3"/>
  <c r="D119" i="3"/>
  <c r="H118" i="3"/>
  <c r="D118" i="3"/>
  <c r="H117" i="3"/>
  <c r="D117" i="3"/>
  <c r="H116" i="3"/>
  <c r="D116" i="3"/>
  <c r="H115" i="3"/>
  <c r="D115" i="3"/>
  <c r="H114" i="3"/>
  <c r="D114" i="3"/>
  <c r="H113" i="3"/>
  <c r="D113" i="3"/>
  <c r="H112" i="3"/>
  <c r="D112" i="3"/>
  <c r="H111" i="3"/>
  <c r="D111" i="3"/>
  <c r="H110" i="3"/>
  <c r="D110" i="3"/>
  <c r="H109" i="3"/>
  <c r="D109" i="3"/>
  <c r="H108" i="3"/>
  <c r="D108" i="3"/>
  <c r="H107" i="3"/>
  <c r="D107" i="3"/>
  <c r="H106" i="3"/>
  <c r="D106" i="3"/>
  <c r="H105" i="3"/>
  <c r="D105" i="3"/>
  <c r="H104" i="3"/>
  <c r="D104" i="3"/>
  <c r="H103" i="3"/>
  <c r="D103" i="3"/>
  <c r="H102" i="3"/>
  <c r="D102" i="3"/>
  <c r="H101" i="3"/>
  <c r="D101" i="3"/>
  <c r="H100" i="3"/>
  <c r="D100" i="3"/>
  <c r="H99" i="3"/>
  <c r="D99" i="3"/>
  <c r="H98" i="3"/>
  <c r="D98" i="3"/>
  <c r="H97" i="3"/>
  <c r="D97" i="3"/>
  <c r="H96" i="3"/>
  <c r="D96" i="3"/>
  <c r="H95" i="3"/>
  <c r="D95" i="3"/>
  <c r="H94" i="3"/>
  <c r="D94" i="3"/>
  <c r="H93" i="3"/>
  <c r="D93" i="3"/>
  <c r="H92" i="3"/>
  <c r="D92" i="3"/>
  <c r="H91" i="3"/>
  <c r="D91" i="3"/>
  <c r="H90" i="3"/>
  <c r="D90" i="3"/>
  <c r="H89" i="3"/>
  <c r="D89" i="3"/>
  <c r="H88" i="3"/>
  <c r="D88" i="3"/>
  <c r="H87" i="3"/>
  <c r="D87" i="3"/>
  <c r="H86" i="3"/>
  <c r="D86" i="3"/>
  <c r="H85" i="3"/>
  <c r="D85" i="3"/>
  <c r="H84" i="3"/>
  <c r="D84" i="3"/>
  <c r="H83" i="3"/>
  <c r="D83" i="3"/>
  <c r="H82" i="3"/>
  <c r="D82" i="3"/>
  <c r="H81" i="3"/>
  <c r="D81" i="3"/>
  <c r="H80" i="3"/>
  <c r="D80" i="3"/>
  <c r="H79" i="3"/>
  <c r="D79" i="3"/>
  <c r="H78" i="3"/>
  <c r="D78" i="3"/>
  <c r="H77" i="3"/>
  <c r="D77" i="3"/>
  <c r="H76" i="3"/>
  <c r="D76" i="3"/>
  <c r="H75" i="3"/>
  <c r="D75" i="3"/>
  <c r="H74" i="3"/>
  <c r="D74" i="3"/>
  <c r="H73" i="3"/>
  <c r="D73" i="3"/>
  <c r="H72" i="3"/>
  <c r="D72" i="3"/>
  <c r="H71" i="3"/>
  <c r="D71" i="3"/>
  <c r="H70" i="3"/>
  <c r="D70" i="3"/>
  <c r="H69" i="3"/>
  <c r="D69" i="3"/>
  <c r="H68" i="3"/>
  <c r="D68" i="3"/>
  <c r="H67" i="3"/>
  <c r="D67" i="3"/>
  <c r="H66" i="3"/>
  <c r="D66" i="3"/>
  <c r="H65" i="3"/>
  <c r="D65" i="3"/>
  <c r="H64" i="3"/>
  <c r="D64" i="3"/>
  <c r="H63" i="3"/>
  <c r="D63" i="3"/>
  <c r="H62" i="3"/>
  <c r="D62" i="3"/>
  <c r="H61" i="3"/>
  <c r="D61" i="3"/>
  <c r="H60" i="3"/>
  <c r="D60" i="3"/>
  <c r="H59" i="3"/>
  <c r="D59" i="3"/>
  <c r="H58" i="3"/>
  <c r="D58" i="3"/>
  <c r="H57" i="3"/>
  <c r="D57" i="3"/>
  <c r="H56" i="3"/>
  <c r="D56" i="3"/>
  <c r="H55" i="3"/>
  <c r="D55" i="3"/>
  <c r="H54" i="3"/>
  <c r="D54" i="3"/>
  <c r="H53" i="3"/>
  <c r="D53" i="3"/>
  <c r="H52" i="3"/>
  <c r="D52" i="3"/>
  <c r="H51" i="3"/>
  <c r="D51" i="3"/>
  <c r="H50" i="3"/>
  <c r="D50" i="3"/>
  <c r="H49" i="3"/>
  <c r="D49" i="3"/>
  <c r="H48" i="3"/>
  <c r="D48" i="3"/>
  <c r="H47" i="3"/>
  <c r="D47" i="3"/>
  <c r="H46" i="3"/>
  <c r="D46" i="3"/>
  <c r="H45" i="3"/>
  <c r="D45" i="3"/>
  <c r="H44" i="3"/>
  <c r="D44" i="3"/>
  <c r="H43" i="3"/>
  <c r="D43" i="3"/>
  <c r="H42" i="3"/>
  <c r="D42" i="3"/>
  <c r="H41" i="3"/>
  <c r="D41" i="3"/>
  <c r="H40" i="3"/>
  <c r="D40" i="3"/>
  <c r="H39" i="3"/>
  <c r="D39" i="3"/>
  <c r="H38" i="3"/>
  <c r="D38" i="3"/>
  <c r="H37" i="3"/>
  <c r="D37" i="3"/>
  <c r="H36" i="3"/>
  <c r="D36" i="3"/>
  <c r="H35" i="3"/>
  <c r="D35" i="3"/>
  <c r="H34" i="3"/>
  <c r="D34" i="3"/>
  <c r="H33" i="3"/>
  <c r="D33" i="3"/>
  <c r="H32" i="3"/>
  <c r="D32" i="3"/>
  <c r="H31" i="3"/>
  <c r="D31" i="3"/>
  <c r="H30" i="3"/>
  <c r="D30" i="3"/>
  <c r="H29" i="3"/>
  <c r="D29" i="3"/>
  <c r="H28" i="3"/>
  <c r="D28" i="3"/>
  <c r="H27" i="3"/>
  <c r="D27" i="3"/>
  <c r="H26" i="3"/>
  <c r="D26" i="3"/>
  <c r="H25" i="3"/>
  <c r="D25" i="3"/>
  <c r="H24" i="3"/>
  <c r="D24" i="3"/>
  <c r="H23" i="3"/>
  <c r="D23" i="3"/>
  <c r="H22" i="3"/>
  <c r="D22" i="3"/>
  <c r="H21" i="3"/>
  <c r="D6" i="3" s="1"/>
  <c r="D21" i="3"/>
  <c r="H20" i="3"/>
  <c r="D20" i="3"/>
  <c r="D8" i="3"/>
  <c r="C8" i="3"/>
  <c r="E8" i="3" s="1"/>
  <c r="D7" i="3"/>
  <c r="C7" i="3"/>
  <c r="C6" i="3"/>
  <c r="E7" i="3" l="1"/>
  <c r="C11" i="3"/>
  <c r="E10" i="3"/>
  <c r="D11" i="3"/>
  <c r="E6" i="3"/>
  <c r="E11" i="3" l="1"/>
  <c r="C10" i="2" s="1"/>
  <c r="C17" i="2" l="1"/>
  <c r="C1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 prakash</author>
  </authors>
  <commentList>
    <comment ref="E11" authorId="0" shapeId="0" xr:uid="{3316EA9B-9802-4BB8-9833-4B5750776043}">
      <text>
        <r>
          <rPr>
            <b/>
            <sz val="9"/>
            <color indexed="81"/>
            <rFont val="Tahoma"/>
            <family val="2"/>
          </rPr>
          <t>jay prakash:</t>
        </r>
        <r>
          <rPr>
            <sz val="9"/>
            <color indexed="81"/>
            <rFont val="Tahoma"/>
            <family val="2"/>
          </rPr>
          <t xml:space="preserve">
The average volatility of equity markets over Bonds for all countries.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 prakash</author>
  </authors>
  <commentList>
    <comment ref="C4" authorId="0" shapeId="0" xr:uid="{3BC37983-057F-4235-B4BA-F918607E2251}">
      <text>
        <r>
          <rPr>
            <b/>
            <sz val="9"/>
            <color indexed="81"/>
            <rFont val="Tahoma"/>
            <family val="2"/>
          </rPr>
          <t>jay prakash:</t>
        </r>
        <r>
          <rPr>
            <sz val="9"/>
            <color indexed="81"/>
            <rFont val="Tahoma"/>
            <family val="2"/>
          </rPr>
          <t xml:space="preserve">
US CDS is assumed as a transaction cost and is used a benchmark.
So we reduce the CDS of US from all other countries.
I'm assuming if all countries become default free, their CDS will be equal to US's CDS.</t>
        </r>
      </text>
    </comment>
  </commentList>
</comments>
</file>

<file path=xl/sharedStrings.xml><?xml version="1.0" encoding="utf-8"?>
<sst xmlns="http://schemas.openxmlformats.org/spreadsheetml/2006/main" count="827" uniqueCount="269">
  <si>
    <t>ERP Calculation:</t>
  </si>
  <si>
    <t>India</t>
  </si>
  <si>
    <t>Mature Market ERP</t>
  </si>
  <si>
    <t>India's Rating</t>
  </si>
  <si>
    <t>Relative Volatility for Equity Market</t>
  </si>
  <si>
    <t>Relative Volatility for India</t>
  </si>
  <si>
    <t>Year</t>
  </si>
  <si>
    <t>Stdev (Nifty50)</t>
  </si>
  <si>
    <t>Stdev (GovBond)</t>
  </si>
  <si>
    <t>Relative Volatility</t>
  </si>
  <si>
    <t>Avg Volatility (5Y)</t>
  </si>
  <si>
    <t>Index:</t>
  </si>
  <si>
    <t>NIFTY 50 INDEX</t>
  </si>
  <si>
    <t>10 Year Government Bond Yield</t>
  </si>
  <si>
    <t>Period:</t>
  </si>
  <si>
    <t>5 Years (1st Jan 2020 - 31st Dec 2024)</t>
  </si>
  <si>
    <t>Interval:</t>
  </si>
  <si>
    <t>Daily</t>
  </si>
  <si>
    <t>ind bond</t>
  </si>
  <si>
    <t>Date</t>
  </si>
  <si>
    <t>Price</t>
  </si>
  <si>
    <t>Return</t>
  </si>
  <si>
    <t>Yield</t>
  </si>
  <si>
    <t>Source: NYU Stern website, Damodaran online</t>
  </si>
  <si>
    <t>Country</t>
  </si>
  <si>
    <t>NA</t>
  </si>
  <si>
    <t>10 Year Credit Default Spread</t>
  </si>
  <si>
    <t>Switzerland CDS</t>
  </si>
  <si>
    <t>CDS November 2025</t>
  </si>
  <si>
    <t xml:space="preserve">Net of Switzerland </t>
  </si>
  <si>
    <t>Abu Dhabi</t>
  </si>
  <si>
    <t>Algeria</t>
  </si>
  <si>
    <t>Angola</t>
  </si>
  <si>
    <t>Argentina</t>
  </si>
  <si>
    <t>Australia</t>
  </si>
  <si>
    <t>Austria</t>
  </si>
  <si>
    <t>Bahrain</t>
  </si>
  <si>
    <t>Belgium</t>
  </si>
  <si>
    <t>Brazil</t>
  </si>
  <si>
    <t>Bulgaria</t>
  </si>
  <si>
    <t>Cameroon</t>
  </si>
  <si>
    <t>Canada</t>
  </si>
  <si>
    <t>Chile</t>
  </si>
  <si>
    <t>China</t>
  </si>
  <si>
    <t>Colombia</t>
  </si>
  <si>
    <t>Costa Rica</t>
  </si>
  <si>
    <t>Croatia</t>
  </si>
  <si>
    <t>Cyprus</t>
  </si>
  <si>
    <t>Czech Republic</t>
  </si>
  <si>
    <t>Denmark</t>
  </si>
  <si>
    <t>Dubai</t>
  </si>
  <si>
    <t>Ecuador</t>
  </si>
  <si>
    <t>Egypt</t>
  </si>
  <si>
    <t>El Salvador</t>
  </si>
  <si>
    <t>Estonia</t>
  </si>
  <si>
    <t>Ethiopia</t>
  </si>
  <si>
    <t>Finland</t>
  </si>
  <si>
    <t>France</t>
  </si>
  <si>
    <t>Gabon</t>
  </si>
  <si>
    <t>Germany</t>
  </si>
  <si>
    <t>Greece</t>
  </si>
  <si>
    <t>Guatemala</t>
  </si>
  <si>
    <t>Hong Kong</t>
  </si>
  <si>
    <t>Hungary</t>
  </si>
  <si>
    <t>Iceland</t>
  </si>
  <si>
    <t>Indonesia</t>
  </si>
  <si>
    <t>Iraq</t>
  </si>
  <si>
    <t>Ireland</t>
  </si>
  <si>
    <t>Israel</t>
  </si>
  <si>
    <t>Italy</t>
  </si>
  <si>
    <t>Japan</t>
  </si>
  <si>
    <t>Kazakhstan</t>
  </si>
  <si>
    <t>Kenya</t>
  </si>
  <si>
    <t>Korea</t>
  </si>
  <si>
    <t>Kuwait</t>
  </si>
  <si>
    <t>Latvia</t>
  </si>
  <si>
    <t>Lebanon</t>
  </si>
  <si>
    <t>Lithuania</t>
  </si>
  <si>
    <t>Malaysia</t>
  </si>
  <si>
    <t>Mexico</t>
  </si>
  <si>
    <t>Mongolia</t>
  </si>
  <si>
    <t>Morocco</t>
  </si>
  <si>
    <t>Namibia</t>
  </si>
  <si>
    <t>Netherlands</t>
  </si>
  <si>
    <t>New Zealand</t>
  </si>
  <si>
    <t>Nicaragua</t>
  </si>
  <si>
    <t>Nigeria</t>
  </si>
  <si>
    <t>Norway</t>
  </si>
  <si>
    <t>Oman</t>
  </si>
  <si>
    <t>Pakistan</t>
  </si>
  <si>
    <t>Panama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</si>
  <si>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</si>
  <si>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</si>
  <si>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</si>
  <si>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</si>
  <si>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</si>
  <si>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</si>
  <si>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</si>
  <si>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</si>
  <si>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Saudi Arabia</t>
  </si>
  <si>
    <t>Senegal</t>
  </si>
  <si>
    <t>Serbia</t>
  </si>
  <si>
    <t>Slovakia</t>
  </si>
  <si>
    <t>Slovenia</t>
  </si>
  <si>
    <t>South Africa</t>
  </si>
  <si>
    <t>Spain</t>
  </si>
  <si>
    <t>Sri Lanka</t>
  </si>
  <si>
    <t>Sweden</t>
  </si>
  <si>
    <t>Switzerland</t>
  </si>
  <si>
    <t>Thailand</t>
  </si>
  <si>
    <t>Tunisia</t>
  </si>
  <si>
    <t>Turkey</t>
  </si>
  <si>
    <t>Ukraine</t>
  </si>
  <si>
    <t>United Kingdom</t>
  </si>
  <si>
    <t>United States</t>
  </si>
  <si>
    <t>Uruguay</t>
  </si>
  <si>
    <t>Venezuela</t>
  </si>
  <si>
    <t>Vietnam</t>
  </si>
  <si>
    <t>Zambia</t>
  </si>
  <si>
    <t>Moody's Rating</t>
  </si>
  <si>
    <t>S&amp;P Rating</t>
  </si>
  <si>
    <t>FITCH Rating</t>
  </si>
  <si>
    <t>Aa2</t>
  </si>
  <si>
    <t>NR</t>
  </si>
  <si>
    <t>Albania</t>
  </si>
  <si>
    <t>Ba3</t>
  </si>
  <si>
    <t>BB-</t>
  </si>
  <si>
    <t>Andorra (Principality of)</t>
  </si>
  <si>
    <t>Baa1</t>
  </si>
  <si>
    <t>A- </t>
  </si>
  <si>
    <t>A-</t>
  </si>
  <si>
    <t>B3</t>
  </si>
  <si>
    <t>B-</t>
  </si>
  <si>
    <t>Ca</t>
  </si>
  <si>
    <t>CCC</t>
  </si>
  <si>
    <t>Armenia</t>
  </si>
  <si>
    <t>B+</t>
  </si>
  <si>
    <t>Aruba</t>
  </si>
  <si>
    <t>Baa3</t>
  </si>
  <si>
    <t>BBB </t>
  </si>
  <si>
    <t>Aaa</t>
  </si>
  <si>
    <t>AAA</t>
  </si>
  <si>
    <t>Azerbaijan</t>
  </si>
  <si>
    <t>Aa1</t>
  </si>
  <si>
    <t>AA+ </t>
  </si>
  <si>
    <t>AA+</t>
  </si>
  <si>
    <t>Bahamas</t>
  </si>
  <si>
    <t>Ba1</t>
  </si>
  <si>
    <t>BB+</t>
  </si>
  <si>
    <t>B1</t>
  </si>
  <si>
    <t>Bangladesh</t>
  </si>
  <si>
    <t>B2</t>
  </si>
  <si>
    <t>Belarus</t>
  </si>
  <si>
    <t>Barbados</t>
  </si>
  <si>
    <t>B </t>
  </si>
  <si>
    <t>Bolivia</t>
  </si>
  <si>
    <t>C</t>
  </si>
  <si>
    <t>Botswana</t>
  </si>
  <si>
    <t>Aa3</t>
  </si>
  <si>
    <t>AA</t>
  </si>
  <si>
    <t>AA-</t>
  </si>
  <si>
    <t>Belize</t>
  </si>
  <si>
    <t>Caa1</t>
  </si>
  <si>
    <t>Benin</t>
  </si>
  <si>
    <t>BB- </t>
  </si>
  <si>
    <t>Bermuda</t>
  </si>
  <si>
    <t>A2</t>
  </si>
  <si>
    <t>A+</t>
  </si>
  <si>
    <t>Burkina Faso</t>
  </si>
  <si>
    <t>Caa3</t>
  </si>
  <si>
    <t>CCC+ </t>
  </si>
  <si>
    <t>Bosnia and Herzegovina</t>
  </si>
  <si>
    <t>A3</t>
  </si>
  <si>
    <t>BBB+</t>
  </si>
  <si>
    <t>BB</t>
  </si>
  <si>
    <t>BBB</t>
  </si>
  <si>
    <t>CCC+</t>
  </si>
  <si>
    <t>Cambodia</t>
  </si>
  <si>
    <t>B</t>
  </si>
  <si>
    <t>Cape Verde</t>
  </si>
  <si>
    <t>Cayman Islands</t>
  </si>
  <si>
    <t>Cuba</t>
  </si>
  <si>
    <t>A</t>
  </si>
  <si>
    <t>A1</t>
  </si>
  <si>
    <t>Baa2</t>
  </si>
  <si>
    <t>BB+ </t>
  </si>
  <si>
    <t>Congo (Democratic Republic of)</t>
  </si>
  <si>
    <t>Dominican Republic</t>
  </si>
  <si>
    <t>Congo (Republic of)</t>
  </si>
  <si>
    <t>Caa2</t>
  </si>
  <si>
    <t>Cook Islands</t>
  </si>
  <si>
    <t>Côte d'Ivoire</t>
  </si>
  <si>
    <t>Ba2</t>
  </si>
  <si>
    <t>Curacao</t>
  </si>
  <si>
    <t>BBB-</t>
  </si>
  <si>
    <t>Ghana</t>
  </si>
  <si>
    <t>B- </t>
  </si>
  <si>
    <t>CC</t>
  </si>
  <si>
    <t>SD</t>
  </si>
  <si>
    <t>Fiji</t>
  </si>
  <si>
    <t>Honduras</t>
  </si>
  <si>
    <t>Georgia</t>
  </si>
  <si>
    <t>BBB- </t>
  </si>
  <si>
    <t>BB </t>
  </si>
  <si>
    <t>Guernsey (States of)</t>
  </si>
  <si>
    <t>Jamaica</t>
  </si>
  <si>
    <t>Jordan</t>
  </si>
  <si>
    <t>AA </t>
  </si>
  <si>
    <t>Isle of Man</t>
  </si>
  <si>
    <t>A </t>
  </si>
  <si>
    <t>Jersey (States of)</t>
  </si>
  <si>
    <t>Luxembourg</t>
  </si>
  <si>
    <t>Kyrgyzstan</t>
  </si>
  <si>
    <t>Mali</t>
  </si>
  <si>
    <t>Laos</t>
  </si>
  <si>
    <t>CCC-</t>
  </si>
  <si>
    <t>Malta</t>
  </si>
  <si>
    <t>D</t>
  </si>
  <si>
    <t>Moldova</t>
  </si>
  <si>
    <t>Liechtenstein</t>
  </si>
  <si>
    <t>Mozambique</t>
  </si>
  <si>
    <t>Macao</t>
  </si>
  <si>
    <t>Macedonia</t>
  </si>
  <si>
    <t>Maldives</t>
  </si>
  <si>
    <t>Niger</t>
  </si>
  <si>
    <t>Mauritius</t>
  </si>
  <si>
    <t>B+ </t>
  </si>
  <si>
    <t>Montenegro</t>
  </si>
  <si>
    <t>Montserrat</t>
  </si>
  <si>
    <t>Papua New Guinea</t>
  </si>
  <si>
    <t>Paraguay</t>
  </si>
  <si>
    <t>Nepal</t>
  </si>
  <si>
    <t>Singapore</t>
  </si>
  <si>
    <t>BBB+ </t>
  </si>
  <si>
    <t>Ras Al Khaimah (Emirate of)</t>
  </si>
  <si>
    <t>Suriname</t>
  </si>
  <si>
    <t>Taiwan</t>
  </si>
  <si>
    <t>Tanzania</t>
  </si>
  <si>
    <t>Sharjah</t>
  </si>
  <si>
    <t>Togo</t>
  </si>
  <si>
    <t>AA- </t>
  </si>
  <si>
    <t>Solomon Islands</t>
  </si>
  <si>
    <t>Uganda</t>
  </si>
  <si>
    <t>United Arab Emirates</t>
  </si>
  <si>
    <t>St. Maarten</t>
  </si>
  <si>
    <t>St. Vincent &amp; the Grenadines</t>
  </si>
  <si>
    <t>Swaziland</t>
  </si>
  <si>
    <t>Uzbekistan</t>
  </si>
  <si>
    <t>Tajikistan</t>
  </si>
  <si>
    <t>Trinidad and Tobago</t>
  </si>
  <si>
    <t>Turks and Caicos Islands</t>
  </si>
  <si>
    <t>Rating Based Default Spread for countries and corporates</t>
  </si>
  <si>
    <t>Country Default Spread's based on their Ratings</t>
  </si>
  <si>
    <t>Ratings</t>
  </si>
  <si>
    <t>Moody's Ratings</t>
  </si>
  <si>
    <t>Rating-basedDefault Spread</t>
  </si>
  <si>
    <t>ERP 1 (Rating)</t>
  </si>
  <si>
    <t>Country Risk Premium 1 (Rating)</t>
  </si>
  <si>
    <t>Default Spread 1 (Rating)</t>
  </si>
  <si>
    <t>Default Spread 2 (CDS)</t>
  </si>
  <si>
    <t>Country Risk Premium 2 (CDS)</t>
  </si>
  <si>
    <t>ERP 2 (CDS)</t>
  </si>
  <si>
    <t>Mature Market</t>
  </si>
  <si>
    <t>Implied ERP of S&amp;P 500</t>
  </si>
  <si>
    <t>Country Risk Premium</t>
  </si>
  <si>
    <t xml:space="preserve">Model by: </t>
  </si>
  <si>
    <t>Jay Prakash</t>
  </si>
  <si>
    <t xml:space="preserve">Website: </t>
  </si>
  <si>
    <t>https://jay-finance.github.io/portfolio/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</si>
</sst>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4"/>
      <color theme="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color theme="0"/>
      <name val="Calibri"/>
      <family val="2"/>
    </font>
    <font>
      <i/>
      <sz val="11"/>
      <color theme="1"/>
      <name val="Calibri"/>
      <family val="2"/>
    </font>
    <font>
      <b/>
      <sz val="15"/>
      <color theme="0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b/>
      <i/>
      <u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theme="4" tint="-0.499984740745262"/>
      </top>
      <bottom style="hair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hair">
        <color theme="4" tint="-0.499984740745262"/>
      </top>
      <bottom style="hair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57">
    <xf numFmtId="0" fontId="0" fillId="0" borderId="0" xfId="0"/>
    <xf numFmtId="0" fontId="5" fillId="2" borderId="0" xfId="0" applyFont="1" applyFill="1"/>
    <xf numFmtId="0" fontId="5" fillId="2" borderId="0" xfId="0" applyFont="1" applyFill="1" applyAlignment="1">
      <alignment horizontal="right"/>
    </xf>
    <xf numFmtId="0" fontId="0" fillId="0" borderId="2" xfId="0" applyBorder="1" applyAlignment="1">
      <alignment horizontal="right"/>
    </xf>
    <xf numFmtId="0" fontId="3" fillId="0" borderId="0" xfId="0" applyFont="1"/>
    <xf numFmtId="2" fontId="0" fillId="0" borderId="2" xfId="1" applyNumberFormat="1" applyFont="1" applyBorder="1"/>
    <xf numFmtId="2" fontId="0" fillId="0" borderId="0" xfId="1" applyNumberFormat="1" applyFont="1"/>
    <xf numFmtId="10" fontId="0" fillId="0" borderId="2" xfId="1" applyNumberFormat="1" applyFont="1" applyBorder="1"/>
    <xf numFmtId="10" fontId="1" fillId="0" borderId="2" xfId="1" applyNumberFormat="1" applyFont="1" applyBorder="1"/>
    <xf numFmtId="10" fontId="0" fillId="0" borderId="0" xfId="0" applyNumberFormat="1"/>
    <xf numFmtId="10" fontId="3" fillId="3" borderId="2" xfId="0" applyNumberFormat="1" applyFont="1" applyFill="1" applyBorder="1"/>
    <xf numFmtId="10" fontId="1" fillId="0" borderId="0" xfId="1" applyNumberFormat="1" applyFont="1" applyBorder="1"/>
    <xf numFmtId="0" fontId="8" fillId="2" borderId="0" xfId="0" applyFont="1" applyFill="1"/>
    <xf numFmtId="0" fontId="4" fillId="2" borderId="0" xfId="0" applyFont="1" applyFill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0" xfId="0" applyFont="1" applyFill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/>
    <xf numFmtId="0" fontId="0" fillId="0" borderId="3" xfId="0" applyBorder="1" applyAlignment="1">
      <alignment horizontal="left"/>
    </xf>
    <xf numFmtId="10" fontId="0" fillId="0" borderId="3" xfId="1" applyNumberFormat="1" applyFont="1" applyBorder="1"/>
    <xf numFmtId="2" fontId="0" fillId="0" borderId="4" xfId="0" applyNumberFormat="1" applyBorder="1"/>
    <xf numFmtId="0" fontId="0" fillId="0" borderId="0" xfId="0" applyAlignment="1">
      <alignment horizontal="left"/>
    </xf>
    <xf numFmtId="10" fontId="0" fillId="0" borderId="0" xfId="1" applyNumberFormat="1" applyFont="1"/>
    <xf numFmtId="2" fontId="0" fillId="0" borderId="5" xfId="0" applyNumberFormat="1" applyBorder="1"/>
    <xf numFmtId="0" fontId="3" fillId="0" borderId="6" xfId="0" applyFont="1" applyBorder="1" applyAlignment="1">
      <alignment horizontal="left"/>
    </xf>
    <xf numFmtId="10" fontId="3" fillId="0" borderId="6" xfId="1" applyNumberFormat="1" applyFont="1" applyBorder="1"/>
    <xf numFmtId="2" fontId="3" fillId="3" borderId="7" xfId="0" applyNumberFormat="1" applyFont="1" applyFill="1" applyBorder="1"/>
    <xf numFmtId="2" fontId="0" fillId="0" borderId="0" xfId="0" applyNumberFormat="1"/>
    <xf numFmtId="14" fontId="0" fillId="0" borderId="3" xfId="0" applyNumberFormat="1" applyBorder="1" applyAlignment="1">
      <alignment horizontal="left"/>
    </xf>
    <xf numFmtId="4" fontId="0" fillId="0" borderId="3" xfId="0" applyNumberFormat="1" applyBorder="1"/>
    <xf numFmtId="0" fontId="0" fillId="0" borderId="3" xfId="0" applyBorder="1"/>
    <xf numFmtId="164" fontId="0" fillId="0" borderId="0" xfId="1" applyNumberFormat="1" applyFont="1"/>
    <xf numFmtId="0" fontId="9" fillId="0" borderId="0" xfId="0" applyFont="1"/>
    <xf numFmtId="0" fontId="10" fillId="2" borderId="0" xfId="0" applyFont="1" applyFill="1"/>
    <xf numFmtId="0" fontId="11" fillId="0" borderId="0" xfId="0" applyFont="1"/>
    <xf numFmtId="0" fontId="2" fillId="2" borderId="0" xfId="0" applyFont="1" applyFill="1" applyAlignment="1">
      <alignment horizontal="center"/>
    </xf>
    <xf numFmtId="10" fontId="0" fillId="0" borderId="3" xfId="1" applyNumberFormat="1" applyFont="1" applyBorder="1" applyAlignment="1">
      <alignment horizontal="right"/>
    </xf>
    <xf numFmtId="10" fontId="0" fillId="0" borderId="2" xfId="0" applyNumberFormat="1" applyBorder="1"/>
    <xf numFmtId="15" fontId="2" fillId="2" borderId="0" xfId="0" applyNumberFormat="1" applyFont="1" applyFill="1" applyAlignment="1">
      <alignment horizontal="right"/>
    </xf>
    <xf numFmtId="15" fontId="2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0" fontId="0" fillId="0" borderId="2" xfId="1" applyNumberFormat="1" applyFont="1" applyBorder="1" applyAlignment="1">
      <alignment horizontal="right"/>
    </xf>
    <xf numFmtId="10" fontId="12" fillId="4" borderId="1" xfId="0" applyNumberFormat="1" applyFont="1" applyFill="1" applyBorder="1"/>
    <xf numFmtId="10" fontId="0" fillId="3" borderId="1" xfId="1" applyNumberFormat="1" applyFont="1" applyFill="1" applyBorder="1"/>
    <xf numFmtId="0" fontId="3" fillId="5" borderId="8" xfId="0" applyFont="1" applyFill="1" applyBorder="1"/>
    <xf numFmtId="0" fontId="3" fillId="5" borderId="9" xfId="0" applyFont="1" applyFill="1" applyBorder="1"/>
    <xf numFmtId="0" fontId="3" fillId="5" borderId="10" xfId="0" applyFont="1" applyFill="1" applyBorder="1"/>
    <xf numFmtId="0" fontId="3" fillId="5" borderId="11" xfId="0" applyFont="1" applyFill="1" applyBorder="1"/>
    <xf numFmtId="0" fontId="14" fillId="5" borderId="12" xfId="2" applyFont="1" applyFill="1" applyBorder="1"/>
    <xf numFmtId="0" fontId="13" fillId="5" borderId="12" xfId="2" applyFill="1" applyBorder="1"/>
    <xf numFmtId="0" fontId="13" fillId="5" borderId="13" xfId="2" applyFill="1" applyBorder="1"/>
  </cellXfs>
  <cellStyles count="3">
    <cellStyle name="Hyperlink" xfId="2" builtinId="8"/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2148</xdr:rowOff>
    </xdr:from>
    <xdr:to>
      <xdr:col>16</xdr:col>
      <xdr:colOff>419100</xdr:colOff>
      <xdr:row>42</xdr:row>
      <xdr:rowOff>183931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396FC3-12C8-4D57-9ED4-19921C6CBD0D}"/>
                </a:ext>
              </a:extLst>
            </xdr:cNvPr>
            <xdr:cNvSpPr txBox="1"/>
          </xdr:nvSpPr>
          <xdr:spPr>
            <a:xfrm>
              <a:off x="124810" y="764148"/>
              <a:ext cx="10397359" cy="742078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N" sz="1400" b="1"/>
                <a:t>Equity Risk Premium (ERP) &amp; Country Risk Premium (CRP) Estimation Model - lndia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IN" b="1"/>
            </a:p>
            <a:p>
              <a:r>
                <a:rPr lang="en-IN" sz="1200" b="1"/>
                <a:t>Methodology Overview</a:t>
              </a:r>
            </a:p>
            <a:p>
              <a:r>
                <a:rPr lang="en-IN"/>
                <a:t>This model provides a unified framework for estimating equity risk premiums and country risk premiums India's</a:t>
              </a:r>
              <a:r>
                <a:rPr lang="en-IN" baseline="0"/>
                <a:t> equity market</a:t>
              </a:r>
              <a:r>
                <a:rPr lang="en-IN"/>
                <a:t>. The goal is to derive a defensible ERP for Indian companies using transparent inputs and a simplified, focused framework.</a:t>
              </a:r>
            </a:p>
            <a:p>
              <a:endParaRPr lang="en-IN" b="1"/>
            </a:p>
            <a:p>
              <a:r>
                <a:rPr lang="en-IN" sz="1200" b="1"/>
                <a:t>1. Mature Market ERP</a:t>
              </a:r>
            </a:p>
            <a:p>
              <a:r>
                <a:rPr lang="en-IN"/>
                <a:t>The estimation begins with the implied equity risk premium of the S&amp;P 500 (estimated in a separate model, available in my website). Since the United States is no longer treated as fully risk-free due to sovereign rating downgrades, the mature market ERP is adjusted for U.S. sovereign risk. Switzerland is considered the reference “safe” market, and therefore to remove the sovereign</a:t>
              </a:r>
              <a:r>
                <a:rPr lang="en-IN" baseline="0"/>
                <a:t> risk from S&amp;P 500</a:t>
              </a:r>
              <a:r>
                <a:rPr lang="en-IN"/>
                <a:t>:</a:t>
              </a:r>
            </a:p>
            <a:p>
              <a:endParaRPr lang="en-IN" b="0"/>
            </a:p>
            <a:p>
              <a:pPr algn="ctr"/>
              <a:r>
                <a:rPr lang="en-IN" b="1" i="1"/>
                <a:t>Mature Market ERP = S&amp;P 500 Implied ERP</a:t>
              </a:r>
              <a:r>
                <a:rPr lang="en-IN" b="1" i="1" baseline="0"/>
                <a:t> </a:t>
              </a:r>
              <a:r>
                <a:rPr lang="en-IN" b="1" i="1"/>
                <a:t>​− (</a:t>
              </a:r>
              <a:r>
                <a:rPr lang="en-IN" b="1" i="1" baseline="0"/>
                <a:t>Default Spread of US </a:t>
              </a:r>
              <a:r>
                <a:rPr lang="en-IN" b="0" i="1" baseline="0"/>
                <a:t>x</a:t>
              </a:r>
              <a:r>
                <a:rPr lang="en-IN" b="1" i="1" baseline="0"/>
                <a:t> </a:t>
              </a:r>
              <a:r>
                <a:rPr lang="en-IN" b="1" i="1"/>
                <a:t>Relative Voltility)​</a:t>
              </a:r>
            </a:p>
            <a:p>
              <a:br>
                <a:rPr lang="en-IN" b="1"/>
              </a:br>
              <a:r>
                <a:rPr lang="en-IN" sz="1200" b="1"/>
                <a:t>2. Sovereign Default Spread</a:t>
              </a:r>
            </a:p>
            <a:p>
              <a:r>
                <a:rPr lang="en-IN" sz="1200"/>
                <a:t>Default spread is estimated through two primary data routes:</a:t>
              </a:r>
            </a:p>
            <a:p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•  </a:t>
              </a:r>
              <a:r>
                <a:rPr lang="en-IN" sz="1200" b="0"/>
                <a:t>CDS-based default spreads, using 10-year sovereign CDS spreads sourced from </a:t>
              </a:r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Prof. </a:t>
              </a:r>
              <a:r>
                <a:rPr lang="en-IN" sz="1200" b="0"/>
                <a:t>Damodaran.</a:t>
              </a:r>
              <a:r>
                <a:rPr lang="en-IN" sz="1200" b="0" baseline="0"/>
                <a:t> </a:t>
              </a:r>
              <a:r>
                <a:rPr lang="en-IN" sz="1200" b="0"/>
                <a:t>Switzerland’s CDS is netted out to remove risk unrelated to the sovereign being analyzed: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100" b="1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en-IN" sz="1100" b="1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Cambria Math" panose="02040503050406030204" pitchFamily="18" charset="0"/>
                            <a:cs typeface="+mn-cs"/>
                          </a:rPr>
                          <m:t>Default</m:t>
                        </m:r>
                        <m:r>
                          <m:rPr>
                            <m:nor/>
                          </m:rPr>
                          <a:rPr lang="ar-AE" sz="1100" b="1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Cambria Math" panose="02040503050406030204" pitchFamily="18" charset="0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IN" sz="1100" b="1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Cambria Math" panose="02040503050406030204" pitchFamily="18" charset="0"/>
                            <a:cs typeface="+mn-cs"/>
                          </a:rPr>
                          <m:t>Spread</m:t>
                        </m:r>
                        <m:r>
                          <m:rPr>
                            <m:nor/>
                          </m:rPr>
                          <a:rPr lang="en-IN" sz="1100" b="1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Cambria Math" panose="02040503050406030204" pitchFamily="18" charset="0"/>
                            <a:cs typeface="+mn-cs"/>
                          </a:rPr>
                          <m:t> </m:t>
                        </m:r>
                        <m:r>
                          <a:rPr lang="en-IN" sz="1100" b="1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Cambria Math" panose="02040503050406030204" pitchFamily="18" charset="0"/>
                            <a:cs typeface="+mn-cs"/>
                          </a:rPr>
                          <m:t> </m:t>
                        </m:r>
                        <m:r>
                          <a:rPr lang="en-IN" sz="1100" b="1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e>
                      <m:sub>
                        <m:r>
                          <a:rPr lang="ar-AE" sz="1100" b="1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Cambria Math" panose="02040503050406030204" pitchFamily="18" charset="0"/>
                            <a:cs typeface="+mn-cs"/>
                          </a:rPr>
                          <m:t>𝑪𝑫𝑺</m:t>
                        </m:r>
                      </m:sub>
                    </m:sSub>
                    <m:r>
                      <a:rPr lang="ar-AE" sz="1100" b="1" i="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r>
                      <a:rPr lang="en-IN" sz="1100" b="1" i="1">
                        <a:solidFill>
                          <a:schemeClr val="dk1"/>
                        </a:solidFill>
                        <a:effectLst/>
                        <a:latin typeface="Calibri "/>
                        <a:ea typeface="+mn-ea"/>
                        <a:cs typeface="+mn-cs"/>
                      </a:rPr>
                      <m:t>𝑹𝒂𝒕𝒊𝒏</m:t>
                    </m:r>
                    <m:r>
                      <a:rPr lang="en-IN" sz="1100" b="1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𝒈</m:t>
                    </m:r>
                    <m:r>
                      <a:rPr lang="en-IN" sz="1100" b="1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IN" sz="1100" b="1" i="1">
                        <a:solidFill>
                          <a:schemeClr val="dk1"/>
                        </a:solidFill>
                        <a:effectLst/>
                        <a:latin typeface="Calibri "/>
                        <a:ea typeface="+mn-ea"/>
                        <a:cs typeface="+mn-cs"/>
                      </a:rPr>
                      <m:t>𝑩𝒂𝒔𝒆𝒅</m:t>
                    </m:r>
                    <m:r>
                      <a:rPr lang="en-IN" sz="1100" b="1" i="1">
                        <a:solidFill>
                          <a:schemeClr val="dk1"/>
                        </a:solidFill>
                        <a:effectLst/>
                        <a:latin typeface="Calibri "/>
                        <a:ea typeface="+mn-ea"/>
                        <a:cs typeface="+mn-cs"/>
                      </a:rPr>
                      <m:t> </m:t>
                    </m:r>
                    <m:r>
                      <a:rPr lang="en-IN" sz="1100" b="1" i="1">
                        <a:solidFill>
                          <a:schemeClr val="dk1"/>
                        </a:solidFill>
                        <a:effectLst/>
                        <a:latin typeface="Calibri "/>
                        <a:ea typeface="+mn-ea"/>
                        <a:cs typeface="+mn-cs"/>
                      </a:rPr>
                      <m:t>𝑫𝒆𝒇𝒂𝒖𝒍𝒕</m:t>
                    </m:r>
                    <m:r>
                      <a:rPr lang="en-IN" sz="1100" b="1" i="1">
                        <a:solidFill>
                          <a:schemeClr val="dk1"/>
                        </a:solidFill>
                        <a:effectLst/>
                        <a:latin typeface="Calibri "/>
                        <a:ea typeface="+mn-ea"/>
                        <a:cs typeface="+mn-cs"/>
                      </a:rPr>
                      <m:t> </m:t>
                    </m:r>
                    <m:sSub>
                      <m:sSubPr>
                        <m:ctrlPr>
                          <a:rPr lang="ar-AE" sz="1100" b="1" i="1">
                            <a:solidFill>
                              <a:schemeClr val="dk1"/>
                            </a:solidFill>
                            <a:effectLst/>
                            <a:latin typeface="Calibri 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b="1" i="1">
                            <a:solidFill>
                              <a:schemeClr val="dk1"/>
                            </a:solidFill>
                            <a:effectLst/>
                            <a:latin typeface="Calibri "/>
                            <a:ea typeface="+mn-ea"/>
                            <a:cs typeface="+mn-cs"/>
                          </a:rPr>
                          <m:t>𝑺</m:t>
                        </m:r>
                        <m:r>
                          <a:rPr lang="en-IN" sz="1100" b="1" i="1">
                            <a:solidFill>
                              <a:schemeClr val="dk1"/>
                            </a:solidFill>
                            <a:effectLst/>
                            <a:latin typeface="Calibri "/>
                            <a:ea typeface="+mn-ea"/>
                            <a:cs typeface="+mn-cs"/>
                          </a:rPr>
                          <m:t>𝒑𝒓𝒆𝒂𝒅</m:t>
                        </m:r>
                      </m:e>
                      <m:sub>
                        <m:r>
                          <a:rPr lang="en-IN" sz="1100" b="1" i="1">
                            <a:solidFill>
                              <a:schemeClr val="dk1"/>
                            </a:solidFill>
                            <a:effectLst/>
                            <a:latin typeface="Calibri "/>
                            <a:ea typeface="+mn-ea"/>
                            <a:cs typeface="+mn-cs"/>
                          </a:rPr>
                          <m:t>𝑰𝒏𝒅𝒊𝒂</m:t>
                        </m:r>
                      </m:sub>
                    </m:sSub>
                  </m:oMath>
                </m:oMathPara>
              </a14:m>
              <a:endParaRPr lang="en-IN" sz="1100" b="0">
                <a:latin typeface="Calibri 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100" b="1" i="1">
                            <a:solidFill>
                              <a:schemeClr val="dk1"/>
                            </a:solidFill>
                            <a:latin typeface="+mn-lt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en-IN" sz="1100" b="1" i="1">
                            <a:latin typeface="+mn-lt"/>
                            <a:ea typeface="Cambria Math" panose="02040503050406030204" pitchFamily="18" charset="0"/>
                          </a:rPr>
                          <m:t>Default</m:t>
                        </m:r>
                        <m:r>
                          <m:rPr>
                            <m:nor/>
                          </m:rPr>
                          <a:rPr lang="ar-AE" sz="1100" b="1" i="1">
                            <a:latin typeface="+mn-lt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IN" sz="1100" b="1" i="1">
                            <a:latin typeface="+mn-lt"/>
                            <a:ea typeface="Cambria Math" panose="02040503050406030204" pitchFamily="18" charset="0"/>
                          </a:rPr>
                          <m:t>Spread</m:t>
                        </m:r>
                        <m:r>
                          <m:rPr>
                            <m:nor/>
                          </m:rPr>
                          <a:rPr lang="en-IN" sz="1100" b="1" i="1">
                            <a:latin typeface="+mn-lt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IN" sz="1100" b="1" i="1">
                            <a:latin typeface="+mn-lt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IN" sz="1100" b="1" i="1">
                            <a:latin typeface="+mn-lt"/>
                            <a:ea typeface="Cambria Math" panose="02040503050406030204" pitchFamily="18" charset="0"/>
                          </a:rPr>
                          <m:t>𝟐</m:t>
                        </m:r>
                      </m:e>
                      <m:sub>
                        <m:r>
                          <a:rPr lang="ar-AE" sz="1100" b="1" i="1">
                            <a:latin typeface="+mn-lt"/>
                            <a:ea typeface="Cambria Math" panose="02040503050406030204" pitchFamily="18" charset="0"/>
                          </a:rPr>
                          <m:t>𝑪𝑫𝑺</m:t>
                        </m:r>
                      </m:sub>
                    </m:sSub>
                    <m:r>
                      <a:rPr lang="ar-AE" sz="1100" b="1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=</m:t>
                    </m:r>
                    <m:r>
                      <a:rPr lang="ar-AE" sz="1100" b="1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𝑪𝑫</m:t>
                    </m:r>
                    <m:sSub>
                      <m:sSubPr>
                        <m:ctrlPr>
                          <a:rPr lang="ar-AE" sz="1100" b="1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b="1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IN" sz="1100" b="1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𝑰𝒏𝒅𝒊𝒂</m:t>
                        </m:r>
                      </m:sub>
                    </m:sSub>
                    <m:r>
                      <a:rPr lang="ar-AE" sz="1100" b="1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−</m:t>
                    </m:r>
                    <m:r>
                      <a:rPr lang="ar-AE" sz="1100" b="1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𝑪𝑫</m:t>
                    </m:r>
                    <m:sSub>
                      <m:sSubPr>
                        <m:ctrlPr>
                          <a:rPr lang="ar-AE" sz="1100" b="1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b="1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ar-AE" sz="1100" b="1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𝑺𝒘𝒊𝒕𝒛𝒆𝒓𝒍𝒂𝒏𝒅</m:t>
                        </m:r>
                      </m:sub>
                    </m:sSub>
                  </m:oMath>
                </m:oMathPara>
              </a14:m>
              <a:endParaRPr lang="ar-AE" sz="1100" b="1" i="1">
                <a:latin typeface="+mn-lt"/>
              </a:endParaRPr>
            </a:p>
            <a:p>
              <a:endParaRPr lang="en-IN" sz="1200" b="1"/>
            </a:p>
            <a:p>
              <a:r>
                <a:rPr lang="en-IN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•  </a:t>
              </a:r>
              <a:r>
                <a:rPr lang="en-IN" sz="1200" b="0"/>
                <a:t>Rating-based default spreads,</a:t>
              </a:r>
              <a:r>
                <a:rPr lang="en-IN" sz="1200" baseline="0"/>
                <a:t> </a:t>
              </a:r>
              <a:r>
                <a:rPr lang="en-IN" sz="1200"/>
                <a:t>Moody’s sovereign ratings are mapped to default spreads using Damodaran’s lookup table.</a:t>
              </a:r>
              <a:r>
                <a:rPr lang="en-IN" sz="1200" baseline="0"/>
                <a:t> </a:t>
              </a:r>
            </a:p>
            <a:p>
              <a:endParaRPr lang="en-IN" sz="1200"/>
            </a:p>
            <a:p>
              <a:r>
                <a:rPr lang="en-IN" sz="1200" b="1"/>
                <a:t>3. India Risk Measurement: Relative Volatility and CRP</a:t>
              </a:r>
            </a:p>
            <a:p>
              <a:r>
                <a:rPr lang="en-IN" sz="1200"/>
                <a:t>Since sovereign default spreads measure credit risk but not the higher volatility of equity markets, they are adjusted using a relative volatility factor estimated as:</a:t>
              </a:r>
            </a:p>
            <a:p>
              <a:endParaRPr lang="en-IN" sz="1200"/>
            </a:p>
            <a:p>
              <a:pPr algn="ctr"/>
              <a:r>
                <a:rPr lang="en-IN" sz="1200" b="1" i="1"/>
                <a:t>Relative Volatility =</a:t>
              </a:r>
              <a:r>
                <a:rPr lang="en-IN" sz="1400" b="1" i="1"/>
                <a:t> </a:t>
              </a:r>
              <a:r>
                <a:rPr lang="el-GR" sz="1200" b="1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σ</a:t>
              </a:r>
              <a:r>
                <a:rPr lang="en-IN" sz="1200" b="1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l-GR" sz="1200" b="1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IN" sz="1200" b="1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Nifty 50 Index)</a:t>
              </a:r>
              <a:r>
                <a:rPr lang="en-IN" sz="1100" b="1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/ </a:t>
              </a:r>
              <a:r>
                <a:rPr lang="el-GR" sz="1200" b="1" i="1"/>
                <a:t>σ</a:t>
              </a:r>
              <a:r>
                <a:rPr lang="en-IN" sz="1200" b="1" i="1"/>
                <a:t> </a:t>
              </a:r>
              <a:r>
                <a:rPr lang="el-GR" sz="1200" b="1" i="1"/>
                <a:t>(</a:t>
              </a:r>
              <a:r>
                <a:rPr lang="en-IN" sz="1200" b="1" i="1"/>
                <a:t>10-Year Government Bond Yields) </a:t>
              </a:r>
            </a:p>
            <a:p>
              <a:pPr algn="ctr"/>
              <a:endParaRPr lang="en-IN" sz="1200" b="1" i="1"/>
            </a:p>
            <a:p>
              <a:r>
                <a:rPr lang="en-IN" sz="1200"/>
                <a:t>Two variants of country risk premium are calculated: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100" b="1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en-IN" sz="1100" b="1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CRP</m:t>
                        </m:r>
                        <m:r>
                          <m:rPr>
                            <m:nor/>
                          </m:rPr>
                          <a:rPr lang="en-IN" sz="1100" b="1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IN" sz="1100" b="1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1</m:t>
                        </m:r>
                      </m:e>
                      <m:sub>
                        <m:r>
                          <a:rPr lang="ar-AE" sz="1200" b="1" i="1">
                            <a:latin typeface="Cambria Math" panose="02040503050406030204" pitchFamily="18" charset="0"/>
                          </a:rPr>
                          <m:t>𝑹𝒂𝒕𝒊𝒏𝒈𝒔</m:t>
                        </m:r>
                      </m:sub>
                    </m:sSub>
                    <m:r>
                      <a:rPr lang="ar-AE" sz="1100" b="1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ar-AE" sz="1100" b="1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en-IN" sz="1100" b="1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Default</m:t>
                        </m:r>
                        <m:r>
                          <m:rPr>
                            <m:nor/>
                          </m:rPr>
                          <a:rPr lang="en-IN" sz="1100" b="1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IN" sz="1100" b="1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Spread</m:t>
                        </m:r>
                        <m:r>
                          <a:rPr lang="en-IN" sz="1100" b="1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IN" sz="1100" b="1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e>
                      <m:sub>
                        <m:r>
                          <a:rPr lang="ar-AE" sz="1100" b="1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𝑹𝒂𝒕𝒊𝒏𝒈𝒔</m:t>
                        </m:r>
                      </m:sub>
                    </m:sSub>
                    <m:r>
                      <a:rPr lang="ar-AE" sz="1100" b="1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</m:t>
                    </m:r>
                    <m:r>
                      <m:rPr>
                        <m:nor/>
                      </m:rPr>
                      <a:rPr lang="en-IN" sz="1100" b="1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Relative</m:t>
                    </m:r>
                    <m:r>
                      <m:rPr>
                        <m:nor/>
                      </m:rPr>
                      <a:rPr lang="en-IN" sz="1100" b="1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m:rPr>
                        <m:nor/>
                      </m:rPr>
                      <a:rPr lang="en-IN" sz="1100" b="1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Volatility</m:t>
                    </m:r>
                  </m:oMath>
                </m:oMathPara>
              </a14:m>
              <a:endParaRPr lang="ar-AE" sz="1200" b="1" i="1"/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100" b="1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en-IN" sz="1100" b="1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CRP</m:t>
                        </m:r>
                        <m:r>
                          <m:rPr>
                            <m:nor/>
                          </m:rPr>
                          <a:rPr lang="en-IN" sz="1100" b="1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IN" sz="1100" b="1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e>
                      <m:sub>
                        <m:r>
                          <a:rPr lang="ar-AE" sz="1200" b="1" i="1">
                            <a:latin typeface="Cambria Math" panose="02040503050406030204" pitchFamily="18" charset="0"/>
                          </a:rPr>
                          <m:t>𝑪𝑫𝑺</m:t>
                        </m:r>
                      </m:sub>
                    </m:sSub>
                    <m:r>
                      <a:rPr lang="ar-AE" sz="1100" b="1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ar-AE" sz="1100" b="1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N" sz="1100" b="1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𝑫</m:t>
                        </m:r>
                        <m:r>
                          <m:rPr>
                            <m:nor/>
                          </m:rPr>
                          <a:rPr lang="en-IN" sz="1100" b="1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efault</m:t>
                        </m:r>
                        <m:r>
                          <m:rPr>
                            <m:nor/>
                          </m:rPr>
                          <a:rPr lang="en-IN" sz="1100" b="1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IN" sz="1100" b="1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Spread</m:t>
                        </m:r>
                        <m:r>
                          <a:rPr lang="en-IN" sz="1100" b="1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IN" sz="1100" b="1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e>
                      <m:sub>
                        <m:r>
                          <a:rPr lang="ar-AE" sz="1100" b="1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𝑪𝑫𝑺</m:t>
                        </m:r>
                      </m:sub>
                    </m:sSub>
                    <m:r>
                      <a:rPr lang="ar-AE" sz="1100" b="1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</m:t>
                    </m:r>
                    <m:r>
                      <m:rPr>
                        <m:nor/>
                      </m:rPr>
                      <a:rPr lang="en-IN" sz="1100" b="1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Relative</m:t>
                    </m:r>
                    <m:r>
                      <m:rPr>
                        <m:nor/>
                      </m:rPr>
                      <a:rPr lang="en-IN" sz="1100" b="1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m:rPr>
                        <m:nor/>
                      </m:rPr>
                      <a:rPr lang="en-IN" sz="1100" b="1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Volatility</m:t>
                    </m:r>
                  </m:oMath>
                </m:oMathPara>
              </a14:m>
              <a:endParaRPr lang="ar-AE" sz="1200" b="1" i="1"/>
            </a:p>
            <a:p>
              <a:pPr algn="l"/>
              <a:endParaRPr lang="en-IN" sz="1200" b="1" i="1"/>
            </a:p>
            <a:p>
              <a:pPr algn="l"/>
              <a:r>
                <a:rPr lang="en-IN" sz="1200" b="1"/>
                <a:t>4. Equity Risk Premium Outputs</a:t>
              </a:r>
            </a:p>
            <a:p>
              <a:r>
                <a:rPr lang="en-IN" sz="1200"/>
                <a:t>Two ERP values to provide different analytical lenses:</a:t>
              </a:r>
            </a:p>
            <a:p>
              <a:endParaRPr lang="en-IN" sz="1100" b="0" i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100" b="1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en-IN" sz="1200" b="1" i="1"/>
                          <m:t>ERP</m:t>
                        </m:r>
                      </m:e>
                      <m:sub>
                        <m:r>
                          <a:rPr lang="en-IN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ar-AE" sz="1100" b="1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m:rPr>
                        <m:nor/>
                      </m:rPr>
                      <a:rPr lang="en-IN" sz="1100" b="1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Mature</m:t>
                    </m:r>
                    <m:r>
                      <m:rPr>
                        <m:nor/>
                      </m:rPr>
                      <a:rPr lang="ar-AE" sz="1100" b="1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m:rPr>
                        <m:nor/>
                      </m:rPr>
                      <a:rPr lang="en-IN" sz="1100" b="1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Market</m:t>
                    </m:r>
                    <m:r>
                      <m:rPr>
                        <m:nor/>
                      </m:rPr>
                      <a:rPr lang="ar-AE" sz="1100" b="1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m:rPr>
                        <m:nor/>
                      </m:rPr>
                      <a:rPr lang="en-IN" sz="1100" b="1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ERP</m:t>
                    </m:r>
                    <m:r>
                      <a:rPr lang="ar-AE" sz="1100" b="1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ar-AE" sz="1100" b="1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en-IN" sz="1100" b="1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CRP</m:t>
                        </m:r>
                        <m:r>
                          <a:rPr lang="en-IN" sz="1100" b="1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IN" sz="1100" b="1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e>
                      <m:sub>
                        <m:r>
                          <a:rPr lang="ar-AE" sz="1100" b="1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𝑹𝒂𝒕𝒊𝒏𝒈𝒔</m:t>
                        </m:r>
                      </m:sub>
                    </m:sSub>
                  </m:oMath>
                </m:oMathPara>
              </a14:m>
              <a:endParaRPr lang="ar-AE" sz="1200" b="1" i="1"/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100" b="1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en-IN" sz="1200" b="1" i="1"/>
                          <m:t>ERP</m:t>
                        </m:r>
                      </m:e>
                      <m:sub>
                        <m:r>
                          <a:rPr lang="en-IN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ar-AE" sz="1100" b="1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m:rPr>
                        <m:nor/>
                      </m:rPr>
                      <a:rPr lang="en-IN" sz="1100" b="1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Mature</m:t>
                    </m:r>
                    <m:r>
                      <m:rPr>
                        <m:nor/>
                      </m:rPr>
                      <a:rPr lang="ar-AE" sz="1100" b="1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m:rPr>
                        <m:nor/>
                      </m:rPr>
                      <a:rPr lang="en-IN" sz="1100" b="1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Market</m:t>
                    </m:r>
                    <m:r>
                      <m:rPr>
                        <m:nor/>
                      </m:rPr>
                      <a:rPr lang="ar-AE" sz="1100" b="1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m:rPr>
                        <m:nor/>
                      </m:rPr>
                      <a:rPr lang="en-IN" sz="1100" b="1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ERP</m:t>
                    </m:r>
                    <m:r>
                      <a:rPr lang="ar-AE" sz="1100" b="1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ar-AE" sz="1100" b="1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en-IN" sz="1100" b="1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CRP</m:t>
                        </m:r>
                        <m:r>
                          <m:rPr>
                            <m:nor/>
                          </m:rPr>
                          <a:rPr lang="en-IN" sz="1100" b="1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IN" sz="1100" b="1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e>
                      <m:sub>
                        <m:r>
                          <a:rPr lang="ar-AE" sz="1100" b="1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𝑪𝑫𝑺</m:t>
                        </m:r>
                      </m:sub>
                    </m:sSub>
                  </m:oMath>
                </m:oMathPara>
              </a14:m>
              <a:endParaRPr lang="en-IN" sz="1200" b="1" i="1"/>
            </a:p>
            <a:p>
              <a:endParaRPr lang="en-IN" sz="1200" b="1" i="1"/>
            </a:p>
            <a:p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ERP₂ was estimated</a:t>
              </a:r>
              <a:r>
                <a:rPr lang="en-IN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using CDS spreads as a proxy for default spread, it provides better representation of country's sovereign risk.</a:t>
              </a:r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396FC3-12C8-4D57-9ED4-19921C6CBD0D}"/>
                </a:ext>
              </a:extLst>
            </xdr:cNvPr>
            <xdr:cNvSpPr txBox="1"/>
          </xdr:nvSpPr>
          <xdr:spPr>
            <a:xfrm>
              <a:off x="124810" y="764148"/>
              <a:ext cx="10397359" cy="742078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N" sz="1400" b="1"/>
                <a:t>Equity Risk Premium (ERP) &amp; Country Risk Premium (CRP) Estimation Model - lndia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IN" b="1"/>
            </a:p>
            <a:p>
              <a:r>
                <a:rPr lang="en-IN" sz="1200" b="1"/>
                <a:t>Methodology Overview</a:t>
              </a:r>
            </a:p>
            <a:p>
              <a:r>
                <a:rPr lang="en-IN"/>
                <a:t>This model provides a unified framework for estimating equity risk premiums and country risk premiums India's</a:t>
              </a:r>
              <a:r>
                <a:rPr lang="en-IN" baseline="0"/>
                <a:t> equity market</a:t>
              </a:r>
              <a:r>
                <a:rPr lang="en-IN"/>
                <a:t>. The goal is to derive a defensible ERP for Indian companies using transparent inputs and a simplified, focused framework.</a:t>
              </a:r>
            </a:p>
            <a:p>
              <a:endParaRPr lang="en-IN" b="1"/>
            </a:p>
            <a:p>
              <a:r>
                <a:rPr lang="en-IN" sz="1200" b="1"/>
                <a:t>1. Mature Market ERP</a:t>
              </a:r>
            </a:p>
            <a:p>
              <a:r>
                <a:rPr lang="en-IN"/>
                <a:t>The estimation begins with the implied equity risk premium of the S&amp;P 500 (estimated in a separate model, available in my website). Since the United States is no longer treated as fully risk-free due to sovereign rating downgrades, the mature market ERP is adjusted for U.S. sovereign risk. Switzerland is considered the reference “safe” market, and therefore to remove the sovereign</a:t>
              </a:r>
              <a:r>
                <a:rPr lang="en-IN" baseline="0"/>
                <a:t> risk from S&amp;P 500</a:t>
              </a:r>
              <a:r>
                <a:rPr lang="en-IN"/>
                <a:t>:</a:t>
              </a:r>
            </a:p>
            <a:p>
              <a:endParaRPr lang="en-IN" b="0"/>
            </a:p>
            <a:p>
              <a:pPr algn="ctr"/>
              <a:r>
                <a:rPr lang="en-IN" b="1" i="1"/>
                <a:t>Mature Market ERP = S&amp;P 500 Implied ERP</a:t>
              </a:r>
              <a:r>
                <a:rPr lang="en-IN" b="1" i="1" baseline="0"/>
                <a:t> </a:t>
              </a:r>
              <a:r>
                <a:rPr lang="en-IN" b="1" i="1"/>
                <a:t>​− (</a:t>
              </a:r>
              <a:r>
                <a:rPr lang="en-IN" b="1" i="1" baseline="0"/>
                <a:t>Default Spread of US </a:t>
              </a:r>
              <a:r>
                <a:rPr lang="en-IN" b="0" i="1" baseline="0"/>
                <a:t>x</a:t>
              </a:r>
              <a:r>
                <a:rPr lang="en-IN" b="1" i="1" baseline="0"/>
                <a:t> </a:t>
              </a:r>
              <a:r>
                <a:rPr lang="en-IN" b="1" i="1"/>
                <a:t>Relative Voltility)​</a:t>
              </a:r>
            </a:p>
            <a:p>
              <a:br>
                <a:rPr lang="en-IN" b="1"/>
              </a:br>
              <a:r>
                <a:rPr lang="en-IN" sz="1200" b="1"/>
                <a:t>2. Sovereign Default Spread</a:t>
              </a:r>
            </a:p>
            <a:p>
              <a:r>
                <a:rPr lang="en-IN" sz="1200"/>
                <a:t>Default spread is estimated through two primary data routes:</a:t>
              </a:r>
            </a:p>
            <a:p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•  </a:t>
              </a:r>
              <a:r>
                <a:rPr lang="en-IN" sz="1200" b="0"/>
                <a:t>CDS-based default spreads, using 10-year sovereign CDS spreads sourced from </a:t>
              </a:r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Prof. </a:t>
              </a:r>
              <a:r>
                <a:rPr lang="en-IN" sz="1200" b="0"/>
                <a:t>Damodaran.</a:t>
              </a:r>
              <a:r>
                <a:rPr lang="en-IN" sz="1200" b="0" baseline="0"/>
                <a:t> </a:t>
              </a:r>
              <a:r>
                <a:rPr lang="en-IN" sz="1200" b="0"/>
                <a:t>Switzerland’s CDS is netted out to remove risk unrelated to the sovereign being analyzed:</a:t>
              </a:r>
            </a:p>
            <a:p>
              <a:r>
                <a:rPr lang="ar-AE" sz="1100" b="1" i="0">
                  <a:solidFill>
                    <a:schemeClr val="dk1"/>
                  </a:solidFill>
                  <a:effectLst/>
                  <a:latin typeface="+mn-lt"/>
                  <a:ea typeface="Cambria Math" panose="02040503050406030204" pitchFamily="18" charset="0"/>
                  <a:cs typeface="+mn-cs"/>
                </a:rPr>
                <a:t>〖</a:t>
              </a:r>
              <a:r>
                <a:rPr lang="en-IN" sz="1100" b="1" i="0">
                  <a:solidFill>
                    <a:schemeClr val="dk1"/>
                  </a:solidFill>
                  <a:effectLst/>
                  <a:latin typeface="+mn-lt"/>
                  <a:ea typeface="Cambria Math" panose="02040503050406030204" pitchFamily="18" charset="0"/>
                  <a:cs typeface="+mn-cs"/>
                </a:rPr>
                <a:t>"Default</a:t>
              </a:r>
              <a:r>
                <a:rPr lang="ar-AE" sz="1100" b="1" i="0">
                  <a:solidFill>
                    <a:schemeClr val="dk1"/>
                  </a:solidFill>
                  <a:effectLst/>
                  <a:latin typeface="+mn-lt"/>
                  <a:ea typeface="Cambria Math" panose="02040503050406030204" pitchFamily="18" charset="0"/>
                  <a:cs typeface="+mn-cs"/>
                </a:rPr>
                <a:t> </a:t>
              </a:r>
              <a:r>
                <a:rPr lang="en-IN" sz="1100" b="1" i="0">
                  <a:solidFill>
                    <a:schemeClr val="dk1"/>
                  </a:solidFill>
                  <a:effectLst/>
                  <a:latin typeface="+mn-lt"/>
                  <a:ea typeface="Cambria Math" panose="02040503050406030204" pitchFamily="18" charset="0"/>
                  <a:cs typeface="+mn-cs"/>
                </a:rPr>
                <a:t>Spread "  𝟏</a:t>
              </a:r>
              <a:r>
                <a:rPr lang="ar-AE" sz="1100" b="1" i="0">
                  <a:solidFill>
                    <a:schemeClr val="dk1"/>
                  </a:solidFill>
                  <a:effectLst/>
                  <a:latin typeface="+mn-lt"/>
                  <a:ea typeface="Cambria Math" panose="02040503050406030204" pitchFamily="18" charset="0"/>
                  <a:cs typeface="+mn-cs"/>
                </a:rPr>
                <a:t>〗_𝑪𝑫𝑺</a:t>
              </a:r>
              <a:r>
                <a:rPr lang="ar-AE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IN" sz="1100" b="1" i="0">
                  <a:solidFill>
                    <a:schemeClr val="dk1"/>
                  </a:solidFill>
                  <a:effectLst/>
                  <a:latin typeface="Calibri "/>
                  <a:ea typeface="+mn-ea"/>
                  <a:cs typeface="+mn-cs"/>
                </a:rPr>
                <a:t>𝑹𝒂𝒕𝒊𝒏</a:t>
              </a:r>
              <a:r>
                <a:rPr lang="en-IN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 </a:t>
              </a:r>
              <a:r>
                <a:rPr lang="en-IN" sz="1100" b="1" i="0">
                  <a:solidFill>
                    <a:schemeClr val="dk1"/>
                  </a:solidFill>
                  <a:effectLst/>
                  <a:latin typeface="Calibri "/>
                  <a:ea typeface="+mn-ea"/>
                  <a:cs typeface="+mn-cs"/>
                </a:rPr>
                <a:t>𝑩𝒂𝒔𝒆𝒅 𝑫𝒆𝒇𝒂𝒖𝒍𝒕 </a:t>
              </a:r>
              <a:r>
                <a:rPr lang="ar-AE" sz="1100" b="1" i="0">
                  <a:solidFill>
                    <a:schemeClr val="dk1"/>
                  </a:solidFill>
                  <a:effectLst/>
                  <a:latin typeface="Calibri "/>
                  <a:ea typeface="+mn-ea"/>
                  <a:cs typeface="+mn-cs"/>
                </a:rPr>
                <a:t>〖𝑺</a:t>
              </a:r>
              <a:r>
                <a:rPr lang="en-IN" sz="1100" b="1" i="0">
                  <a:solidFill>
                    <a:schemeClr val="dk1"/>
                  </a:solidFill>
                  <a:effectLst/>
                  <a:latin typeface="Calibri "/>
                  <a:ea typeface="+mn-ea"/>
                  <a:cs typeface="+mn-cs"/>
                </a:rPr>
                <a:t>𝒑𝒓𝒆𝒂𝒅</a:t>
              </a:r>
              <a:r>
                <a:rPr lang="ar-AE" sz="1100" b="1" i="0">
                  <a:solidFill>
                    <a:schemeClr val="dk1"/>
                  </a:solidFill>
                  <a:effectLst/>
                  <a:latin typeface="Calibri "/>
                  <a:ea typeface="+mn-ea"/>
                  <a:cs typeface="+mn-cs"/>
                </a:rPr>
                <a:t>〗_</a:t>
              </a:r>
              <a:r>
                <a:rPr lang="en-IN" sz="1100" b="1" i="0">
                  <a:solidFill>
                    <a:schemeClr val="dk1"/>
                  </a:solidFill>
                  <a:effectLst/>
                  <a:latin typeface="Calibri "/>
                  <a:ea typeface="+mn-ea"/>
                  <a:cs typeface="+mn-cs"/>
                </a:rPr>
                <a:t>𝑰𝒏𝒅𝒊𝒂</a:t>
              </a:r>
              <a:endParaRPr lang="en-IN" sz="1100" b="0">
                <a:latin typeface="Calibri "/>
              </a:endParaRPr>
            </a:p>
            <a:p>
              <a:pPr/>
              <a:r>
                <a:rPr lang="ar-AE" sz="1100" b="1" i="0">
                  <a:solidFill>
                    <a:schemeClr val="dk1"/>
                  </a:solidFill>
                  <a:latin typeface="+mn-lt"/>
                  <a:ea typeface="Cambria Math" panose="02040503050406030204" pitchFamily="18" charset="0"/>
                  <a:cs typeface="+mn-cs"/>
                </a:rPr>
                <a:t>〖</a:t>
              </a:r>
              <a:r>
                <a:rPr lang="en-IN" sz="1100" b="1" i="0">
                  <a:solidFill>
                    <a:schemeClr val="dk1"/>
                  </a:solidFill>
                  <a:latin typeface="+mn-lt"/>
                  <a:ea typeface="Cambria Math" panose="02040503050406030204" pitchFamily="18" charset="0"/>
                  <a:cs typeface="+mn-cs"/>
                </a:rPr>
                <a:t>"</a:t>
              </a:r>
              <a:r>
                <a:rPr lang="en-IN" sz="1100" b="1" i="0">
                  <a:latin typeface="+mn-lt"/>
                  <a:ea typeface="Cambria Math" panose="02040503050406030204" pitchFamily="18" charset="0"/>
                </a:rPr>
                <a:t>Default</a:t>
              </a:r>
              <a:r>
                <a:rPr lang="ar-AE" sz="1100" b="1" i="0">
                  <a:latin typeface="+mn-lt"/>
                  <a:ea typeface="Cambria Math" panose="02040503050406030204" pitchFamily="18" charset="0"/>
                </a:rPr>
                <a:t> </a:t>
              </a:r>
              <a:r>
                <a:rPr lang="en-IN" sz="1100" b="1" i="0">
                  <a:latin typeface="+mn-lt"/>
                  <a:ea typeface="Cambria Math" panose="02040503050406030204" pitchFamily="18" charset="0"/>
                </a:rPr>
                <a:t>Spread "  𝟐</a:t>
              </a:r>
              <a:r>
                <a:rPr lang="ar-AE" sz="1100" b="1" i="0">
                  <a:solidFill>
                    <a:schemeClr val="dk1"/>
                  </a:solidFill>
                  <a:latin typeface="+mn-lt"/>
                  <a:ea typeface="Cambria Math" panose="02040503050406030204" pitchFamily="18" charset="0"/>
                  <a:cs typeface="+mn-cs"/>
                </a:rPr>
                <a:t>〗_</a:t>
              </a:r>
              <a:r>
                <a:rPr lang="ar-AE" sz="1100" b="1" i="0">
                  <a:latin typeface="+mn-lt"/>
                  <a:ea typeface="Cambria Math" panose="02040503050406030204" pitchFamily="18" charset="0"/>
                </a:rPr>
                <a:t>𝑪𝑫𝑺</a:t>
              </a:r>
              <a:r>
                <a:rPr lang="ar-AE" sz="1100" b="1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=𝑪𝑫𝑺_</a:t>
              </a:r>
              <a:r>
                <a:rPr lang="en-IN" sz="1100" b="1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𝑰𝒏𝒅𝒊𝒂</a:t>
              </a:r>
              <a:r>
                <a:rPr lang="ar-AE" sz="1100" b="1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−𝑪𝑫𝑺_𝑺𝒘𝒊𝒕𝒛𝒆𝒓𝒍𝒂𝒏𝒅</a:t>
              </a:r>
              <a:endParaRPr lang="ar-AE" sz="1100" b="1" i="1">
                <a:latin typeface="+mn-lt"/>
              </a:endParaRPr>
            </a:p>
            <a:p>
              <a:endParaRPr lang="en-IN" sz="1200" b="1"/>
            </a:p>
            <a:p>
              <a:r>
                <a:rPr lang="en-IN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•  </a:t>
              </a:r>
              <a:r>
                <a:rPr lang="en-IN" sz="1200" b="0"/>
                <a:t>Rating-based default spreads,</a:t>
              </a:r>
              <a:r>
                <a:rPr lang="en-IN" sz="1200" baseline="0"/>
                <a:t> </a:t>
              </a:r>
              <a:r>
                <a:rPr lang="en-IN" sz="1200"/>
                <a:t>Moody’s sovereign ratings are mapped to default spreads using Damodaran’s lookup table.</a:t>
              </a:r>
              <a:r>
                <a:rPr lang="en-IN" sz="1200" baseline="0"/>
                <a:t> </a:t>
              </a:r>
            </a:p>
            <a:p>
              <a:endParaRPr lang="en-IN" sz="1200"/>
            </a:p>
            <a:p>
              <a:r>
                <a:rPr lang="en-IN" sz="1200" b="1"/>
                <a:t>3. India Risk Measurement: Relative Volatility and CRP</a:t>
              </a:r>
            </a:p>
            <a:p>
              <a:r>
                <a:rPr lang="en-IN" sz="1200"/>
                <a:t>Since sovereign default spreads measure credit risk but not the higher volatility of equity markets, they are adjusted using a relative volatility factor estimated as:</a:t>
              </a:r>
            </a:p>
            <a:p>
              <a:endParaRPr lang="en-IN" sz="1200"/>
            </a:p>
            <a:p>
              <a:pPr algn="ctr"/>
              <a:r>
                <a:rPr lang="en-IN" sz="1200" b="1" i="1"/>
                <a:t>Relative Volatility =</a:t>
              </a:r>
              <a:r>
                <a:rPr lang="en-IN" sz="1400" b="1" i="1"/>
                <a:t> </a:t>
              </a:r>
              <a:r>
                <a:rPr lang="el-GR" sz="1200" b="1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σ</a:t>
              </a:r>
              <a:r>
                <a:rPr lang="en-IN" sz="1200" b="1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l-GR" sz="1200" b="1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IN" sz="1200" b="1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Nifty 50 Index)</a:t>
              </a:r>
              <a:r>
                <a:rPr lang="en-IN" sz="1100" b="1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/ </a:t>
              </a:r>
              <a:r>
                <a:rPr lang="el-GR" sz="1200" b="1" i="1"/>
                <a:t>σ</a:t>
              </a:r>
              <a:r>
                <a:rPr lang="en-IN" sz="1200" b="1" i="1"/>
                <a:t> </a:t>
              </a:r>
              <a:r>
                <a:rPr lang="el-GR" sz="1200" b="1" i="1"/>
                <a:t>(</a:t>
              </a:r>
              <a:r>
                <a:rPr lang="en-IN" sz="1200" b="1" i="1"/>
                <a:t>10-Year Government Bond Yields) </a:t>
              </a:r>
            </a:p>
            <a:p>
              <a:pPr algn="ctr"/>
              <a:endParaRPr lang="en-IN" sz="1200" b="1" i="1"/>
            </a:p>
            <a:p>
              <a:r>
                <a:rPr lang="en-IN" sz="1200"/>
                <a:t>Two variants of country risk premium are calculated:</a:t>
              </a:r>
            </a:p>
            <a:p>
              <a:pPr/>
              <a:r>
                <a:rPr lang="ar-AE" sz="11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IN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"CRP 1</a:t>
              </a:r>
              <a:r>
                <a:rPr lang="ar-AE" sz="12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</a:t>
              </a:r>
              <a:r>
                <a:rPr lang="ar-AE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ar-AE" sz="1200" b="1" i="0">
                  <a:latin typeface="Cambria Math" panose="02040503050406030204" pitchFamily="18" charset="0"/>
                </a:rPr>
                <a:t>𝑹𝒂𝒕𝒊𝒏𝒈𝒔</a:t>
              </a:r>
              <a:r>
                <a:rPr lang="ar-AE" sz="11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=〖</a:t>
              </a:r>
              <a:r>
                <a:rPr lang="en-IN" sz="1100" b="1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"Default Spread</a:t>
              </a:r>
              <a:r>
                <a:rPr lang="en-IN" sz="11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  𝟏</a:t>
              </a:r>
              <a:r>
                <a:rPr lang="ar-AE" sz="11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〗_𝑹𝒂𝒕𝒊𝒏𝒈𝒔×</a:t>
              </a:r>
              <a:r>
                <a:rPr lang="en-IN" sz="11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"Relative Volatility</a:t>
              </a:r>
              <a:r>
                <a:rPr lang="en-IN" sz="1100" b="1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</a:t>
              </a:r>
              <a:endParaRPr lang="ar-AE" sz="1200" b="1" i="1"/>
            </a:p>
            <a:p>
              <a:pPr/>
              <a:r>
                <a:rPr lang="ar-AE" sz="11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IN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"CRP 2</a:t>
              </a:r>
              <a:r>
                <a:rPr lang="ar-AE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〗_</a:t>
              </a:r>
              <a:r>
                <a:rPr lang="ar-AE" sz="1200" b="1" i="0">
                  <a:latin typeface="Cambria Math" panose="02040503050406030204" pitchFamily="18" charset="0"/>
                </a:rPr>
                <a:t>𝑪𝑫𝑺</a:t>
              </a:r>
              <a:r>
                <a:rPr lang="ar-AE" sz="11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=〖</a:t>
              </a:r>
              <a:r>
                <a:rPr lang="en-IN" sz="11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𝑫</a:t>
              </a:r>
              <a:r>
                <a:rPr lang="en-IN" sz="1100" b="1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"efault Spread</a:t>
              </a:r>
              <a:r>
                <a:rPr lang="en-IN" sz="11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  𝟐</a:t>
              </a:r>
              <a:r>
                <a:rPr lang="ar-AE" sz="11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〗_𝑪𝑫𝑺×</a:t>
              </a:r>
              <a:r>
                <a:rPr lang="en-IN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"Relative Volatility</a:t>
              </a:r>
              <a:r>
                <a:rPr lang="en-IN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ar-AE" sz="1200" b="1" i="1"/>
            </a:p>
            <a:p>
              <a:pPr algn="l"/>
              <a:endParaRPr lang="en-IN" sz="1200" b="1" i="1"/>
            </a:p>
            <a:p>
              <a:pPr algn="l"/>
              <a:r>
                <a:rPr lang="en-IN" sz="1200" b="1"/>
                <a:t>4. Equity Risk Premium Outputs</a:t>
              </a:r>
            </a:p>
            <a:p>
              <a:r>
                <a:rPr lang="en-IN" sz="1200"/>
                <a:t>Two ERP values to provide different analytical lenses:</a:t>
              </a:r>
            </a:p>
            <a:p>
              <a:endParaRPr lang="en-IN" sz="1100" b="0" i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/>
              <a:r>
                <a:rPr lang="ar-AE" sz="11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IN" sz="12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en-IN" sz="1200" b="1" i="0"/>
                <a:t>ERP</a:t>
              </a:r>
              <a:r>
                <a:rPr lang="en-IN" sz="1200" b="1" i="0">
                  <a:latin typeface="Cambria Math" panose="02040503050406030204" pitchFamily="18" charset="0"/>
                </a:rPr>
                <a:t>" </a:t>
              </a:r>
              <a:r>
                <a:rPr lang="ar-AE" sz="11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IN" sz="1200" b="1" i="0">
                  <a:latin typeface="Cambria Math" panose="02040503050406030204" pitchFamily="18" charset="0"/>
                </a:rPr>
                <a:t>𝟏</a:t>
              </a:r>
              <a:r>
                <a:rPr lang="ar-AE" sz="11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IN" sz="11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"Mature</a:t>
              </a:r>
              <a:r>
                <a:rPr lang="ar-AE" sz="11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IN" sz="11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Market</a:t>
              </a:r>
              <a:r>
                <a:rPr lang="ar-AE" sz="11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IN" sz="11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ERP</a:t>
              </a:r>
              <a:r>
                <a:rPr lang="ar-AE" sz="11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"+〖</a:t>
              </a:r>
              <a:r>
                <a:rPr lang="en-IN" sz="1100" b="1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"CRP</a:t>
              </a:r>
              <a:r>
                <a:rPr lang="en-IN" sz="11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  𝟏</a:t>
              </a:r>
              <a:r>
                <a:rPr lang="ar-AE" sz="11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〗_𝑹𝒂𝒕𝒊𝒏𝒈𝒔</a:t>
              </a:r>
              <a:endParaRPr lang="ar-AE" sz="1200" b="1" i="1"/>
            </a:p>
            <a:p>
              <a:pPr/>
              <a:r>
                <a:rPr lang="ar-AE" sz="11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IN" sz="12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en-IN" sz="1200" b="1" i="0"/>
                <a:t>ERP</a:t>
              </a:r>
              <a:r>
                <a:rPr lang="en-IN" sz="1200" b="1" i="0">
                  <a:latin typeface="Cambria Math" panose="02040503050406030204" pitchFamily="18" charset="0"/>
                </a:rPr>
                <a:t>" </a:t>
              </a:r>
              <a:r>
                <a:rPr lang="ar-AE" sz="11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IN" sz="1200" b="1" i="0">
                  <a:latin typeface="Cambria Math" panose="02040503050406030204" pitchFamily="18" charset="0"/>
                </a:rPr>
                <a:t>𝟐</a:t>
              </a:r>
              <a:r>
                <a:rPr lang="ar-AE" sz="11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IN" sz="11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"Mature</a:t>
              </a:r>
              <a:r>
                <a:rPr lang="ar-AE" sz="11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IN" sz="11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Market</a:t>
              </a:r>
              <a:r>
                <a:rPr lang="ar-AE" sz="11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IN" sz="11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ERP</a:t>
              </a:r>
              <a:r>
                <a:rPr lang="ar-AE" sz="11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"+〖</a:t>
              </a:r>
              <a:r>
                <a:rPr lang="en-IN" sz="1100" b="1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"CRP 2</a:t>
              </a:r>
              <a:r>
                <a:rPr lang="en-IN" sz="11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 </a:t>
              </a:r>
              <a:r>
                <a:rPr lang="ar-AE" sz="11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〗_𝑪𝑫𝑺</a:t>
              </a:r>
              <a:endParaRPr lang="en-IN" sz="1200" b="1" i="1"/>
            </a:p>
            <a:p>
              <a:endParaRPr lang="en-IN" sz="1200" b="1" i="1"/>
            </a:p>
            <a:p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ERP₂ was estimated</a:t>
              </a:r>
              <a:r>
                <a:rPr lang="en-IN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using CDS spreads as a proxy for default spread, it provides better representation of country's sovereign risk.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jay-finance.github.io/portfolio/" TargetMode="External"/><Relationship Id="rId1" Type="http://schemas.openxmlformats.org/officeDocument/2006/relationships/hyperlink" Target="https://jay-finance.github.io/portfolio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362D3-8044-4160-85EA-1EBE5EEE79A5}">
  <sheetPr>
    <tabColor rgb="FFFFC000"/>
  </sheetPr>
  <dimension ref="B2:E3"/>
  <sheetViews>
    <sheetView showGridLines="0" zoomScale="74" workbookViewId="0">
      <selection activeCell="T13" sqref="T13"/>
    </sheetView>
  </sheetViews>
  <sheetFormatPr defaultRowHeight="15" x14ac:dyDescent="0.25"/>
  <cols>
    <col min="1" max="1" width="1.85546875" customWidth="1"/>
    <col min="2" max="2" width="9.85546875" customWidth="1"/>
    <col min="4" max="4" width="16.7109375" customWidth="1"/>
    <col min="5" max="5" width="13.140625" customWidth="1"/>
  </cols>
  <sheetData>
    <row r="2" spans="2:5" x14ac:dyDescent="0.25">
      <c r="B2" s="50" t="s">
        <v>265</v>
      </c>
      <c r="C2" s="51" t="s">
        <v>266</v>
      </c>
      <c r="D2" s="51"/>
      <c r="E2" s="52"/>
    </row>
    <row r="3" spans="2:5" x14ac:dyDescent="0.25">
      <c r="B3" s="53" t="s">
        <v>267</v>
      </c>
      <c r="C3" s="54" t="s">
        <v>268</v>
      </c>
      <c r="D3" s="55"/>
      <c r="E3" s="56"/>
    </row>
  </sheetData>
  <hyperlinks>
    <hyperlink ref="C3:D3" r:id="rId1" display="https://jay-finance.github.io/portfolio/" xr:uid="{9CD1931E-1633-47BF-B6B2-4D3E08E1E6ED}"/>
    <hyperlink ref="C3" r:id="rId2" xr:uid="{D5B3FC7A-AB09-4065-92B9-692DD95BFCD6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F9C42-708D-4061-81A6-899EA58CB4A2}">
  <dimension ref="B2:C18"/>
  <sheetViews>
    <sheetView showGridLines="0" tabSelected="1" workbookViewId="0">
      <selection activeCell="E19" sqref="B19:E19"/>
    </sheetView>
  </sheetViews>
  <sheetFormatPr defaultRowHeight="15" x14ac:dyDescent="0.25"/>
  <cols>
    <col min="1" max="1" width="1.85546875" customWidth="1"/>
    <col min="2" max="2" width="34" customWidth="1"/>
    <col min="3" max="3" width="13.140625" customWidth="1"/>
  </cols>
  <sheetData>
    <row r="2" spans="2:3" ht="18.75" x14ac:dyDescent="0.3">
      <c r="B2" s="1" t="s">
        <v>0</v>
      </c>
      <c r="C2" s="2" t="s">
        <v>1</v>
      </c>
    </row>
    <row r="3" spans="2:3" ht="3.95" customHeight="1" x14ac:dyDescent="0.25"/>
    <row r="4" spans="2:3" x14ac:dyDescent="0.25">
      <c r="B4" t="s">
        <v>262</v>
      </c>
      <c r="C4" s="47" t="s">
        <v>114</v>
      </c>
    </row>
    <row r="5" spans="2:3" x14ac:dyDescent="0.25">
      <c r="B5" t="s">
        <v>263</v>
      </c>
      <c r="C5" s="48">
        <v>4.1799999999999997E-2</v>
      </c>
    </row>
    <row r="6" spans="2:3" x14ac:dyDescent="0.25">
      <c r="B6" t="s">
        <v>264</v>
      </c>
      <c r="C6" s="47">
        <f>VLOOKUP(ERPcalcINDIA!C4,CDS!$B$8:$D$97,3,FALSE)</f>
        <v>3.3E-3</v>
      </c>
    </row>
    <row r="7" spans="2:3" x14ac:dyDescent="0.25">
      <c r="B7" t="s">
        <v>2</v>
      </c>
      <c r="C7" s="49">
        <f>C5-C6</f>
        <v>3.85E-2</v>
      </c>
    </row>
    <row r="9" spans="2:3" x14ac:dyDescent="0.25">
      <c r="B9" t="s">
        <v>3</v>
      </c>
      <c r="C9" s="3" t="str">
        <f>VLOOKUP(C2,Ratings!$B$4:$E$160,2,FALSE)</f>
        <v>Baa3</v>
      </c>
    </row>
    <row r="10" spans="2:3" x14ac:dyDescent="0.25">
      <c r="B10" t="s">
        <v>4</v>
      </c>
      <c r="C10" s="5">
        <f>RelativeVolatility!E11</f>
        <v>2.1734064605362255</v>
      </c>
    </row>
    <row r="11" spans="2:3" x14ac:dyDescent="0.25">
      <c r="C11" s="6"/>
    </row>
    <row r="12" spans="2:3" x14ac:dyDescent="0.25">
      <c r="B12" t="s">
        <v>258</v>
      </c>
      <c r="C12" s="7">
        <f>VLOOKUP($C$9,Spreads!$C$8:$D$30,2,FALSE)/10000</f>
        <v>2.1767594429291676E-2</v>
      </c>
    </row>
    <row r="13" spans="2:3" x14ac:dyDescent="0.25">
      <c r="B13" t="s">
        <v>257</v>
      </c>
      <c r="C13" s="8">
        <f>$C$10*C12</f>
        <v>4.7309830362954886E-2</v>
      </c>
    </row>
    <row r="14" spans="2:3" x14ac:dyDescent="0.25">
      <c r="B14" s="4" t="s">
        <v>256</v>
      </c>
      <c r="C14" s="10">
        <f>$C$7+C13</f>
        <v>8.5809830362954892E-2</v>
      </c>
    </row>
    <row r="15" spans="2:3" x14ac:dyDescent="0.25">
      <c r="C15" s="11"/>
    </row>
    <row r="16" spans="2:3" x14ac:dyDescent="0.25">
      <c r="B16" t="s">
        <v>259</v>
      </c>
      <c r="C16" s="7">
        <f>VLOOKUP($C$2,CDS!$B$8:$D$97,3,FALSE)</f>
        <v>6.6999999999999994E-3</v>
      </c>
    </row>
    <row r="17" spans="2:3" x14ac:dyDescent="0.25">
      <c r="B17" t="s">
        <v>260</v>
      </c>
      <c r="C17" s="8">
        <f>$C$10*C16</f>
        <v>1.4561823285592709E-2</v>
      </c>
    </row>
    <row r="18" spans="2:3" x14ac:dyDescent="0.25">
      <c r="B18" s="4" t="s">
        <v>261</v>
      </c>
      <c r="C18" s="10">
        <f>$C$7+C17</f>
        <v>5.306182328559271E-2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E3842-D18F-4628-BDF4-05B9FF8E03E0}">
  <dimension ref="B1:I1266"/>
  <sheetViews>
    <sheetView showGridLines="0" topLeftCell="A2" workbookViewId="0">
      <selection activeCell="F13" sqref="F13:H13"/>
    </sheetView>
  </sheetViews>
  <sheetFormatPr defaultRowHeight="15" x14ac:dyDescent="0.25"/>
  <cols>
    <col min="1" max="1" width="1.85546875" customWidth="1"/>
    <col min="2" max="2" width="16.85546875" bestFit="1" customWidth="1"/>
    <col min="3" max="3" width="14.42578125" customWidth="1"/>
    <col min="4" max="4" width="16.140625" bestFit="1" customWidth="1"/>
    <col min="5" max="5" width="17" bestFit="1" customWidth="1"/>
    <col min="6" max="6" width="13.28515625" style="23" customWidth="1"/>
    <col min="7" max="7" width="11.42578125" customWidth="1"/>
    <col min="8" max="8" width="17.140625" customWidth="1"/>
    <col min="9" max="9" width="20.42578125" bestFit="1" customWidth="1"/>
    <col min="10" max="10" width="12.5703125" customWidth="1"/>
    <col min="11" max="11" width="13.5703125" customWidth="1"/>
    <col min="12" max="12" width="5.7109375" customWidth="1"/>
  </cols>
  <sheetData>
    <row r="1" spans="2:9" x14ac:dyDescent="0.25">
      <c r="F1"/>
    </row>
    <row r="2" spans="2:9" ht="21" x14ac:dyDescent="0.35">
      <c r="B2" s="12" t="s">
        <v>5</v>
      </c>
      <c r="C2" s="13"/>
      <c r="D2" s="13"/>
      <c r="E2" s="13"/>
      <c r="F2" s="13"/>
      <c r="G2" s="13"/>
      <c r="H2" s="13"/>
    </row>
    <row r="3" spans="2:9" x14ac:dyDescent="0.25">
      <c r="F3"/>
    </row>
    <row r="4" spans="2:9" x14ac:dyDescent="0.25">
      <c r="B4" s="14" t="s">
        <v>6</v>
      </c>
      <c r="C4" s="15" t="s">
        <v>7</v>
      </c>
      <c r="D4" s="15" t="s">
        <v>8</v>
      </c>
      <c r="E4" s="16" t="s">
        <v>9</v>
      </c>
      <c r="F4"/>
    </row>
    <row r="5" spans="2:9" ht="3.95" customHeight="1" x14ac:dyDescent="0.25">
      <c r="B5" s="17"/>
      <c r="C5" s="18"/>
      <c r="D5" s="18"/>
      <c r="E5" s="19"/>
      <c r="F5"/>
    </row>
    <row r="6" spans="2:9" x14ac:dyDescent="0.25">
      <c r="B6" s="20">
        <v>2020</v>
      </c>
      <c r="C6" s="21">
        <f>_xlfn.STDEV.S(D20:D271)*SQRT(252)</f>
        <v>0.31223942921627573</v>
      </c>
      <c r="D6" s="21">
        <f>_xlfn.STDEV.S(H20:H264)*SQRT(246)</f>
        <v>0.12338548650652388</v>
      </c>
      <c r="E6" s="22">
        <f t="shared" ref="E6:E10" si="0">C6/D6</f>
        <v>2.5306009487571814</v>
      </c>
      <c r="F6"/>
    </row>
    <row r="7" spans="2:9" x14ac:dyDescent="0.25">
      <c r="B7" s="20">
        <v>2021</v>
      </c>
      <c r="C7" s="21">
        <f>_xlfn.STDEV.S(D273:D520)*SQRT(248)</f>
        <v>0.15528737027085257</v>
      </c>
      <c r="D7" s="21">
        <f>_xlfn.STDEV.S(H266:H506)*SQRT(241)</f>
        <v>6.9604425480404353E-2</v>
      </c>
      <c r="E7" s="22">
        <f t="shared" si="0"/>
        <v>2.2309985205548521</v>
      </c>
      <c r="F7"/>
    </row>
    <row r="8" spans="2:9" x14ac:dyDescent="0.25">
      <c r="B8" s="20">
        <v>2022</v>
      </c>
      <c r="C8" s="21">
        <f>_xlfn.STDEV.S(D522:D769)*SQRT(248)</f>
        <v>0.17189383185687682</v>
      </c>
      <c r="D8" s="21">
        <f>_xlfn.STDEV.S(H508:H750)*SQRT(243)</f>
        <v>0.10636233040440496</v>
      </c>
      <c r="E8" s="22">
        <f t="shared" si="0"/>
        <v>1.6161156981359059</v>
      </c>
      <c r="F8"/>
    </row>
    <row r="9" spans="2:9" x14ac:dyDescent="0.25">
      <c r="B9" s="20">
        <v>2023</v>
      </c>
      <c r="C9" s="21">
        <f>_xlfn.STDEV.S(D771:D1016)*SQRT(246)</f>
        <v>9.7007225769125571E-2</v>
      </c>
      <c r="D9" s="21">
        <f>_xlfn.STDEV.S(H752:H994)*SQRT(243)</f>
        <v>5.67558547952162E-2</v>
      </c>
      <c r="E9" s="22">
        <f t="shared" si="0"/>
        <v>1.7092020923505156</v>
      </c>
      <c r="F9"/>
    </row>
    <row r="10" spans="2:9" x14ac:dyDescent="0.25">
      <c r="B10" s="23">
        <v>2024</v>
      </c>
      <c r="C10" s="24">
        <f>_xlfn.STDEV.S(D1018:D1266)*SQRT(249)</f>
        <v>0.13866746558608922</v>
      </c>
      <c r="D10" s="24">
        <f>_xlfn.STDEV.S(H996:H1235)*SQRT(240)</f>
        <v>4.6529577168810385E-2</v>
      </c>
      <c r="E10" s="25">
        <f t="shared" si="0"/>
        <v>2.9802004235499591</v>
      </c>
      <c r="F10"/>
    </row>
    <row r="11" spans="2:9" ht="15.75" thickBot="1" x14ac:dyDescent="0.3">
      <c r="B11" s="26" t="s">
        <v>10</v>
      </c>
      <c r="C11" s="27">
        <f>AVERAGE(C6:C10)</f>
        <v>0.17501906453984398</v>
      </c>
      <c r="D11" s="27">
        <f t="shared" ref="D11" si="1">AVERAGE(D6:D10)</f>
        <v>8.0527534871071962E-2</v>
      </c>
      <c r="E11" s="28">
        <f>C11/D11</f>
        <v>2.1734064605362255</v>
      </c>
      <c r="F11" s="9"/>
      <c r="G11" s="24"/>
      <c r="I11" s="9"/>
    </row>
    <row r="12" spans="2:9" x14ac:dyDescent="0.25">
      <c r="B12" s="23"/>
      <c r="C12" s="9"/>
      <c r="D12" s="9"/>
      <c r="E12" s="29"/>
      <c r="F12" s="9"/>
      <c r="G12" s="24"/>
      <c r="I12" s="9"/>
    </row>
    <row r="13" spans="2:9" x14ac:dyDescent="0.25">
      <c r="B13" s="4" t="s">
        <v>11</v>
      </c>
      <c r="C13" s="4" t="s">
        <v>12</v>
      </c>
      <c r="F13" s="4" t="s">
        <v>13</v>
      </c>
      <c r="G13" s="4"/>
    </row>
    <row r="14" spans="2:9" x14ac:dyDescent="0.25">
      <c r="B14" t="s">
        <v>14</v>
      </c>
      <c r="C14" t="s">
        <v>15</v>
      </c>
      <c r="F14" t="s">
        <v>14</v>
      </c>
      <c r="G14" t="s">
        <v>15</v>
      </c>
    </row>
    <row r="15" spans="2:9" x14ac:dyDescent="0.25">
      <c r="B15" t="s">
        <v>16</v>
      </c>
      <c r="C15" t="s">
        <v>17</v>
      </c>
      <c r="F15" t="s">
        <v>16</v>
      </c>
      <c r="G15" t="s">
        <v>17</v>
      </c>
    </row>
    <row r="16" spans="2:9" ht="3.95" customHeight="1" x14ac:dyDescent="0.25">
      <c r="F16" t="s">
        <v>18</v>
      </c>
    </row>
    <row r="17" spans="2:9" x14ac:dyDescent="0.25">
      <c r="B17" s="16" t="s">
        <v>19</v>
      </c>
      <c r="C17" s="15" t="s">
        <v>20</v>
      </c>
      <c r="D17" s="15" t="s">
        <v>21</v>
      </c>
      <c r="F17" s="16" t="s">
        <v>19</v>
      </c>
      <c r="G17" s="15" t="s">
        <v>22</v>
      </c>
      <c r="H17" s="15" t="s">
        <v>21</v>
      </c>
    </row>
    <row r="18" spans="2:9" ht="3.95" customHeight="1" x14ac:dyDescent="0.25">
      <c r="F18"/>
      <c r="H18" s="17"/>
    </row>
    <row r="19" spans="2:9" x14ac:dyDescent="0.25">
      <c r="B19" s="30">
        <v>43830</v>
      </c>
      <c r="C19" s="31">
        <v>12168.45</v>
      </c>
      <c r="D19" s="32"/>
      <c r="F19" s="30">
        <v>43830</v>
      </c>
      <c r="G19" s="32">
        <v>6.5540000000000003</v>
      </c>
      <c r="H19" s="32"/>
    </row>
    <row r="20" spans="2:9" x14ac:dyDescent="0.25">
      <c r="B20" s="30">
        <v>43831</v>
      </c>
      <c r="C20" s="31">
        <v>12182.5</v>
      </c>
      <c r="D20" s="21">
        <f>C20/C19-1</f>
        <v>1.1546252809520041E-3</v>
      </c>
      <c r="F20" s="30">
        <v>43831</v>
      </c>
      <c r="G20" s="32">
        <v>6.5010000000000003</v>
      </c>
      <c r="H20" s="21">
        <f>G20/G19-1</f>
        <v>-8.0866646322855784E-3</v>
      </c>
      <c r="I20" s="33"/>
    </row>
    <row r="21" spans="2:9" x14ac:dyDescent="0.25">
      <c r="B21" s="30">
        <v>43832</v>
      </c>
      <c r="C21" s="31">
        <v>12282.2</v>
      </c>
      <c r="D21" s="21">
        <f t="shared" ref="D21:D84" si="2">C21/C20-1</f>
        <v>8.1838703057666162E-3</v>
      </c>
      <c r="F21" s="30">
        <v>43832</v>
      </c>
      <c r="G21" s="32">
        <v>6.5019999999999998</v>
      </c>
      <c r="H21" s="21">
        <f t="shared" ref="H21:H84" si="3">G21/G20-1</f>
        <v>1.5382248884776573E-4</v>
      </c>
    </row>
    <row r="22" spans="2:9" x14ac:dyDescent="0.25">
      <c r="B22" s="30">
        <v>43833</v>
      </c>
      <c r="C22" s="31">
        <v>12226.65</v>
      </c>
      <c r="D22" s="21">
        <f t="shared" si="2"/>
        <v>-4.5228053606032326E-3</v>
      </c>
      <c r="F22" s="30">
        <v>43833</v>
      </c>
      <c r="G22" s="32">
        <v>6.51</v>
      </c>
      <c r="H22" s="21">
        <f t="shared" si="3"/>
        <v>1.2303906490309657E-3</v>
      </c>
    </row>
    <row r="23" spans="2:9" x14ac:dyDescent="0.25">
      <c r="B23" s="30">
        <v>43836</v>
      </c>
      <c r="C23" s="31">
        <v>11993.05</v>
      </c>
      <c r="D23" s="21">
        <f t="shared" si="2"/>
        <v>-1.91058057603678E-2</v>
      </c>
      <c r="F23" s="30">
        <v>43836</v>
      </c>
      <c r="G23" s="32">
        <v>6.5650000000000004</v>
      </c>
      <c r="H23" s="21">
        <f t="shared" si="3"/>
        <v>8.4485407066052787E-3</v>
      </c>
    </row>
    <row r="24" spans="2:9" x14ac:dyDescent="0.25">
      <c r="B24" s="30">
        <v>43837</v>
      </c>
      <c r="C24" s="31">
        <v>12052.95</v>
      </c>
      <c r="D24" s="21">
        <f t="shared" si="2"/>
        <v>4.9945593489564288E-3</v>
      </c>
      <c r="F24" s="30">
        <v>43837</v>
      </c>
      <c r="G24" s="32">
        <v>6.55</v>
      </c>
      <c r="H24" s="21">
        <f t="shared" si="3"/>
        <v>-2.2848438690024064E-3</v>
      </c>
    </row>
    <row r="25" spans="2:9" x14ac:dyDescent="0.25">
      <c r="B25" s="30">
        <v>43838</v>
      </c>
      <c r="C25" s="31">
        <v>12025.35</v>
      </c>
      <c r="D25" s="21">
        <f t="shared" si="2"/>
        <v>-2.2898958346296849E-3</v>
      </c>
      <c r="F25" s="30">
        <v>43838</v>
      </c>
      <c r="G25" s="32">
        <v>6.5570000000000004</v>
      </c>
      <c r="H25" s="21">
        <f t="shared" si="3"/>
        <v>1.0687022900763843E-3</v>
      </c>
    </row>
    <row r="26" spans="2:9" x14ac:dyDescent="0.25">
      <c r="B26" s="30">
        <v>43839</v>
      </c>
      <c r="C26" s="31">
        <v>12215.9</v>
      </c>
      <c r="D26" s="21">
        <f t="shared" si="2"/>
        <v>1.5845692640962472E-2</v>
      </c>
      <c r="F26" s="30">
        <v>43839</v>
      </c>
      <c r="G26" s="32">
        <v>6.524</v>
      </c>
      <c r="H26" s="21">
        <f t="shared" si="3"/>
        <v>-5.0327893853897576E-3</v>
      </c>
    </row>
    <row r="27" spans="2:9" x14ac:dyDescent="0.25">
      <c r="B27" s="30">
        <v>43840</v>
      </c>
      <c r="C27" s="31">
        <v>12256.8</v>
      </c>
      <c r="D27" s="21">
        <f t="shared" si="2"/>
        <v>3.3480955148617042E-3</v>
      </c>
      <c r="F27" s="30">
        <v>43840</v>
      </c>
      <c r="G27" s="32">
        <v>6.585</v>
      </c>
      <c r="H27" s="21">
        <f t="shared" si="3"/>
        <v>9.3500919681177574E-3</v>
      </c>
    </row>
    <row r="28" spans="2:9" x14ac:dyDescent="0.25">
      <c r="B28" s="30">
        <v>43843</v>
      </c>
      <c r="C28" s="31">
        <v>12329.55</v>
      </c>
      <c r="D28" s="21">
        <f t="shared" si="2"/>
        <v>5.9354807127471876E-3</v>
      </c>
      <c r="F28" s="30">
        <v>43843</v>
      </c>
      <c r="G28" s="32">
        <v>6.5919999999999996</v>
      </c>
      <c r="H28" s="21">
        <f t="shared" si="3"/>
        <v>1.0630220197418438E-3</v>
      </c>
    </row>
    <row r="29" spans="2:9" x14ac:dyDescent="0.25">
      <c r="B29" s="30">
        <v>43844</v>
      </c>
      <c r="C29" s="31">
        <v>12362.3</v>
      </c>
      <c r="D29" s="21">
        <f t="shared" si="2"/>
        <v>2.6562202189048811E-3</v>
      </c>
      <c r="F29" s="30">
        <v>43844</v>
      </c>
      <c r="G29" s="32">
        <v>6.6619999999999999</v>
      </c>
      <c r="H29" s="21">
        <f t="shared" si="3"/>
        <v>1.0618932038835016E-2</v>
      </c>
    </row>
    <row r="30" spans="2:9" x14ac:dyDescent="0.25">
      <c r="B30" s="30">
        <v>43845</v>
      </c>
      <c r="C30" s="31">
        <v>12343.3</v>
      </c>
      <c r="D30" s="21">
        <f t="shared" si="2"/>
        <v>-1.5369308300234863E-3</v>
      </c>
      <c r="F30" s="30">
        <v>43845</v>
      </c>
      <c r="G30" s="32">
        <v>6.6230000000000002</v>
      </c>
      <c r="H30" s="21">
        <f t="shared" si="3"/>
        <v>-5.8540978685078793E-3</v>
      </c>
    </row>
    <row r="31" spans="2:9" x14ac:dyDescent="0.25">
      <c r="B31" s="30">
        <v>43846</v>
      </c>
      <c r="C31" s="31">
        <v>12355.5</v>
      </c>
      <c r="D31" s="21">
        <f t="shared" si="2"/>
        <v>9.8839046284227017E-4</v>
      </c>
      <c r="F31" s="30">
        <v>43846</v>
      </c>
      <c r="G31" s="32">
        <v>6.5979999999999999</v>
      </c>
      <c r="H31" s="21">
        <f t="shared" si="3"/>
        <v>-3.7747244451155071E-3</v>
      </c>
    </row>
    <row r="32" spans="2:9" x14ac:dyDescent="0.25">
      <c r="B32" s="30">
        <v>43847</v>
      </c>
      <c r="C32" s="31">
        <v>12352.35</v>
      </c>
      <c r="D32" s="21">
        <f t="shared" si="2"/>
        <v>-2.5494718951069029E-4</v>
      </c>
      <c r="F32" s="30">
        <v>43847</v>
      </c>
      <c r="G32" s="32">
        <v>6.6219999999999999</v>
      </c>
      <c r="H32" s="21">
        <f t="shared" si="3"/>
        <v>3.6374658987572417E-3</v>
      </c>
    </row>
    <row r="33" spans="2:8" x14ac:dyDescent="0.25">
      <c r="B33" s="30">
        <v>43850</v>
      </c>
      <c r="C33" s="31">
        <v>12224.55</v>
      </c>
      <c r="D33" s="21">
        <f t="shared" si="2"/>
        <v>-1.0346209425736941E-2</v>
      </c>
      <c r="F33" s="30">
        <v>43850</v>
      </c>
      <c r="G33" s="32">
        <v>6.6390000000000002</v>
      </c>
      <c r="H33" s="21">
        <f t="shared" si="3"/>
        <v>2.5672002416188278E-3</v>
      </c>
    </row>
    <row r="34" spans="2:8" x14ac:dyDescent="0.25">
      <c r="B34" s="30">
        <v>43851</v>
      </c>
      <c r="C34" s="31">
        <v>12169.85</v>
      </c>
      <c r="D34" s="21">
        <f t="shared" si="2"/>
        <v>-4.4746023371002863E-3</v>
      </c>
      <c r="F34" s="30">
        <v>43851</v>
      </c>
      <c r="G34" s="32">
        <v>6.633</v>
      </c>
      <c r="H34" s="21">
        <f t="shared" si="3"/>
        <v>-9.0375056484415239E-4</v>
      </c>
    </row>
    <row r="35" spans="2:8" x14ac:dyDescent="0.25">
      <c r="B35" s="30">
        <v>43852</v>
      </c>
      <c r="C35" s="31">
        <v>12106.9</v>
      </c>
      <c r="D35" s="21">
        <f t="shared" si="2"/>
        <v>-5.172619218807184E-3</v>
      </c>
      <c r="F35" s="30">
        <v>43852</v>
      </c>
      <c r="G35" s="32">
        <v>6.6349999999999998</v>
      </c>
      <c r="H35" s="21">
        <f t="shared" si="3"/>
        <v>3.015226895823897E-4</v>
      </c>
    </row>
    <row r="36" spans="2:8" x14ac:dyDescent="0.25">
      <c r="B36" s="30">
        <v>43853</v>
      </c>
      <c r="C36" s="31">
        <v>12180.35</v>
      </c>
      <c r="D36" s="21">
        <f t="shared" si="2"/>
        <v>6.0667883603564565E-3</v>
      </c>
      <c r="F36" s="30">
        <v>43853</v>
      </c>
      <c r="G36" s="32">
        <v>6.5960000000000001</v>
      </c>
      <c r="H36" s="21">
        <f t="shared" si="3"/>
        <v>-5.8779201205726439E-3</v>
      </c>
    </row>
    <row r="37" spans="2:8" x14ac:dyDescent="0.25">
      <c r="B37" s="30">
        <v>43854</v>
      </c>
      <c r="C37" s="31">
        <v>12248.25</v>
      </c>
      <c r="D37" s="21">
        <f t="shared" si="2"/>
        <v>5.5745524553891812E-3</v>
      </c>
      <c r="F37" s="30">
        <v>43854</v>
      </c>
      <c r="G37" s="32">
        <v>6.5780000000000003</v>
      </c>
      <c r="H37" s="21">
        <f t="shared" si="3"/>
        <v>-2.7289266221952602E-3</v>
      </c>
    </row>
    <row r="38" spans="2:8" x14ac:dyDescent="0.25">
      <c r="B38" s="30">
        <v>43857</v>
      </c>
      <c r="C38" s="31">
        <v>12119</v>
      </c>
      <c r="D38" s="21">
        <f t="shared" si="2"/>
        <v>-1.0552527912150667E-2</v>
      </c>
      <c r="F38" s="30">
        <v>43857</v>
      </c>
      <c r="G38" s="32">
        <v>6.5510000000000002</v>
      </c>
      <c r="H38" s="21">
        <f t="shared" si="3"/>
        <v>-4.1045910611128278E-3</v>
      </c>
    </row>
    <row r="39" spans="2:8" x14ac:dyDescent="0.25">
      <c r="B39" s="30">
        <v>43858</v>
      </c>
      <c r="C39" s="31">
        <v>12055.8</v>
      </c>
      <c r="D39" s="21">
        <f t="shared" si="2"/>
        <v>-5.2149517286905755E-3</v>
      </c>
      <c r="F39" s="30">
        <v>43858</v>
      </c>
      <c r="G39" s="32">
        <v>6.5750000000000002</v>
      </c>
      <c r="H39" s="21">
        <f t="shared" si="3"/>
        <v>3.6635628148373733E-3</v>
      </c>
    </row>
    <row r="40" spans="2:8" x14ac:dyDescent="0.25">
      <c r="B40" s="30">
        <v>43859</v>
      </c>
      <c r="C40" s="31">
        <v>12129.5</v>
      </c>
      <c r="D40" s="21">
        <f t="shared" si="2"/>
        <v>6.1132401002008674E-3</v>
      </c>
      <c r="F40" s="30">
        <v>43859</v>
      </c>
      <c r="G40" s="32">
        <v>6.5679999999999996</v>
      </c>
      <c r="H40" s="21">
        <f t="shared" si="3"/>
        <v>-1.064638783270011E-3</v>
      </c>
    </row>
    <row r="41" spans="2:8" x14ac:dyDescent="0.25">
      <c r="B41" s="30">
        <v>43860</v>
      </c>
      <c r="C41" s="31">
        <v>12035.8</v>
      </c>
      <c r="D41" s="21">
        <f t="shared" si="2"/>
        <v>-7.7249680530937503E-3</v>
      </c>
      <c r="F41" s="30">
        <v>43860</v>
      </c>
      <c r="G41" s="32">
        <v>6.5579999999999998</v>
      </c>
      <c r="H41" s="21">
        <f t="shared" si="3"/>
        <v>-1.5225334957368331E-3</v>
      </c>
    </row>
    <row r="42" spans="2:8" x14ac:dyDescent="0.25">
      <c r="B42" s="30">
        <v>43861</v>
      </c>
      <c r="C42" s="31">
        <v>11962.1</v>
      </c>
      <c r="D42" s="21">
        <f t="shared" si="2"/>
        <v>-6.1233985277254765E-3</v>
      </c>
      <c r="F42" s="30">
        <v>43861</v>
      </c>
      <c r="G42" s="32">
        <v>6.5990000000000002</v>
      </c>
      <c r="H42" s="21">
        <f t="shared" si="3"/>
        <v>6.2519060689234518E-3</v>
      </c>
    </row>
    <row r="43" spans="2:8" x14ac:dyDescent="0.25">
      <c r="B43" s="30">
        <v>43862</v>
      </c>
      <c r="C43" s="31">
        <v>11661.85</v>
      </c>
      <c r="D43" s="21">
        <f t="shared" si="2"/>
        <v>-2.5100107840596575E-2</v>
      </c>
      <c r="F43" s="30">
        <v>43864</v>
      </c>
      <c r="G43" s="32">
        <v>6.5030000000000001</v>
      </c>
      <c r="H43" s="21">
        <f t="shared" si="3"/>
        <v>-1.4547658736172142E-2</v>
      </c>
    </row>
    <row r="44" spans="2:8" x14ac:dyDescent="0.25">
      <c r="B44" s="30">
        <v>43864</v>
      </c>
      <c r="C44" s="31">
        <v>11707.9</v>
      </c>
      <c r="D44" s="21">
        <f t="shared" si="2"/>
        <v>3.9487731363376799E-3</v>
      </c>
      <c r="F44" s="30">
        <v>43865</v>
      </c>
      <c r="G44" s="32">
        <v>6.5039999999999996</v>
      </c>
      <c r="H44" s="21">
        <f t="shared" si="3"/>
        <v>1.5377518068571128E-4</v>
      </c>
    </row>
    <row r="45" spans="2:8" x14ac:dyDescent="0.25">
      <c r="B45" s="30">
        <v>43865</v>
      </c>
      <c r="C45" s="31">
        <v>11979.65</v>
      </c>
      <c r="D45" s="21">
        <f t="shared" si="2"/>
        <v>2.3210823461081942E-2</v>
      </c>
      <c r="F45" s="30">
        <v>43866</v>
      </c>
      <c r="G45" s="32">
        <v>6.5049999999999999</v>
      </c>
      <c r="H45" s="21">
        <f t="shared" si="3"/>
        <v>1.5375153751540083E-4</v>
      </c>
    </row>
    <row r="46" spans="2:8" x14ac:dyDescent="0.25">
      <c r="B46" s="30">
        <v>43866</v>
      </c>
      <c r="C46" s="31">
        <v>12089.15</v>
      </c>
      <c r="D46" s="21">
        <f t="shared" si="2"/>
        <v>9.1405007658822424E-3</v>
      </c>
      <c r="F46" s="30">
        <v>43867</v>
      </c>
      <c r="G46" s="32">
        <v>6.4459999999999997</v>
      </c>
      <c r="H46" s="21">
        <f t="shared" si="3"/>
        <v>-9.0699461952344906E-3</v>
      </c>
    </row>
    <row r="47" spans="2:8" x14ac:dyDescent="0.25">
      <c r="B47" s="30">
        <v>43867</v>
      </c>
      <c r="C47" s="31">
        <v>12137.95</v>
      </c>
      <c r="D47" s="21">
        <f t="shared" si="2"/>
        <v>4.0366775166162938E-3</v>
      </c>
      <c r="F47" s="30">
        <v>43868</v>
      </c>
      <c r="G47" s="32">
        <v>6.4390000000000001</v>
      </c>
      <c r="H47" s="21">
        <f t="shared" si="3"/>
        <v>-1.0859447719515636E-3</v>
      </c>
    </row>
    <row r="48" spans="2:8" x14ac:dyDescent="0.25">
      <c r="B48" s="30">
        <v>43868</v>
      </c>
      <c r="C48" s="31">
        <v>12098.35</v>
      </c>
      <c r="D48" s="21">
        <f t="shared" si="2"/>
        <v>-3.2624949023517535E-3</v>
      </c>
      <c r="F48" s="30">
        <v>43871</v>
      </c>
      <c r="G48" s="32">
        <v>6.44</v>
      </c>
      <c r="H48" s="21">
        <f t="shared" si="3"/>
        <v>1.5530361857440944E-4</v>
      </c>
    </row>
    <row r="49" spans="2:8" x14ac:dyDescent="0.25">
      <c r="B49" s="30">
        <v>43871</v>
      </c>
      <c r="C49" s="31">
        <v>12031.5</v>
      </c>
      <c r="D49" s="21">
        <f t="shared" si="2"/>
        <v>-5.525546872094167E-3</v>
      </c>
      <c r="F49" s="30">
        <v>43872</v>
      </c>
      <c r="G49" s="32">
        <v>6.4640000000000004</v>
      </c>
      <c r="H49" s="21">
        <f t="shared" si="3"/>
        <v>3.7267080745342351E-3</v>
      </c>
    </row>
    <row r="50" spans="2:8" x14ac:dyDescent="0.25">
      <c r="B50" s="30">
        <v>43872</v>
      </c>
      <c r="C50" s="31">
        <v>12107.9</v>
      </c>
      <c r="D50" s="21">
        <f t="shared" si="2"/>
        <v>6.3499979221210978E-3</v>
      </c>
      <c r="F50" s="30">
        <v>43873</v>
      </c>
      <c r="G50" s="32">
        <v>6.4729999999999999</v>
      </c>
      <c r="H50" s="21">
        <f t="shared" si="3"/>
        <v>1.3923267326731992E-3</v>
      </c>
    </row>
    <row r="51" spans="2:8" x14ac:dyDescent="0.25">
      <c r="B51" s="30">
        <v>43873</v>
      </c>
      <c r="C51" s="31">
        <v>12201.2</v>
      </c>
      <c r="D51" s="21">
        <f t="shared" si="2"/>
        <v>7.7057127990816099E-3</v>
      </c>
      <c r="F51" s="30">
        <v>43874</v>
      </c>
      <c r="G51" s="32">
        <v>6.423</v>
      </c>
      <c r="H51" s="21">
        <f t="shared" si="3"/>
        <v>-7.7243936350995801E-3</v>
      </c>
    </row>
    <row r="52" spans="2:8" x14ac:dyDescent="0.25">
      <c r="B52" s="30">
        <v>43874</v>
      </c>
      <c r="C52" s="31">
        <v>12174.65</v>
      </c>
      <c r="D52" s="21">
        <f t="shared" si="2"/>
        <v>-2.1760154738879045E-3</v>
      </c>
      <c r="F52" s="30">
        <v>43875</v>
      </c>
      <c r="G52" s="32">
        <v>6.3689999999999998</v>
      </c>
      <c r="H52" s="21">
        <f t="shared" si="3"/>
        <v>-8.4072863148062504E-3</v>
      </c>
    </row>
    <row r="53" spans="2:8" x14ac:dyDescent="0.25">
      <c r="B53" s="30">
        <v>43875</v>
      </c>
      <c r="C53" s="31">
        <v>12113.45</v>
      </c>
      <c r="D53" s="21">
        <f t="shared" si="2"/>
        <v>-5.0268385538803084E-3</v>
      </c>
      <c r="F53" s="30">
        <v>43878</v>
      </c>
      <c r="G53" s="32">
        <v>6.3869999999999996</v>
      </c>
      <c r="H53" s="21">
        <f t="shared" si="3"/>
        <v>2.8261893546868144E-3</v>
      </c>
    </row>
    <row r="54" spans="2:8" x14ac:dyDescent="0.25">
      <c r="B54" s="30">
        <v>43878</v>
      </c>
      <c r="C54" s="31">
        <v>12045.8</v>
      </c>
      <c r="D54" s="21">
        <f t="shared" si="2"/>
        <v>-5.5847013030970727E-3</v>
      </c>
      <c r="F54" s="30">
        <v>43879</v>
      </c>
      <c r="G54" s="32">
        <v>6.3840000000000003</v>
      </c>
      <c r="H54" s="21">
        <f t="shared" si="3"/>
        <v>-4.6970408642543759E-4</v>
      </c>
    </row>
    <row r="55" spans="2:8" x14ac:dyDescent="0.25">
      <c r="B55" s="30">
        <v>43879</v>
      </c>
      <c r="C55" s="31">
        <v>11992.5</v>
      </c>
      <c r="D55" s="21">
        <f t="shared" si="2"/>
        <v>-4.4247787610618428E-3</v>
      </c>
      <c r="F55" s="30">
        <v>43881</v>
      </c>
      <c r="G55" s="32">
        <v>6.4219999999999997</v>
      </c>
      <c r="H55" s="21">
        <f t="shared" si="3"/>
        <v>5.9523809523809312E-3</v>
      </c>
    </row>
    <row r="56" spans="2:8" x14ac:dyDescent="0.25">
      <c r="B56" s="30">
        <v>43880</v>
      </c>
      <c r="C56" s="31">
        <v>12125.9</v>
      </c>
      <c r="D56" s="21">
        <f t="shared" si="2"/>
        <v>1.1123618928496892E-2</v>
      </c>
      <c r="F56" s="30">
        <v>43885</v>
      </c>
      <c r="G56" s="32">
        <v>6.367</v>
      </c>
      <c r="H56" s="21">
        <f t="shared" si="3"/>
        <v>-8.5643101837433733E-3</v>
      </c>
    </row>
    <row r="57" spans="2:8" x14ac:dyDescent="0.25">
      <c r="B57" s="30">
        <v>43881</v>
      </c>
      <c r="C57" s="31">
        <v>12080.85</v>
      </c>
      <c r="D57" s="21">
        <f t="shared" si="2"/>
        <v>-3.7151881509825957E-3</v>
      </c>
      <c r="F57" s="30">
        <v>43886</v>
      </c>
      <c r="G57" s="32">
        <v>6.367</v>
      </c>
      <c r="H57" s="21">
        <f t="shared" si="3"/>
        <v>0</v>
      </c>
    </row>
    <row r="58" spans="2:8" x14ac:dyDescent="0.25">
      <c r="B58" s="30">
        <v>43885</v>
      </c>
      <c r="C58" s="31">
        <v>11829.4</v>
      </c>
      <c r="D58" s="21">
        <f t="shared" si="2"/>
        <v>-2.0813932794463974E-2</v>
      </c>
      <c r="F58" s="30">
        <v>43887</v>
      </c>
      <c r="G58" s="32">
        <v>6.3460000000000001</v>
      </c>
      <c r="H58" s="21">
        <f t="shared" si="3"/>
        <v>-3.2982566357782073E-3</v>
      </c>
    </row>
    <row r="59" spans="2:8" x14ac:dyDescent="0.25">
      <c r="B59" s="30">
        <v>43886</v>
      </c>
      <c r="C59" s="31">
        <v>11797.9</v>
      </c>
      <c r="D59" s="21">
        <f t="shared" si="2"/>
        <v>-2.6628569496339738E-3</v>
      </c>
      <c r="F59" s="30">
        <v>43888</v>
      </c>
      <c r="G59" s="32">
        <v>6.3780000000000001</v>
      </c>
      <c r="H59" s="21">
        <f t="shared" si="3"/>
        <v>5.0425464859753522E-3</v>
      </c>
    </row>
    <row r="60" spans="2:8" x14ac:dyDescent="0.25">
      <c r="B60" s="30">
        <v>43887</v>
      </c>
      <c r="C60" s="31">
        <v>11678.5</v>
      </c>
      <c r="D60" s="21">
        <f t="shared" si="2"/>
        <v>-1.0120445163969816E-2</v>
      </c>
      <c r="F60" s="30">
        <v>43889</v>
      </c>
      <c r="G60" s="32">
        <v>6.3710000000000004</v>
      </c>
      <c r="H60" s="21">
        <f t="shared" si="3"/>
        <v>-1.0975227343994476E-3</v>
      </c>
    </row>
    <row r="61" spans="2:8" x14ac:dyDescent="0.25">
      <c r="B61" s="30">
        <v>43888</v>
      </c>
      <c r="C61" s="31">
        <v>11633.3</v>
      </c>
      <c r="D61" s="21">
        <f t="shared" si="2"/>
        <v>-3.8703600633643864E-3</v>
      </c>
      <c r="F61" s="30">
        <v>43892</v>
      </c>
      <c r="G61" s="32">
        <v>6.3460000000000001</v>
      </c>
      <c r="H61" s="21">
        <f t="shared" si="3"/>
        <v>-3.9240307644012873E-3</v>
      </c>
    </row>
    <row r="62" spans="2:8" x14ac:dyDescent="0.25">
      <c r="B62" s="30">
        <v>43889</v>
      </c>
      <c r="C62" s="31">
        <v>11201.75</v>
      </c>
      <c r="D62" s="21">
        <f t="shared" si="2"/>
        <v>-3.709609483121723E-2</v>
      </c>
      <c r="F62" s="30">
        <v>43893</v>
      </c>
      <c r="G62" s="32">
        <v>6.3419999999999996</v>
      </c>
      <c r="H62" s="21">
        <f t="shared" si="3"/>
        <v>-6.3031831074700229E-4</v>
      </c>
    </row>
    <row r="63" spans="2:8" x14ac:dyDescent="0.25">
      <c r="B63" s="30">
        <v>43892</v>
      </c>
      <c r="C63" s="31">
        <v>11132.75</v>
      </c>
      <c r="D63" s="21">
        <f t="shared" si="2"/>
        <v>-6.1597518244916882E-3</v>
      </c>
      <c r="F63" s="30">
        <v>43894</v>
      </c>
      <c r="G63" s="32">
        <v>6.226</v>
      </c>
      <c r="H63" s="21">
        <f t="shared" si="3"/>
        <v>-1.8290760012614315E-2</v>
      </c>
    </row>
    <row r="64" spans="2:8" x14ac:dyDescent="0.25">
      <c r="B64" s="30">
        <v>43893</v>
      </c>
      <c r="C64" s="31">
        <v>11303.3</v>
      </c>
      <c r="D64" s="21">
        <f t="shared" si="2"/>
        <v>1.5319664952504919E-2</v>
      </c>
      <c r="F64" s="30">
        <v>43895</v>
      </c>
      <c r="G64" s="32">
        <v>6.2389999999999999</v>
      </c>
      <c r="H64" s="21">
        <f t="shared" si="3"/>
        <v>2.0880179890780948E-3</v>
      </c>
    </row>
    <row r="65" spans="2:8" x14ac:dyDescent="0.25">
      <c r="B65" s="30">
        <v>43894</v>
      </c>
      <c r="C65" s="31">
        <v>11251</v>
      </c>
      <c r="D65" s="21">
        <f t="shared" si="2"/>
        <v>-4.626967345819244E-3</v>
      </c>
      <c r="F65" s="30">
        <v>43896</v>
      </c>
      <c r="G65" s="32">
        <v>6.1849999999999996</v>
      </c>
      <c r="H65" s="21">
        <f t="shared" si="3"/>
        <v>-8.6552332104504748E-3</v>
      </c>
    </row>
    <row r="66" spans="2:8" x14ac:dyDescent="0.25">
      <c r="B66" s="30">
        <v>43895</v>
      </c>
      <c r="C66" s="31">
        <v>11269</v>
      </c>
      <c r="D66" s="21">
        <f t="shared" si="2"/>
        <v>1.5998577904186018E-3</v>
      </c>
      <c r="F66" s="30">
        <v>43899</v>
      </c>
      <c r="G66" s="32">
        <v>6.0659999999999998</v>
      </c>
      <c r="H66" s="21">
        <f t="shared" si="3"/>
        <v>-1.9240097008892398E-2</v>
      </c>
    </row>
    <row r="67" spans="2:8" x14ac:dyDescent="0.25">
      <c r="B67" s="30">
        <v>43896</v>
      </c>
      <c r="C67" s="31">
        <v>10989.45</v>
      </c>
      <c r="D67" s="21">
        <f t="shared" si="2"/>
        <v>-2.4806992634661351E-2</v>
      </c>
      <c r="F67" s="30">
        <v>43901</v>
      </c>
      <c r="G67" s="32">
        <v>6.125</v>
      </c>
      <c r="H67" s="21">
        <f t="shared" si="3"/>
        <v>9.7263435542367382E-3</v>
      </c>
    </row>
    <row r="68" spans="2:8" x14ac:dyDescent="0.25">
      <c r="B68" s="30">
        <v>43899</v>
      </c>
      <c r="C68" s="31">
        <v>10451.450000000001</v>
      </c>
      <c r="D68" s="21">
        <f t="shared" si="2"/>
        <v>-4.8956044206033944E-2</v>
      </c>
      <c r="F68" s="30">
        <v>43902</v>
      </c>
      <c r="G68" s="32">
        <v>6.2359999999999998</v>
      </c>
      <c r="H68" s="21">
        <f t="shared" si="3"/>
        <v>1.8122448979591699E-2</v>
      </c>
    </row>
    <row r="69" spans="2:8" x14ac:dyDescent="0.25">
      <c r="B69" s="30">
        <v>43901</v>
      </c>
      <c r="C69" s="31">
        <v>10458.4</v>
      </c>
      <c r="D69" s="21">
        <f t="shared" si="2"/>
        <v>6.6497950045207865E-4</v>
      </c>
      <c r="F69" s="30">
        <v>43903</v>
      </c>
      <c r="G69" s="32">
        <v>6.3220000000000001</v>
      </c>
      <c r="H69" s="21">
        <f t="shared" si="3"/>
        <v>1.3790891597177835E-2</v>
      </c>
    </row>
    <row r="70" spans="2:8" x14ac:dyDescent="0.25">
      <c r="B70" s="30">
        <v>43902</v>
      </c>
      <c r="C70" s="31">
        <v>9590.15</v>
      </c>
      <c r="D70" s="21">
        <f t="shared" si="2"/>
        <v>-8.3019391111451069E-2</v>
      </c>
      <c r="F70" s="30">
        <v>43906</v>
      </c>
      <c r="G70" s="32">
        <v>6.2080000000000002</v>
      </c>
      <c r="H70" s="21">
        <f t="shared" si="3"/>
        <v>-1.8032268269534968E-2</v>
      </c>
    </row>
    <row r="71" spans="2:8" x14ac:dyDescent="0.25">
      <c r="B71" s="30">
        <v>43903</v>
      </c>
      <c r="C71" s="31">
        <v>9955.2000000000007</v>
      </c>
      <c r="D71" s="21">
        <f t="shared" si="2"/>
        <v>3.8065098043305046E-2</v>
      </c>
      <c r="F71" s="30">
        <v>43907</v>
      </c>
      <c r="G71" s="32">
        <v>6.2649999999999997</v>
      </c>
      <c r="H71" s="21">
        <f t="shared" si="3"/>
        <v>9.1817010309278579E-3</v>
      </c>
    </row>
    <row r="72" spans="2:8" x14ac:dyDescent="0.25">
      <c r="B72" s="30">
        <v>43906</v>
      </c>
      <c r="C72" s="31">
        <v>9197.4</v>
      </c>
      <c r="D72" s="21">
        <f t="shared" si="2"/>
        <v>-7.6121022179363673E-2</v>
      </c>
      <c r="F72" s="30">
        <v>43908</v>
      </c>
      <c r="G72" s="32">
        <v>6.2960000000000003</v>
      </c>
      <c r="H72" s="21">
        <f t="shared" si="3"/>
        <v>4.9481245011973041E-3</v>
      </c>
    </row>
    <row r="73" spans="2:8" x14ac:dyDescent="0.25">
      <c r="B73" s="30">
        <v>43907</v>
      </c>
      <c r="C73" s="31">
        <v>8967.0499999999993</v>
      </c>
      <c r="D73" s="21">
        <f t="shared" si="2"/>
        <v>-2.5045121447365593E-2</v>
      </c>
      <c r="F73" s="30">
        <v>43909</v>
      </c>
      <c r="G73" s="32">
        <v>6.41</v>
      </c>
      <c r="H73" s="21">
        <f t="shared" si="3"/>
        <v>1.8106734434561567E-2</v>
      </c>
    </row>
    <row r="74" spans="2:8" x14ac:dyDescent="0.25">
      <c r="B74" s="30">
        <v>43908</v>
      </c>
      <c r="C74" s="31">
        <v>8468.7999999999993</v>
      </c>
      <c r="D74" s="21">
        <f t="shared" si="2"/>
        <v>-5.5564539062456397E-2</v>
      </c>
      <c r="F74" s="30">
        <v>43910</v>
      </c>
      <c r="G74" s="32">
        <v>6.2590000000000003</v>
      </c>
      <c r="H74" s="21">
        <f t="shared" si="3"/>
        <v>-2.3556942277691117E-2</v>
      </c>
    </row>
    <row r="75" spans="2:8" x14ac:dyDescent="0.25">
      <c r="B75" s="30">
        <v>43909</v>
      </c>
      <c r="C75" s="31">
        <v>8263.4500000000007</v>
      </c>
      <c r="D75" s="21">
        <f t="shared" si="2"/>
        <v>-2.4247827319100579E-2</v>
      </c>
      <c r="F75" s="30">
        <v>43913</v>
      </c>
      <c r="G75" s="32">
        <v>6.3789999999999996</v>
      </c>
      <c r="H75" s="21">
        <f t="shared" si="3"/>
        <v>1.9172391755871487E-2</v>
      </c>
    </row>
    <row r="76" spans="2:8" x14ac:dyDescent="0.25">
      <c r="B76" s="30">
        <v>43910</v>
      </c>
      <c r="C76" s="31">
        <v>8745.4500000000007</v>
      </c>
      <c r="D76" s="21">
        <f t="shared" si="2"/>
        <v>5.8329148237116435E-2</v>
      </c>
      <c r="F76" s="30">
        <v>43914</v>
      </c>
      <c r="G76" s="32">
        <v>6.3040000000000003</v>
      </c>
      <c r="H76" s="21">
        <f t="shared" si="3"/>
        <v>-1.175732873491131E-2</v>
      </c>
    </row>
    <row r="77" spans="2:8" x14ac:dyDescent="0.25">
      <c r="B77" s="30">
        <v>43913</v>
      </c>
      <c r="C77" s="31">
        <v>7610.25</v>
      </c>
      <c r="D77" s="21">
        <f t="shared" si="2"/>
        <v>-0.12980464127060365</v>
      </c>
      <c r="F77" s="30">
        <v>43916</v>
      </c>
      <c r="G77" s="32">
        <v>6.2249999999999996</v>
      </c>
      <c r="H77" s="21">
        <f t="shared" si="3"/>
        <v>-1.2531725888324963E-2</v>
      </c>
    </row>
    <row r="78" spans="2:8" x14ac:dyDescent="0.25">
      <c r="B78" s="30">
        <v>43914</v>
      </c>
      <c r="C78" s="31">
        <v>7801.05</v>
      </c>
      <c r="D78" s="21">
        <f t="shared" si="2"/>
        <v>2.507144968956343E-2</v>
      </c>
      <c r="F78" s="30">
        <v>43917</v>
      </c>
      <c r="G78" s="32">
        <v>6.1440000000000001</v>
      </c>
      <c r="H78" s="21">
        <f t="shared" si="3"/>
        <v>-1.301204819277102E-2</v>
      </c>
    </row>
    <row r="79" spans="2:8" x14ac:dyDescent="0.25">
      <c r="B79" s="30">
        <v>43915</v>
      </c>
      <c r="C79" s="31">
        <v>8317.85</v>
      </c>
      <c r="D79" s="21">
        <f t="shared" si="2"/>
        <v>6.6247492324751134E-2</v>
      </c>
      <c r="F79" s="30">
        <v>43920</v>
      </c>
      <c r="G79" s="32">
        <v>6.2089999999999996</v>
      </c>
      <c r="H79" s="21">
        <f t="shared" si="3"/>
        <v>1.0579427083333259E-2</v>
      </c>
    </row>
    <row r="80" spans="2:8" x14ac:dyDescent="0.25">
      <c r="B80" s="30">
        <v>43916</v>
      </c>
      <c r="C80" s="31">
        <v>8641.4500000000007</v>
      </c>
      <c r="D80" s="21">
        <f t="shared" si="2"/>
        <v>3.890428415996916E-2</v>
      </c>
      <c r="F80" s="30">
        <v>43921</v>
      </c>
      <c r="G80" s="32">
        <v>6.1379999999999999</v>
      </c>
      <c r="H80" s="21">
        <f t="shared" si="3"/>
        <v>-1.143501368980504E-2</v>
      </c>
    </row>
    <row r="81" spans="2:8" x14ac:dyDescent="0.25">
      <c r="B81" s="30">
        <v>43917</v>
      </c>
      <c r="C81" s="31">
        <v>8660.25</v>
      </c>
      <c r="D81" s="21">
        <f t="shared" si="2"/>
        <v>2.1755608144464755E-3</v>
      </c>
      <c r="F81" s="30">
        <v>43924</v>
      </c>
      <c r="G81" s="32">
        <v>6.306</v>
      </c>
      <c r="H81" s="21">
        <f t="shared" si="3"/>
        <v>2.7370478983382185E-2</v>
      </c>
    </row>
    <row r="82" spans="2:8" x14ac:dyDescent="0.25">
      <c r="B82" s="30">
        <v>43920</v>
      </c>
      <c r="C82" s="31">
        <v>8281.1</v>
      </c>
      <c r="D82" s="21">
        <f t="shared" si="2"/>
        <v>-4.3780491325308146E-2</v>
      </c>
      <c r="F82" s="30">
        <v>43928</v>
      </c>
      <c r="G82" s="32">
        <v>6.4139999999999997</v>
      </c>
      <c r="H82" s="21">
        <f t="shared" si="3"/>
        <v>1.7126546146527089E-2</v>
      </c>
    </row>
    <row r="83" spans="2:8" x14ac:dyDescent="0.25">
      <c r="B83" s="30">
        <v>43921</v>
      </c>
      <c r="C83" s="31">
        <v>8597.75</v>
      </c>
      <c r="D83" s="21">
        <f t="shared" si="2"/>
        <v>3.8237673738996003E-2</v>
      </c>
      <c r="F83" s="30">
        <v>43929</v>
      </c>
      <c r="G83" s="32">
        <v>6.4409999999999998</v>
      </c>
      <c r="H83" s="21">
        <f t="shared" si="3"/>
        <v>4.2095416276894948E-3</v>
      </c>
    </row>
    <row r="84" spans="2:8" x14ac:dyDescent="0.25">
      <c r="B84" s="30">
        <v>43922</v>
      </c>
      <c r="C84" s="31">
        <v>8253.7999999999993</v>
      </c>
      <c r="D84" s="21">
        <f t="shared" si="2"/>
        <v>-4.0004652379983185E-2</v>
      </c>
      <c r="F84" s="30">
        <v>43930</v>
      </c>
      <c r="G84" s="32">
        <v>6.49</v>
      </c>
      <c r="H84" s="21">
        <f t="shared" si="3"/>
        <v>7.607514361124057E-3</v>
      </c>
    </row>
    <row r="85" spans="2:8" x14ac:dyDescent="0.25">
      <c r="B85" s="30">
        <v>43924</v>
      </c>
      <c r="C85" s="31">
        <v>8083.8</v>
      </c>
      <c r="D85" s="21">
        <f t="shared" ref="D85:D148" si="4">C85/C84-1</f>
        <v>-2.0596573699386833E-2</v>
      </c>
      <c r="F85" s="30">
        <v>43934</v>
      </c>
      <c r="G85" s="32">
        <v>6.4950000000000001</v>
      </c>
      <c r="H85" s="21">
        <f t="shared" ref="H85:H148" si="5">G85/G84-1</f>
        <v>7.7041602465333092E-4</v>
      </c>
    </row>
    <row r="86" spans="2:8" x14ac:dyDescent="0.25">
      <c r="B86" s="30">
        <v>43928</v>
      </c>
      <c r="C86" s="31">
        <v>8792.2000000000007</v>
      </c>
      <c r="D86" s="21">
        <f t="shared" si="4"/>
        <v>8.7632054231920664E-2</v>
      </c>
      <c r="F86" s="30">
        <v>43936</v>
      </c>
      <c r="G86" s="32">
        <v>6.4249999999999998</v>
      </c>
      <c r="H86" s="21">
        <f t="shared" si="5"/>
        <v>-1.0777521170130866E-2</v>
      </c>
    </row>
    <row r="87" spans="2:8" x14ac:dyDescent="0.25">
      <c r="B87" s="30">
        <v>43929</v>
      </c>
      <c r="C87" s="31">
        <v>8748.75</v>
      </c>
      <c r="D87" s="21">
        <f t="shared" si="4"/>
        <v>-4.9418803029959157E-3</v>
      </c>
      <c r="F87" s="30">
        <v>43937</v>
      </c>
      <c r="G87" s="32">
        <v>6.44</v>
      </c>
      <c r="H87" s="21">
        <f t="shared" si="5"/>
        <v>2.3346303501945442E-3</v>
      </c>
    </row>
    <row r="88" spans="2:8" x14ac:dyDescent="0.25">
      <c r="B88" s="30">
        <v>43930</v>
      </c>
      <c r="C88" s="31">
        <v>9111.9</v>
      </c>
      <c r="D88" s="21">
        <f t="shared" si="4"/>
        <v>4.1508786969566946E-2</v>
      </c>
      <c r="F88" s="30">
        <v>43938</v>
      </c>
      <c r="G88" s="32">
        <v>6.3470000000000004</v>
      </c>
      <c r="H88" s="21">
        <f t="shared" si="5"/>
        <v>-1.4440993788819911E-2</v>
      </c>
    </row>
    <row r="89" spans="2:8" x14ac:dyDescent="0.25">
      <c r="B89" s="30">
        <v>43934</v>
      </c>
      <c r="C89" s="31">
        <v>8993.85</v>
      </c>
      <c r="D89" s="21">
        <f t="shared" si="4"/>
        <v>-1.2955585552958171E-2</v>
      </c>
      <c r="F89" s="30">
        <v>43941</v>
      </c>
      <c r="G89" s="32">
        <v>6.2089999999999996</v>
      </c>
      <c r="H89" s="21">
        <f t="shared" si="5"/>
        <v>-2.1742555538049602E-2</v>
      </c>
    </row>
    <row r="90" spans="2:8" x14ac:dyDescent="0.25">
      <c r="B90" s="30">
        <v>43936</v>
      </c>
      <c r="C90" s="31">
        <v>8925.2999999999993</v>
      </c>
      <c r="D90" s="21">
        <f t="shared" si="4"/>
        <v>-7.6218749478811354E-3</v>
      </c>
      <c r="F90" s="30">
        <v>43942</v>
      </c>
      <c r="G90" s="32">
        <v>6.2119999999999997</v>
      </c>
      <c r="H90" s="21">
        <f t="shared" si="5"/>
        <v>4.8316959252692193E-4</v>
      </c>
    </row>
    <row r="91" spans="2:8" x14ac:dyDescent="0.25">
      <c r="B91" s="30">
        <v>43937</v>
      </c>
      <c r="C91" s="31">
        <v>8992.7999999999993</v>
      </c>
      <c r="D91" s="21">
        <f t="shared" si="4"/>
        <v>7.5627709992940328E-3</v>
      </c>
      <c r="F91" s="30">
        <v>43943</v>
      </c>
      <c r="G91" s="32">
        <v>6.2240000000000002</v>
      </c>
      <c r="H91" s="21">
        <f t="shared" si="5"/>
        <v>1.9317450096587585E-3</v>
      </c>
    </row>
    <row r="92" spans="2:8" x14ac:dyDescent="0.25">
      <c r="B92" s="30">
        <v>43938</v>
      </c>
      <c r="C92" s="31">
        <v>9266.75</v>
      </c>
      <c r="D92" s="21">
        <f t="shared" si="4"/>
        <v>3.0463259496486206E-2</v>
      </c>
      <c r="F92" s="30">
        <v>43944</v>
      </c>
      <c r="G92" s="32">
        <v>6.06</v>
      </c>
      <c r="H92" s="21">
        <f t="shared" si="5"/>
        <v>-2.6349614395887011E-2</v>
      </c>
    </row>
    <row r="93" spans="2:8" x14ac:dyDescent="0.25">
      <c r="B93" s="30">
        <v>43941</v>
      </c>
      <c r="C93" s="31">
        <v>9261.85</v>
      </c>
      <c r="D93" s="21">
        <f t="shared" si="4"/>
        <v>-5.2877222327130102E-4</v>
      </c>
      <c r="F93" s="30">
        <v>43945</v>
      </c>
      <c r="G93" s="32">
        <v>6.1669999999999998</v>
      </c>
      <c r="H93" s="21">
        <f t="shared" si="5"/>
        <v>1.7656765676567598E-2</v>
      </c>
    </row>
    <row r="94" spans="2:8" x14ac:dyDescent="0.25">
      <c r="B94" s="30">
        <v>43942</v>
      </c>
      <c r="C94" s="31">
        <v>8981.4500000000007</v>
      </c>
      <c r="D94" s="21">
        <f t="shared" si="4"/>
        <v>-3.0274729130789213E-2</v>
      </c>
      <c r="F94" s="30">
        <v>43948</v>
      </c>
      <c r="G94" s="32">
        <v>6.1529999999999996</v>
      </c>
      <c r="H94" s="21">
        <f t="shared" si="5"/>
        <v>-2.2701475595914289E-3</v>
      </c>
    </row>
    <row r="95" spans="2:8" x14ac:dyDescent="0.25">
      <c r="B95" s="30">
        <v>43943</v>
      </c>
      <c r="C95" s="31">
        <v>9187.2999999999993</v>
      </c>
      <c r="D95" s="21">
        <f t="shared" si="4"/>
        <v>2.2919461779556505E-2</v>
      </c>
      <c r="F95" s="30">
        <v>43949</v>
      </c>
      <c r="G95" s="32">
        <v>6.1369999999999996</v>
      </c>
      <c r="H95" s="21">
        <f t="shared" si="5"/>
        <v>-2.6003575491629904E-3</v>
      </c>
    </row>
    <row r="96" spans="2:8" x14ac:dyDescent="0.25">
      <c r="B96" s="30">
        <v>43944</v>
      </c>
      <c r="C96" s="31">
        <v>9313.9</v>
      </c>
      <c r="D96" s="21">
        <f t="shared" si="4"/>
        <v>1.3779891807168543E-2</v>
      </c>
      <c r="F96" s="30">
        <v>43950</v>
      </c>
      <c r="G96" s="32">
        <v>6.125</v>
      </c>
      <c r="H96" s="21">
        <f t="shared" si="5"/>
        <v>-1.9553527782303348E-3</v>
      </c>
    </row>
    <row r="97" spans="2:8" x14ac:dyDescent="0.25">
      <c r="B97" s="30">
        <v>43945</v>
      </c>
      <c r="C97" s="31">
        <v>9154.4</v>
      </c>
      <c r="D97" s="21">
        <f t="shared" si="4"/>
        <v>-1.7124942290554945E-2</v>
      </c>
      <c r="F97" s="30">
        <v>43951</v>
      </c>
      <c r="G97" s="32">
        <v>6.11</v>
      </c>
      <c r="H97" s="21">
        <f t="shared" si="5"/>
        <v>-2.448979591836653E-3</v>
      </c>
    </row>
    <row r="98" spans="2:8" x14ac:dyDescent="0.25">
      <c r="B98" s="30">
        <v>43948</v>
      </c>
      <c r="C98" s="31">
        <v>9282.2999999999993</v>
      </c>
      <c r="D98" s="21">
        <f t="shared" si="4"/>
        <v>1.3971423577733066E-2</v>
      </c>
      <c r="F98" s="30">
        <v>43955</v>
      </c>
      <c r="G98" s="32">
        <v>6.0839999999999996</v>
      </c>
      <c r="H98" s="21">
        <f t="shared" si="5"/>
        <v>-4.2553191489362874E-3</v>
      </c>
    </row>
    <row r="99" spans="2:8" x14ac:dyDescent="0.25">
      <c r="B99" s="30">
        <v>43949</v>
      </c>
      <c r="C99" s="31">
        <v>9380.9</v>
      </c>
      <c r="D99" s="21">
        <f t="shared" si="4"/>
        <v>1.0622367301207802E-2</v>
      </c>
      <c r="F99" s="30">
        <v>43956</v>
      </c>
      <c r="G99" s="32">
        <v>6.0730000000000004</v>
      </c>
      <c r="H99" s="21">
        <f t="shared" si="5"/>
        <v>-1.8080210387901863E-3</v>
      </c>
    </row>
    <row r="100" spans="2:8" x14ac:dyDescent="0.25">
      <c r="B100" s="30">
        <v>43950</v>
      </c>
      <c r="C100" s="31">
        <v>9553.35</v>
      </c>
      <c r="D100" s="21">
        <f t="shared" si="4"/>
        <v>1.8383097570595641E-2</v>
      </c>
      <c r="F100" s="30">
        <v>43957</v>
      </c>
      <c r="G100" s="32">
        <v>6.0279999999999996</v>
      </c>
      <c r="H100" s="21">
        <f t="shared" si="5"/>
        <v>-7.4098468631649261E-3</v>
      </c>
    </row>
    <row r="101" spans="2:8" x14ac:dyDescent="0.25">
      <c r="B101" s="30">
        <v>43951</v>
      </c>
      <c r="C101" s="31">
        <v>9859.9</v>
      </c>
      <c r="D101" s="21">
        <f t="shared" si="4"/>
        <v>3.2088220362490594E-2</v>
      </c>
      <c r="F101" s="30">
        <v>43959</v>
      </c>
      <c r="G101" s="32">
        <v>5.9669999999999996</v>
      </c>
      <c r="H101" s="21">
        <f t="shared" si="5"/>
        <v>-1.0119442601194462E-2</v>
      </c>
    </row>
    <row r="102" spans="2:8" x14ac:dyDescent="0.25">
      <c r="B102" s="30">
        <v>43955</v>
      </c>
      <c r="C102" s="31">
        <v>9293.5</v>
      </c>
      <c r="D102" s="21">
        <f t="shared" si="4"/>
        <v>-5.7444801671416523E-2</v>
      </c>
      <c r="F102" s="30">
        <v>43962</v>
      </c>
      <c r="G102" s="32">
        <v>6.1669999999999998</v>
      </c>
      <c r="H102" s="21">
        <f t="shared" si="5"/>
        <v>3.3517680576504061E-2</v>
      </c>
    </row>
    <row r="103" spans="2:8" x14ac:dyDescent="0.25">
      <c r="B103" s="30">
        <v>43956</v>
      </c>
      <c r="C103" s="31">
        <v>9205.6</v>
      </c>
      <c r="D103" s="21">
        <f t="shared" si="4"/>
        <v>-9.4582234895356221E-3</v>
      </c>
      <c r="F103" s="30">
        <v>43963</v>
      </c>
      <c r="G103" s="32">
        <v>6.1630000000000003</v>
      </c>
      <c r="H103" s="21">
        <f t="shared" si="5"/>
        <v>-6.4861358845458295E-4</v>
      </c>
    </row>
    <row r="104" spans="2:8" x14ac:dyDescent="0.25">
      <c r="B104" s="30">
        <v>43957</v>
      </c>
      <c r="C104" s="31">
        <v>9270.9</v>
      </c>
      <c r="D104" s="21">
        <f t="shared" si="4"/>
        <v>7.093508299296003E-3</v>
      </c>
      <c r="F104" s="30">
        <v>43964</v>
      </c>
      <c r="G104" s="32">
        <v>6.0949999999999998</v>
      </c>
      <c r="H104" s="21">
        <f t="shared" si="5"/>
        <v>-1.103358753853656E-2</v>
      </c>
    </row>
    <row r="105" spans="2:8" x14ac:dyDescent="0.25">
      <c r="B105" s="30">
        <v>43958</v>
      </c>
      <c r="C105" s="31">
        <v>9199.0499999999993</v>
      </c>
      <c r="D105" s="21">
        <f t="shared" si="4"/>
        <v>-7.7500566288063455E-3</v>
      </c>
      <c r="F105" s="30">
        <v>43965</v>
      </c>
      <c r="G105" s="32">
        <v>6.056</v>
      </c>
      <c r="H105" s="21">
        <f t="shared" si="5"/>
        <v>-6.3986874487284018E-3</v>
      </c>
    </row>
    <row r="106" spans="2:8" x14ac:dyDescent="0.25">
      <c r="B106" s="30">
        <v>43959</v>
      </c>
      <c r="C106" s="31">
        <v>9251.5</v>
      </c>
      <c r="D106" s="21">
        <f t="shared" si="4"/>
        <v>5.701675716514254E-3</v>
      </c>
      <c r="F106" s="30">
        <v>43966</v>
      </c>
      <c r="G106" s="32">
        <v>6.0810000000000004</v>
      </c>
      <c r="H106" s="21">
        <f t="shared" si="5"/>
        <v>4.1281373844122005E-3</v>
      </c>
    </row>
    <row r="107" spans="2:8" x14ac:dyDescent="0.25">
      <c r="B107" s="30">
        <v>43962</v>
      </c>
      <c r="C107" s="31">
        <v>9239.2000000000007</v>
      </c>
      <c r="D107" s="21">
        <f t="shared" si="4"/>
        <v>-1.3295141328432125E-3</v>
      </c>
      <c r="F107" s="30">
        <v>43969</v>
      </c>
      <c r="G107" s="32">
        <v>6.05</v>
      </c>
      <c r="H107" s="21">
        <f t="shared" si="5"/>
        <v>-5.0978457490544749E-3</v>
      </c>
    </row>
    <row r="108" spans="2:8" x14ac:dyDescent="0.25">
      <c r="B108" s="30">
        <v>43963</v>
      </c>
      <c r="C108" s="31">
        <v>9196.5499999999993</v>
      </c>
      <c r="D108" s="21">
        <f t="shared" si="4"/>
        <v>-4.6162005368431958E-3</v>
      </c>
      <c r="F108" s="30">
        <v>43970</v>
      </c>
      <c r="G108" s="32">
        <v>6.0350000000000001</v>
      </c>
      <c r="H108" s="21">
        <f t="shared" si="5"/>
        <v>-2.4793388429751317E-3</v>
      </c>
    </row>
    <row r="109" spans="2:8" x14ac:dyDescent="0.25">
      <c r="B109" s="30">
        <v>43964</v>
      </c>
      <c r="C109" s="31">
        <v>9383.5499999999993</v>
      </c>
      <c r="D109" s="21">
        <f t="shared" si="4"/>
        <v>2.0333712098558721E-2</v>
      </c>
      <c r="F109" s="30">
        <v>43971</v>
      </c>
      <c r="G109" s="32">
        <v>6.0410000000000004</v>
      </c>
      <c r="H109" s="21">
        <f t="shared" si="5"/>
        <v>9.9420049710019498E-4</v>
      </c>
    </row>
    <row r="110" spans="2:8" x14ac:dyDescent="0.25">
      <c r="B110" s="30">
        <v>43965</v>
      </c>
      <c r="C110" s="31">
        <v>9142.75</v>
      </c>
      <c r="D110" s="21">
        <f t="shared" si="4"/>
        <v>-2.5661929653489235E-2</v>
      </c>
      <c r="F110" s="30">
        <v>43972</v>
      </c>
      <c r="G110" s="32">
        <v>6.0339999999999998</v>
      </c>
      <c r="H110" s="21">
        <f t="shared" si="5"/>
        <v>-1.1587485515643925E-3</v>
      </c>
    </row>
    <row r="111" spans="2:8" x14ac:dyDescent="0.25">
      <c r="B111" s="30">
        <v>43966</v>
      </c>
      <c r="C111" s="31">
        <v>9136.85</v>
      </c>
      <c r="D111" s="21">
        <f t="shared" si="4"/>
        <v>-6.4532006234441219E-4</v>
      </c>
      <c r="F111" s="30">
        <v>43973</v>
      </c>
      <c r="G111" s="32">
        <v>5.9610000000000003</v>
      </c>
      <c r="H111" s="21">
        <f t="shared" si="5"/>
        <v>-1.209811070599931E-2</v>
      </c>
    </row>
    <row r="112" spans="2:8" x14ac:dyDescent="0.25">
      <c r="B112" s="30">
        <v>43969</v>
      </c>
      <c r="C112" s="31">
        <v>8823.25</v>
      </c>
      <c r="D112" s="21">
        <f t="shared" si="4"/>
        <v>-3.4322550988579281E-2</v>
      </c>
      <c r="F112" s="30">
        <v>43977</v>
      </c>
      <c r="G112" s="32">
        <v>5.9749999999999996</v>
      </c>
      <c r="H112" s="21">
        <f t="shared" si="5"/>
        <v>2.3485992283172052E-3</v>
      </c>
    </row>
    <row r="113" spans="2:8" x14ac:dyDescent="0.25">
      <c r="B113" s="30">
        <v>43970</v>
      </c>
      <c r="C113" s="31">
        <v>8879.1</v>
      </c>
      <c r="D113" s="21">
        <f t="shared" si="4"/>
        <v>6.3298671124585315E-3</v>
      </c>
      <c r="F113" s="30">
        <v>43978</v>
      </c>
      <c r="G113" s="32">
        <v>5.984</v>
      </c>
      <c r="H113" s="21">
        <f t="shared" si="5"/>
        <v>1.5062761506277056E-3</v>
      </c>
    </row>
    <row r="114" spans="2:8" x14ac:dyDescent="0.25">
      <c r="B114" s="30">
        <v>43971</v>
      </c>
      <c r="C114" s="31">
        <v>9066.5499999999993</v>
      </c>
      <c r="D114" s="21">
        <f t="shared" si="4"/>
        <v>2.1111373900507768E-2</v>
      </c>
      <c r="F114" s="30">
        <v>43979</v>
      </c>
      <c r="G114" s="32">
        <v>5.99</v>
      </c>
      <c r="H114" s="21">
        <f t="shared" si="5"/>
        <v>1.0026737967914201E-3</v>
      </c>
    </row>
    <row r="115" spans="2:8" x14ac:dyDescent="0.25">
      <c r="B115" s="30">
        <v>43972</v>
      </c>
      <c r="C115" s="31">
        <v>9106.25</v>
      </c>
      <c r="D115" s="21">
        <f t="shared" si="4"/>
        <v>4.3787328145767912E-3</v>
      </c>
      <c r="F115" s="30">
        <v>43980</v>
      </c>
      <c r="G115" s="32">
        <v>6.0129999999999999</v>
      </c>
      <c r="H115" s="21">
        <f t="shared" si="5"/>
        <v>3.8397328881467629E-3</v>
      </c>
    </row>
    <row r="116" spans="2:8" x14ac:dyDescent="0.25">
      <c r="B116" s="30">
        <v>43973</v>
      </c>
      <c r="C116" s="31">
        <v>9039.25</v>
      </c>
      <c r="D116" s="21">
        <f t="shared" si="4"/>
        <v>-7.3575840768702605E-3</v>
      </c>
      <c r="F116" s="30">
        <v>43983</v>
      </c>
      <c r="G116" s="32">
        <v>6.0419999999999998</v>
      </c>
      <c r="H116" s="21">
        <f t="shared" si="5"/>
        <v>4.8228837518708989E-3</v>
      </c>
    </row>
    <row r="117" spans="2:8" x14ac:dyDescent="0.25">
      <c r="B117" s="30">
        <v>43977</v>
      </c>
      <c r="C117" s="31">
        <v>9029.0499999999993</v>
      </c>
      <c r="D117" s="21">
        <f t="shared" si="4"/>
        <v>-1.1284122023398346E-3</v>
      </c>
      <c r="F117" s="30">
        <v>43984</v>
      </c>
      <c r="G117" s="32">
        <v>5.9980000000000002</v>
      </c>
      <c r="H117" s="21">
        <f t="shared" si="5"/>
        <v>-7.2823568354848378E-3</v>
      </c>
    </row>
    <row r="118" spans="2:8" x14ac:dyDescent="0.25">
      <c r="B118" s="30">
        <v>43978</v>
      </c>
      <c r="C118" s="31">
        <v>9314.9500000000007</v>
      </c>
      <c r="D118" s="21">
        <f t="shared" si="4"/>
        <v>3.1664460823674911E-2</v>
      </c>
      <c r="F118" s="30">
        <v>43985</v>
      </c>
      <c r="G118" s="32">
        <v>6.0309999999999997</v>
      </c>
      <c r="H118" s="21">
        <f t="shared" si="5"/>
        <v>5.5018339446482045E-3</v>
      </c>
    </row>
    <row r="119" spans="2:8" x14ac:dyDescent="0.25">
      <c r="B119" s="30">
        <v>43979</v>
      </c>
      <c r="C119" s="31">
        <v>9490.1</v>
      </c>
      <c r="D119" s="21">
        <f t="shared" si="4"/>
        <v>1.8803106833638283E-2</v>
      </c>
      <c r="F119" s="30">
        <v>43986</v>
      </c>
      <c r="G119" s="32">
        <v>5.7960000000000003</v>
      </c>
      <c r="H119" s="21">
        <f t="shared" si="5"/>
        <v>-3.8965345713811828E-2</v>
      </c>
    </row>
    <row r="120" spans="2:8" x14ac:dyDescent="0.25">
      <c r="B120" s="30">
        <v>43980</v>
      </c>
      <c r="C120" s="31">
        <v>9580.2999999999993</v>
      </c>
      <c r="D120" s="21">
        <f t="shared" si="4"/>
        <v>9.5046416792234911E-3</v>
      </c>
      <c r="F120" s="30">
        <v>43987</v>
      </c>
      <c r="G120" s="32">
        <v>5.8209999999999997</v>
      </c>
      <c r="H120" s="21">
        <f t="shared" si="5"/>
        <v>4.3133195307107908E-3</v>
      </c>
    </row>
    <row r="121" spans="2:8" x14ac:dyDescent="0.25">
      <c r="B121" s="30">
        <v>43983</v>
      </c>
      <c r="C121" s="31">
        <v>9826.15</v>
      </c>
      <c r="D121" s="21">
        <f t="shared" si="4"/>
        <v>2.5662035635627412E-2</v>
      </c>
      <c r="F121" s="30">
        <v>43990</v>
      </c>
      <c r="G121" s="32">
        <v>5.8070000000000004</v>
      </c>
      <c r="H121" s="21">
        <f t="shared" si="5"/>
        <v>-2.4050850369351506E-3</v>
      </c>
    </row>
    <row r="122" spans="2:8" x14ac:dyDescent="0.25">
      <c r="B122" s="30">
        <v>43984</v>
      </c>
      <c r="C122" s="31">
        <v>9979.1</v>
      </c>
      <c r="D122" s="21">
        <f t="shared" si="4"/>
        <v>1.5565608096762329E-2</v>
      </c>
      <c r="F122" s="30">
        <v>43991</v>
      </c>
      <c r="G122" s="32">
        <v>5.7750000000000004</v>
      </c>
      <c r="H122" s="21">
        <f t="shared" si="5"/>
        <v>-5.5105906664371096E-3</v>
      </c>
    </row>
    <row r="123" spans="2:8" x14ac:dyDescent="0.25">
      <c r="B123" s="30">
        <v>43985</v>
      </c>
      <c r="C123" s="31">
        <v>10061.549999999999</v>
      </c>
      <c r="D123" s="21">
        <f t="shared" si="4"/>
        <v>8.2622681404134202E-3</v>
      </c>
      <c r="F123" s="30">
        <v>43992</v>
      </c>
      <c r="G123" s="32">
        <v>5.7720000000000002</v>
      </c>
      <c r="H123" s="21">
        <f t="shared" si="5"/>
        <v>-5.1948051948058627E-4</v>
      </c>
    </row>
    <row r="124" spans="2:8" x14ac:dyDescent="0.25">
      <c r="B124" s="30">
        <v>43986</v>
      </c>
      <c r="C124" s="31">
        <v>10029.1</v>
      </c>
      <c r="D124" s="21">
        <f t="shared" si="4"/>
        <v>-3.2251492066330822E-3</v>
      </c>
      <c r="F124" s="30">
        <v>43993</v>
      </c>
      <c r="G124" s="32">
        <v>5.7809999999999997</v>
      </c>
      <c r="H124" s="21">
        <f t="shared" si="5"/>
        <v>1.5592515592515177E-3</v>
      </c>
    </row>
    <row r="125" spans="2:8" x14ac:dyDescent="0.25">
      <c r="B125" s="30">
        <v>43987</v>
      </c>
      <c r="C125" s="31">
        <v>10142.15</v>
      </c>
      <c r="D125" s="21">
        <f t="shared" si="4"/>
        <v>1.1272197904099057E-2</v>
      </c>
      <c r="F125" s="30">
        <v>43994</v>
      </c>
      <c r="G125" s="32">
        <v>5.7960000000000003</v>
      </c>
      <c r="H125" s="21">
        <f t="shared" si="5"/>
        <v>2.5947067981320071E-3</v>
      </c>
    </row>
    <row r="126" spans="2:8" x14ac:dyDescent="0.25">
      <c r="B126" s="30">
        <v>43990</v>
      </c>
      <c r="C126" s="31">
        <v>10167.450000000001</v>
      </c>
      <c r="D126" s="21">
        <f t="shared" si="4"/>
        <v>2.4945401123037669E-3</v>
      </c>
      <c r="F126" s="30">
        <v>43997</v>
      </c>
      <c r="G126" s="32">
        <v>5.7919999999999998</v>
      </c>
      <c r="H126" s="21">
        <f t="shared" si="5"/>
        <v>-6.9013112491378426E-4</v>
      </c>
    </row>
    <row r="127" spans="2:8" x14ac:dyDescent="0.25">
      <c r="B127" s="30">
        <v>43991</v>
      </c>
      <c r="C127" s="31">
        <v>10046.65</v>
      </c>
      <c r="D127" s="21">
        <f t="shared" si="4"/>
        <v>-1.1881051787813179E-2</v>
      </c>
      <c r="F127" s="30">
        <v>43998</v>
      </c>
      <c r="G127" s="32">
        <v>5.8460000000000001</v>
      </c>
      <c r="H127" s="21">
        <f t="shared" si="5"/>
        <v>9.3232044198896524E-3</v>
      </c>
    </row>
    <row r="128" spans="2:8" x14ac:dyDescent="0.25">
      <c r="B128" s="30">
        <v>43992</v>
      </c>
      <c r="C128" s="31">
        <v>10116.15</v>
      </c>
      <c r="D128" s="21">
        <f t="shared" si="4"/>
        <v>6.9177287951704969E-3</v>
      </c>
      <c r="F128" s="30">
        <v>43999</v>
      </c>
      <c r="G128" s="32">
        <v>5.835</v>
      </c>
      <c r="H128" s="21">
        <f t="shared" si="5"/>
        <v>-1.8816284639069369E-3</v>
      </c>
    </row>
    <row r="129" spans="2:8" x14ac:dyDescent="0.25">
      <c r="B129" s="30">
        <v>43993</v>
      </c>
      <c r="C129" s="31">
        <v>9902</v>
      </c>
      <c r="D129" s="21">
        <f t="shared" si="4"/>
        <v>-2.1169120663493524E-2</v>
      </c>
      <c r="F129" s="30">
        <v>44000</v>
      </c>
      <c r="G129" s="32">
        <v>5.8220000000000001</v>
      </c>
      <c r="H129" s="21">
        <f t="shared" si="5"/>
        <v>-2.227934875749793E-3</v>
      </c>
    </row>
    <row r="130" spans="2:8" x14ac:dyDescent="0.25">
      <c r="B130" s="30">
        <v>43994</v>
      </c>
      <c r="C130" s="31">
        <v>9972.9</v>
      </c>
      <c r="D130" s="21">
        <f t="shared" si="4"/>
        <v>7.1601696626943934E-3</v>
      </c>
      <c r="F130" s="30">
        <v>44001</v>
      </c>
      <c r="G130" s="32">
        <v>5.8490000000000002</v>
      </c>
      <c r="H130" s="21">
        <f t="shared" si="5"/>
        <v>4.6375815870836057E-3</v>
      </c>
    </row>
    <row r="131" spans="2:8" x14ac:dyDescent="0.25">
      <c r="B131" s="30">
        <v>43997</v>
      </c>
      <c r="C131" s="31">
        <v>9813.7000000000007</v>
      </c>
      <c r="D131" s="21">
        <f t="shared" si="4"/>
        <v>-1.596326043578089E-2</v>
      </c>
      <c r="F131" s="30">
        <v>44004</v>
      </c>
      <c r="G131" s="32">
        <v>5.8769999999999998</v>
      </c>
      <c r="H131" s="21">
        <f t="shared" si="5"/>
        <v>4.7871431013848387E-3</v>
      </c>
    </row>
    <row r="132" spans="2:8" x14ac:dyDescent="0.25">
      <c r="B132" s="30">
        <v>43998</v>
      </c>
      <c r="C132" s="31">
        <v>9914</v>
      </c>
      <c r="D132" s="21">
        <f t="shared" si="4"/>
        <v>1.0220406166889129E-2</v>
      </c>
      <c r="F132" s="30">
        <v>44005</v>
      </c>
      <c r="G132" s="32">
        <v>5.9029999999999996</v>
      </c>
      <c r="H132" s="21">
        <f t="shared" si="5"/>
        <v>4.424025863535741E-3</v>
      </c>
    </row>
    <row r="133" spans="2:8" x14ac:dyDescent="0.25">
      <c r="B133" s="30">
        <v>43999</v>
      </c>
      <c r="C133" s="31">
        <v>9881.15</v>
      </c>
      <c r="D133" s="21">
        <f t="shared" si="4"/>
        <v>-3.3134960661690416E-3</v>
      </c>
      <c r="F133" s="30">
        <v>44006</v>
      </c>
      <c r="G133" s="32">
        <v>5.9180000000000001</v>
      </c>
      <c r="H133" s="21">
        <f t="shared" si="5"/>
        <v>2.5410808063697221E-3</v>
      </c>
    </row>
    <row r="134" spans="2:8" x14ac:dyDescent="0.25">
      <c r="B134" s="30">
        <v>44000</v>
      </c>
      <c r="C134" s="31">
        <v>10091.65</v>
      </c>
      <c r="D134" s="21">
        <f t="shared" si="4"/>
        <v>2.1303188394063532E-2</v>
      </c>
      <c r="F134" s="30">
        <v>44007</v>
      </c>
      <c r="G134" s="32">
        <v>5.891</v>
      </c>
      <c r="H134" s="21">
        <f t="shared" si="5"/>
        <v>-4.5623521459953187E-3</v>
      </c>
    </row>
    <row r="135" spans="2:8" x14ac:dyDescent="0.25">
      <c r="B135" s="30">
        <v>44001</v>
      </c>
      <c r="C135" s="31">
        <v>10244.4</v>
      </c>
      <c r="D135" s="21">
        <f t="shared" si="4"/>
        <v>1.5136276030183415E-2</v>
      </c>
      <c r="F135" s="30">
        <v>44008</v>
      </c>
      <c r="G135" s="32">
        <v>5.9130000000000003</v>
      </c>
      <c r="H135" s="21">
        <f t="shared" si="5"/>
        <v>3.7345102699033461E-3</v>
      </c>
    </row>
    <row r="136" spans="2:8" x14ac:dyDescent="0.25">
      <c r="B136" s="30">
        <v>44004</v>
      </c>
      <c r="C136" s="31">
        <v>10311.200000000001</v>
      </c>
      <c r="D136" s="21">
        <f t="shared" si="4"/>
        <v>6.5206356643630059E-3</v>
      </c>
      <c r="F136" s="30">
        <v>44011</v>
      </c>
      <c r="G136" s="32">
        <v>5.9029999999999996</v>
      </c>
      <c r="H136" s="21">
        <f t="shared" si="5"/>
        <v>-1.6911889058008889E-3</v>
      </c>
    </row>
    <row r="137" spans="2:8" x14ac:dyDescent="0.25">
      <c r="B137" s="30">
        <v>44005</v>
      </c>
      <c r="C137" s="31">
        <v>10471</v>
      </c>
      <c r="D137" s="21">
        <f t="shared" si="4"/>
        <v>1.5497711226627242E-2</v>
      </c>
      <c r="F137" s="30">
        <v>44012</v>
      </c>
      <c r="G137" s="32">
        <v>5.8879999999999999</v>
      </c>
      <c r="H137" s="21">
        <f t="shared" si="5"/>
        <v>-2.5410808063696111E-3</v>
      </c>
    </row>
    <row r="138" spans="2:8" x14ac:dyDescent="0.25">
      <c r="B138" s="30">
        <v>44006</v>
      </c>
      <c r="C138" s="31">
        <v>10305.299999999999</v>
      </c>
      <c r="D138" s="21">
        <f t="shared" si="4"/>
        <v>-1.5824658580842366E-2</v>
      </c>
      <c r="F138" s="30">
        <v>44013</v>
      </c>
      <c r="G138" s="32">
        <v>5.8380000000000001</v>
      </c>
      <c r="H138" s="21">
        <f t="shared" si="5"/>
        <v>-8.4918478260869179E-3</v>
      </c>
    </row>
    <row r="139" spans="2:8" x14ac:dyDescent="0.25">
      <c r="B139" s="30">
        <v>44007</v>
      </c>
      <c r="C139" s="31">
        <v>10288.9</v>
      </c>
      <c r="D139" s="21">
        <f t="shared" si="4"/>
        <v>-1.5914141267114879E-3</v>
      </c>
      <c r="F139" s="30">
        <v>44014</v>
      </c>
      <c r="G139" s="32">
        <v>5.8410000000000002</v>
      </c>
      <c r="H139" s="21">
        <f t="shared" si="5"/>
        <v>5.1387461459406758E-4</v>
      </c>
    </row>
    <row r="140" spans="2:8" x14ac:dyDescent="0.25">
      <c r="B140" s="30">
        <v>44008</v>
      </c>
      <c r="C140" s="31">
        <v>10383</v>
      </c>
      <c r="D140" s="21">
        <f t="shared" si="4"/>
        <v>9.1457784602824166E-3</v>
      </c>
      <c r="F140" s="30">
        <v>44015</v>
      </c>
      <c r="G140" s="32">
        <v>5.8449999999999998</v>
      </c>
      <c r="H140" s="21">
        <f t="shared" si="5"/>
        <v>6.8481424413624481E-4</v>
      </c>
    </row>
    <row r="141" spans="2:8" x14ac:dyDescent="0.25">
      <c r="B141" s="30">
        <v>44011</v>
      </c>
      <c r="C141" s="31">
        <v>10312.4</v>
      </c>
      <c r="D141" s="21">
        <f t="shared" si="4"/>
        <v>-6.7995762303766361E-3</v>
      </c>
      <c r="F141" s="30">
        <v>44018</v>
      </c>
      <c r="G141" s="32">
        <v>5.8360000000000003</v>
      </c>
      <c r="H141" s="21">
        <f t="shared" si="5"/>
        <v>-1.5397775876816455E-3</v>
      </c>
    </row>
    <row r="142" spans="2:8" x14ac:dyDescent="0.25">
      <c r="B142" s="30">
        <v>44012</v>
      </c>
      <c r="C142" s="31">
        <v>10302.1</v>
      </c>
      <c r="D142" s="21">
        <f t="shared" si="4"/>
        <v>-9.9879756409748666E-4</v>
      </c>
      <c r="F142" s="30">
        <v>44019</v>
      </c>
      <c r="G142" s="32">
        <v>5.7919999999999998</v>
      </c>
      <c r="H142" s="21">
        <f t="shared" si="5"/>
        <v>-7.5394105551748192E-3</v>
      </c>
    </row>
    <row r="143" spans="2:8" x14ac:dyDescent="0.25">
      <c r="B143" s="30">
        <v>44013</v>
      </c>
      <c r="C143" s="31">
        <v>10430.049999999999</v>
      </c>
      <c r="D143" s="21">
        <f t="shared" si="4"/>
        <v>1.241979790528136E-2</v>
      </c>
      <c r="F143" s="30">
        <v>44020</v>
      </c>
      <c r="G143" s="32">
        <v>5.7779999999999996</v>
      </c>
      <c r="H143" s="21">
        <f t="shared" si="5"/>
        <v>-2.4171270718232885E-3</v>
      </c>
    </row>
    <row r="144" spans="2:8" x14ac:dyDescent="0.25">
      <c r="B144" s="30">
        <v>44014</v>
      </c>
      <c r="C144" s="31">
        <v>10551.7</v>
      </c>
      <c r="D144" s="21">
        <f t="shared" si="4"/>
        <v>1.1663414844607756E-2</v>
      </c>
      <c r="F144" s="30">
        <v>44021</v>
      </c>
      <c r="G144" s="32">
        <v>5.7720000000000002</v>
      </c>
      <c r="H144" s="21">
        <f t="shared" si="5"/>
        <v>-1.0384215991691148E-3</v>
      </c>
    </row>
    <row r="145" spans="2:8" x14ac:dyDescent="0.25">
      <c r="B145" s="30">
        <v>44015</v>
      </c>
      <c r="C145" s="31">
        <v>10607.35</v>
      </c>
      <c r="D145" s="21">
        <f t="shared" si="4"/>
        <v>5.2740316726214154E-3</v>
      </c>
      <c r="F145" s="30">
        <v>44022</v>
      </c>
      <c r="G145" s="32">
        <v>5.76</v>
      </c>
      <c r="H145" s="21">
        <f t="shared" si="5"/>
        <v>-2.0790020790021346E-3</v>
      </c>
    </row>
    <row r="146" spans="2:8" x14ac:dyDescent="0.25">
      <c r="B146" s="30">
        <v>44018</v>
      </c>
      <c r="C146" s="31">
        <v>10763.65</v>
      </c>
      <c r="D146" s="21">
        <f t="shared" si="4"/>
        <v>1.4735065779860168E-2</v>
      </c>
      <c r="F146" s="30">
        <v>44025</v>
      </c>
      <c r="G146" s="32">
        <v>5.7859999999999996</v>
      </c>
      <c r="H146" s="21">
        <f t="shared" si="5"/>
        <v>4.5138888888889284E-3</v>
      </c>
    </row>
    <row r="147" spans="2:8" x14ac:dyDescent="0.25">
      <c r="B147" s="30">
        <v>44019</v>
      </c>
      <c r="C147" s="31">
        <v>10799.65</v>
      </c>
      <c r="D147" s="21">
        <f t="shared" si="4"/>
        <v>3.3445903573601221E-3</v>
      </c>
      <c r="F147" s="30">
        <v>44026</v>
      </c>
      <c r="G147" s="32">
        <v>5.8250000000000002</v>
      </c>
      <c r="H147" s="21">
        <f t="shared" si="5"/>
        <v>6.7404078810924251E-3</v>
      </c>
    </row>
    <row r="148" spans="2:8" x14ac:dyDescent="0.25">
      <c r="B148" s="30">
        <v>44020</v>
      </c>
      <c r="C148" s="31">
        <v>10705.75</v>
      </c>
      <c r="D148" s="21">
        <f t="shared" si="4"/>
        <v>-8.6947262179792872E-3</v>
      </c>
      <c r="F148" s="30">
        <v>44027</v>
      </c>
      <c r="G148" s="32">
        <v>5.8150000000000004</v>
      </c>
      <c r="H148" s="21">
        <f t="shared" si="5"/>
        <v>-1.7167381974249052E-3</v>
      </c>
    </row>
    <row r="149" spans="2:8" x14ac:dyDescent="0.25">
      <c r="B149" s="30">
        <v>44021</v>
      </c>
      <c r="C149" s="31">
        <v>10813.45</v>
      </c>
      <c r="D149" s="21">
        <f t="shared" ref="D149:D212" si="6">C149/C148-1</f>
        <v>1.006001447820104E-2</v>
      </c>
      <c r="F149" s="30">
        <v>44028</v>
      </c>
      <c r="G149" s="32">
        <v>5.8129999999999997</v>
      </c>
      <c r="H149" s="21">
        <f t="shared" ref="H149:H212" si="7">G149/G148-1</f>
        <v>-3.4393809114374729E-4</v>
      </c>
    </row>
    <row r="150" spans="2:8" x14ac:dyDescent="0.25">
      <c r="B150" s="30">
        <v>44022</v>
      </c>
      <c r="C150" s="31">
        <v>10768.05</v>
      </c>
      <c r="D150" s="21">
        <f t="shared" si="6"/>
        <v>-4.1984750472792154E-3</v>
      </c>
      <c r="F150" s="30">
        <v>44029</v>
      </c>
      <c r="G150" s="32">
        <v>5.8049999999999997</v>
      </c>
      <c r="H150" s="21">
        <f t="shared" si="7"/>
        <v>-1.3762257010149215E-3</v>
      </c>
    </row>
    <row r="151" spans="2:8" x14ac:dyDescent="0.25">
      <c r="B151" s="30">
        <v>44025</v>
      </c>
      <c r="C151" s="31">
        <v>10802.7</v>
      </c>
      <c r="D151" s="21">
        <f t="shared" si="6"/>
        <v>3.2178528145765384E-3</v>
      </c>
      <c r="F151" s="30">
        <v>44032</v>
      </c>
      <c r="G151" s="32">
        <v>5.7990000000000004</v>
      </c>
      <c r="H151" s="21">
        <f t="shared" si="7"/>
        <v>-1.0335917312660481E-3</v>
      </c>
    </row>
    <row r="152" spans="2:8" x14ac:dyDescent="0.25">
      <c r="B152" s="30">
        <v>44026</v>
      </c>
      <c r="C152" s="31">
        <v>10607.35</v>
      </c>
      <c r="D152" s="21">
        <f t="shared" si="6"/>
        <v>-1.8083442102437397E-2</v>
      </c>
      <c r="F152" s="30">
        <v>44033</v>
      </c>
      <c r="G152" s="32">
        <v>5.8289999999999997</v>
      </c>
      <c r="H152" s="21">
        <f t="shared" si="7"/>
        <v>5.1733057423692941E-3</v>
      </c>
    </row>
    <row r="153" spans="2:8" x14ac:dyDescent="0.25">
      <c r="B153" s="30">
        <v>44027</v>
      </c>
      <c r="C153" s="31">
        <v>10618.2</v>
      </c>
      <c r="D153" s="21">
        <f t="shared" si="6"/>
        <v>1.0228756475463285E-3</v>
      </c>
      <c r="F153" s="30">
        <v>44034</v>
      </c>
      <c r="G153" s="32">
        <v>5.8140000000000001</v>
      </c>
      <c r="H153" s="21">
        <f t="shared" si="7"/>
        <v>-2.5733401955737589E-3</v>
      </c>
    </row>
    <row r="154" spans="2:8" x14ac:dyDescent="0.25">
      <c r="B154" s="30">
        <v>44028</v>
      </c>
      <c r="C154" s="31">
        <v>10739.95</v>
      </c>
      <c r="D154" s="21">
        <f t="shared" si="6"/>
        <v>1.1466161873010527E-2</v>
      </c>
      <c r="F154" s="30">
        <v>44035</v>
      </c>
      <c r="G154" s="32">
        <v>5.8049999999999997</v>
      </c>
      <c r="H154" s="21">
        <f t="shared" si="7"/>
        <v>-1.5479876160990891E-3</v>
      </c>
    </row>
    <row r="155" spans="2:8" x14ac:dyDescent="0.25">
      <c r="B155" s="30">
        <v>44029</v>
      </c>
      <c r="C155" s="31">
        <v>10901.7</v>
      </c>
      <c r="D155" s="21">
        <f t="shared" si="6"/>
        <v>1.5060591529755696E-2</v>
      </c>
      <c r="F155" s="30">
        <v>44036</v>
      </c>
      <c r="G155" s="32">
        <v>5.8170000000000002</v>
      </c>
      <c r="H155" s="21">
        <f t="shared" si="7"/>
        <v>2.0671834625323182E-3</v>
      </c>
    </row>
    <row r="156" spans="2:8" x14ac:dyDescent="0.25">
      <c r="B156" s="30">
        <v>44032</v>
      </c>
      <c r="C156" s="31">
        <v>11022.2</v>
      </c>
      <c r="D156" s="21">
        <f t="shared" si="6"/>
        <v>1.1053321958960582E-2</v>
      </c>
      <c r="F156" s="30">
        <v>44039</v>
      </c>
      <c r="G156" s="32">
        <v>5.859</v>
      </c>
      <c r="H156" s="21">
        <f t="shared" si="7"/>
        <v>7.2202166064980755E-3</v>
      </c>
    </row>
    <row r="157" spans="2:8" x14ac:dyDescent="0.25">
      <c r="B157" s="30">
        <v>44033</v>
      </c>
      <c r="C157" s="31">
        <v>11162.25</v>
      </c>
      <c r="D157" s="21">
        <f t="shared" si="6"/>
        <v>1.2706174810836135E-2</v>
      </c>
      <c r="F157" s="30">
        <v>44040</v>
      </c>
      <c r="G157" s="32">
        <v>5.85</v>
      </c>
      <c r="H157" s="21">
        <f t="shared" si="7"/>
        <v>-1.536098310291889E-3</v>
      </c>
    </row>
    <row r="158" spans="2:8" x14ac:dyDescent="0.25">
      <c r="B158" s="30">
        <v>44034</v>
      </c>
      <c r="C158" s="31">
        <v>11132.6</v>
      </c>
      <c r="D158" s="21">
        <f t="shared" si="6"/>
        <v>-2.6562744966291962E-3</v>
      </c>
      <c r="F158" s="30">
        <v>44041</v>
      </c>
      <c r="G158" s="32">
        <v>5.835</v>
      </c>
      <c r="H158" s="21">
        <f t="shared" si="7"/>
        <v>-2.564102564102555E-3</v>
      </c>
    </row>
    <row r="159" spans="2:8" x14ac:dyDescent="0.25">
      <c r="B159" s="30">
        <v>44035</v>
      </c>
      <c r="C159" s="31">
        <v>11215.45</v>
      </c>
      <c r="D159" s="21">
        <f t="shared" si="6"/>
        <v>7.4421069651293692E-3</v>
      </c>
      <c r="F159" s="30">
        <v>44042</v>
      </c>
      <c r="G159" s="32">
        <v>5.8250000000000002</v>
      </c>
      <c r="H159" s="21">
        <f t="shared" si="7"/>
        <v>-1.7137960582690459E-3</v>
      </c>
    </row>
    <row r="160" spans="2:8" x14ac:dyDescent="0.25">
      <c r="B160" s="30">
        <v>44036</v>
      </c>
      <c r="C160" s="31">
        <v>11194.15</v>
      </c>
      <c r="D160" s="21">
        <f t="shared" si="6"/>
        <v>-1.8991658827778313E-3</v>
      </c>
      <c r="F160" s="30">
        <v>44043</v>
      </c>
      <c r="G160" s="32">
        <v>5.8369999999999997</v>
      </c>
      <c r="H160" s="21">
        <f t="shared" si="7"/>
        <v>2.060085836909753E-3</v>
      </c>
    </row>
    <row r="161" spans="2:8" x14ac:dyDescent="0.25">
      <c r="B161" s="30">
        <v>44039</v>
      </c>
      <c r="C161" s="31">
        <v>11131.8</v>
      </c>
      <c r="D161" s="21">
        <f t="shared" si="6"/>
        <v>-5.5698735500239183E-3</v>
      </c>
      <c r="F161" s="30">
        <v>44046</v>
      </c>
      <c r="G161" s="32">
        <v>5.8369999999999997</v>
      </c>
      <c r="H161" s="21">
        <f t="shared" si="7"/>
        <v>0</v>
      </c>
    </row>
    <row r="162" spans="2:8" x14ac:dyDescent="0.25">
      <c r="B162" s="30">
        <v>44040</v>
      </c>
      <c r="C162" s="31">
        <v>11300.55</v>
      </c>
      <c r="D162" s="21">
        <f t="shared" si="6"/>
        <v>1.5159273432868048E-2</v>
      </c>
      <c r="F162" s="30">
        <v>44047</v>
      </c>
      <c r="G162" s="32">
        <v>5.8330000000000002</v>
      </c>
      <c r="H162" s="21">
        <f t="shared" si="7"/>
        <v>-6.8528353606300829E-4</v>
      </c>
    </row>
    <row r="163" spans="2:8" x14ac:dyDescent="0.25">
      <c r="B163" s="30">
        <v>44041</v>
      </c>
      <c r="C163" s="31">
        <v>11202.85</v>
      </c>
      <c r="D163" s="21">
        <f t="shared" si="6"/>
        <v>-8.6455968957261931E-3</v>
      </c>
      <c r="F163" s="30">
        <v>44048</v>
      </c>
      <c r="G163" s="32">
        <v>5.8259999999999996</v>
      </c>
      <c r="H163" s="21">
        <f t="shared" si="7"/>
        <v>-1.2000685753472684E-3</v>
      </c>
    </row>
    <row r="164" spans="2:8" x14ac:dyDescent="0.25">
      <c r="B164" s="30">
        <v>44042</v>
      </c>
      <c r="C164" s="31">
        <v>11102.15</v>
      </c>
      <c r="D164" s="21">
        <f t="shared" si="6"/>
        <v>-8.9887841040450223E-3</v>
      </c>
      <c r="F164" s="30">
        <v>44049</v>
      </c>
      <c r="G164" s="32">
        <v>5.8620000000000001</v>
      </c>
      <c r="H164" s="21">
        <f t="shared" si="7"/>
        <v>6.1791967044284579E-3</v>
      </c>
    </row>
    <row r="165" spans="2:8" x14ac:dyDescent="0.25">
      <c r="B165" s="30">
        <v>44043</v>
      </c>
      <c r="C165" s="31">
        <v>11073.45</v>
      </c>
      <c r="D165" s="21">
        <f t="shared" si="6"/>
        <v>-2.5850848709483287E-3</v>
      </c>
      <c r="F165" s="30">
        <v>44050</v>
      </c>
      <c r="G165" s="32">
        <v>5.8860000000000001</v>
      </c>
      <c r="H165" s="21">
        <f t="shared" si="7"/>
        <v>4.0941658137154668E-3</v>
      </c>
    </row>
    <row r="166" spans="2:8" x14ac:dyDescent="0.25">
      <c r="B166" s="30">
        <v>44046</v>
      </c>
      <c r="C166" s="31">
        <v>10891.6</v>
      </c>
      <c r="D166" s="21">
        <f t="shared" si="6"/>
        <v>-1.6422162921221561E-2</v>
      </c>
      <c r="F166" s="30">
        <v>44053</v>
      </c>
      <c r="G166" s="32">
        <v>5.8929999999999998</v>
      </c>
      <c r="H166" s="21">
        <f t="shared" si="7"/>
        <v>1.1892626571525788E-3</v>
      </c>
    </row>
    <row r="167" spans="2:8" x14ac:dyDescent="0.25">
      <c r="B167" s="30">
        <v>44047</v>
      </c>
      <c r="C167" s="31">
        <v>11095.25</v>
      </c>
      <c r="D167" s="21">
        <f t="shared" si="6"/>
        <v>1.8697895625986893E-2</v>
      </c>
      <c r="F167" s="30">
        <v>44054</v>
      </c>
      <c r="G167" s="32">
        <v>5.9029999999999996</v>
      </c>
      <c r="H167" s="21">
        <f t="shared" si="7"/>
        <v>1.6969285593075867E-3</v>
      </c>
    </row>
    <row r="168" spans="2:8" x14ac:dyDescent="0.25">
      <c r="B168" s="30">
        <v>44048</v>
      </c>
      <c r="C168" s="31">
        <v>11101.65</v>
      </c>
      <c r="D168" s="21">
        <f t="shared" si="6"/>
        <v>5.7682341542553139E-4</v>
      </c>
      <c r="F168" s="30">
        <v>44055</v>
      </c>
      <c r="G168" s="32">
        <v>5.8840000000000003</v>
      </c>
      <c r="H168" s="21">
        <f t="shared" si="7"/>
        <v>-3.2187023547347593E-3</v>
      </c>
    </row>
    <row r="169" spans="2:8" x14ac:dyDescent="0.25">
      <c r="B169" s="30">
        <v>44049</v>
      </c>
      <c r="C169" s="31">
        <v>11200.15</v>
      </c>
      <c r="D169" s="21">
        <f t="shared" si="6"/>
        <v>8.8725549805659387E-3</v>
      </c>
      <c r="F169" s="30">
        <v>44056</v>
      </c>
      <c r="G169" s="32">
        <v>5.8949999999999996</v>
      </c>
      <c r="H169" s="21">
        <f t="shared" si="7"/>
        <v>1.8694765465667729E-3</v>
      </c>
    </row>
    <row r="170" spans="2:8" x14ac:dyDescent="0.25">
      <c r="B170" s="30">
        <v>44050</v>
      </c>
      <c r="C170" s="31">
        <v>11214.05</v>
      </c>
      <c r="D170" s="21">
        <f t="shared" si="6"/>
        <v>1.2410548073016336E-3</v>
      </c>
      <c r="F170" s="30">
        <v>44057</v>
      </c>
      <c r="G170" s="32">
        <v>5.9649999999999999</v>
      </c>
      <c r="H170" s="21">
        <f t="shared" si="7"/>
        <v>1.187446988973706E-2</v>
      </c>
    </row>
    <row r="171" spans="2:8" x14ac:dyDescent="0.25">
      <c r="B171" s="30">
        <v>44053</v>
      </c>
      <c r="C171" s="31">
        <v>11270.15</v>
      </c>
      <c r="D171" s="21">
        <f t="shared" si="6"/>
        <v>5.0026529220041915E-3</v>
      </c>
      <c r="F171" s="30">
        <v>44060</v>
      </c>
      <c r="G171" s="32">
        <v>5.9749999999999996</v>
      </c>
      <c r="H171" s="21">
        <f t="shared" si="7"/>
        <v>1.6764459346185756E-3</v>
      </c>
    </row>
    <row r="172" spans="2:8" x14ac:dyDescent="0.25">
      <c r="B172" s="30">
        <v>44054</v>
      </c>
      <c r="C172" s="31">
        <v>11322.5</v>
      </c>
      <c r="D172" s="21">
        <f t="shared" si="6"/>
        <v>4.6450135978670648E-3</v>
      </c>
      <c r="F172" s="30">
        <v>44061</v>
      </c>
      <c r="G172" s="32">
        <v>5.9859999999999998</v>
      </c>
      <c r="H172" s="21">
        <f t="shared" si="7"/>
        <v>1.841004184100381E-3</v>
      </c>
    </row>
    <row r="173" spans="2:8" x14ac:dyDescent="0.25">
      <c r="B173" s="30">
        <v>44055</v>
      </c>
      <c r="C173" s="31">
        <v>11308.4</v>
      </c>
      <c r="D173" s="21">
        <f t="shared" si="6"/>
        <v>-1.2453080150144347E-3</v>
      </c>
      <c r="F173" s="30">
        <v>44062</v>
      </c>
      <c r="G173" s="32">
        <v>6.008</v>
      </c>
      <c r="H173" s="21">
        <f t="shared" si="7"/>
        <v>3.6752422318744316E-3</v>
      </c>
    </row>
    <row r="174" spans="2:8" x14ac:dyDescent="0.25">
      <c r="B174" s="30">
        <v>44056</v>
      </c>
      <c r="C174" s="31">
        <v>11300.45</v>
      </c>
      <c r="D174" s="21">
        <f t="shared" si="6"/>
        <v>-7.0301722613264062E-4</v>
      </c>
      <c r="F174" s="30">
        <v>44063</v>
      </c>
      <c r="G174" s="32">
        <v>6</v>
      </c>
      <c r="H174" s="21">
        <f t="shared" si="7"/>
        <v>-1.3315579227696217E-3</v>
      </c>
    </row>
    <row r="175" spans="2:8" x14ac:dyDescent="0.25">
      <c r="B175" s="30">
        <v>44057</v>
      </c>
      <c r="C175" s="31">
        <v>11178.4</v>
      </c>
      <c r="D175" s="21">
        <f t="shared" si="6"/>
        <v>-1.0800454849143271E-2</v>
      </c>
      <c r="F175" s="30">
        <v>44064</v>
      </c>
      <c r="G175" s="32">
        <v>6.14</v>
      </c>
      <c r="H175" s="21">
        <f t="shared" si="7"/>
        <v>2.3333333333333206E-2</v>
      </c>
    </row>
    <row r="176" spans="2:8" x14ac:dyDescent="0.25">
      <c r="B176" s="30">
        <v>44060</v>
      </c>
      <c r="C176" s="31">
        <v>11247.1</v>
      </c>
      <c r="D176" s="21">
        <f t="shared" si="6"/>
        <v>6.1457811493594861E-3</v>
      </c>
      <c r="F176" s="30">
        <v>44067</v>
      </c>
      <c r="G176" s="32">
        <v>6.2210000000000001</v>
      </c>
      <c r="H176" s="21">
        <f t="shared" si="7"/>
        <v>1.3192182410423525E-2</v>
      </c>
    </row>
    <row r="177" spans="2:8" x14ac:dyDescent="0.25">
      <c r="B177" s="30">
        <v>44061</v>
      </c>
      <c r="C177" s="31">
        <v>11385.35</v>
      </c>
      <c r="D177" s="21">
        <f t="shared" si="6"/>
        <v>1.2292057508157761E-2</v>
      </c>
      <c r="F177" s="30">
        <v>44068</v>
      </c>
      <c r="G177" s="32">
        <v>6.157</v>
      </c>
      <c r="H177" s="21">
        <f t="shared" si="7"/>
        <v>-1.028773509082137E-2</v>
      </c>
    </row>
    <row r="178" spans="2:8" x14ac:dyDescent="0.25">
      <c r="B178" s="30">
        <v>44062</v>
      </c>
      <c r="C178" s="31">
        <v>11408.4</v>
      </c>
      <c r="D178" s="21">
        <f t="shared" si="6"/>
        <v>2.024531525161688E-3</v>
      </c>
      <c r="F178" s="30">
        <v>44069</v>
      </c>
      <c r="G178" s="32">
        <v>6.2030000000000003</v>
      </c>
      <c r="H178" s="21">
        <f t="shared" si="7"/>
        <v>7.4711710248498431E-3</v>
      </c>
    </row>
    <row r="179" spans="2:8" x14ac:dyDescent="0.25">
      <c r="B179" s="30">
        <v>44063</v>
      </c>
      <c r="C179" s="31">
        <v>11312.2</v>
      </c>
      <c r="D179" s="21">
        <f t="shared" si="6"/>
        <v>-8.4323831562707063E-3</v>
      </c>
      <c r="F179" s="30">
        <v>44070</v>
      </c>
      <c r="G179" s="32">
        <v>6.1470000000000002</v>
      </c>
      <c r="H179" s="21">
        <f t="shared" si="7"/>
        <v>-9.0278897307753958E-3</v>
      </c>
    </row>
    <row r="180" spans="2:8" x14ac:dyDescent="0.25">
      <c r="B180" s="30">
        <v>44064</v>
      </c>
      <c r="C180" s="31">
        <v>11371.6</v>
      </c>
      <c r="D180" s="21">
        <f t="shared" si="6"/>
        <v>5.2509679814713994E-3</v>
      </c>
      <c r="F180" s="30">
        <v>44071</v>
      </c>
      <c r="G180" s="32">
        <v>6.0970000000000004</v>
      </c>
      <c r="H180" s="21">
        <f t="shared" si="7"/>
        <v>-8.1340491296567619E-3</v>
      </c>
    </row>
    <row r="181" spans="2:8" x14ac:dyDescent="0.25">
      <c r="B181" s="30">
        <v>44067</v>
      </c>
      <c r="C181" s="31">
        <v>11466.45</v>
      </c>
      <c r="D181" s="21">
        <f t="shared" si="6"/>
        <v>8.3409546589749972E-3</v>
      </c>
      <c r="F181" s="30">
        <v>44074</v>
      </c>
      <c r="G181" s="32">
        <v>6.0780000000000003</v>
      </c>
      <c r="H181" s="21">
        <f t="shared" si="7"/>
        <v>-3.1162866983762694E-3</v>
      </c>
    </row>
    <row r="182" spans="2:8" x14ac:dyDescent="0.25">
      <c r="B182" s="30">
        <v>44068</v>
      </c>
      <c r="C182" s="31">
        <v>11472.25</v>
      </c>
      <c r="D182" s="21">
        <f t="shared" si="6"/>
        <v>5.0582351120009861E-4</v>
      </c>
      <c r="F182" s="30">
        <v>44075</v>
      </c>
      <c r="G182" s="32">
        <v>5.9429999999999996</v>
      </c>
      <c r="H182" s="21">
        <f t="shared" si="7"/>
        <v>-2.2211253701875711E-2</v>
      </c>
    </row>
    <row r="183" spans="2:8" x14ac:dyDescent="0.25">
      <c r="B183" s="30">
        <v>44069</v>
      </c>
      <c r="C183" s="31">
        <v>11549.6</v>
      </c>
      <c r="D183" s="21">
        <f t="shared" si="6"/>
        <v>6.7423565560373877E-3</v>
      </c>
      <c r="F183" s="30">
        <v>44076</v>
      </c>
      <c r="G183" s="32">
        <v>5.92</v>
      </c>
      <c r="H183" s="21">
        <f t="shared" si="7"/>
        <v>-3.8700992764596487E-3</v>
      </c>
    </row>
    <row r="184" spans="2:8" x14ac:dyDescent="0.25">
      <c r="B184" s="30">
        <v>44070</v>
      </c>
      <c r="C184" s="31">
        <v>11559.25</v>
      </c>
      <c r="D184" s="21">
        <f t="shared" si="6"/>
        <v>8.3552677148990284E-4</v>
      </c>
      <c r="F184" s="30">
        <v>44077</v>
      </c>
      <c r="G184" s="32">
        <v>5.8959999999999999</v>
      </c>
      <c r="H184" s="21">
        <f t="shared" si="7"/>
        <v>-4.0540540540540126E-3</v>
      </c>
    </row>
    <row r="185" spans="2:8" x14ac:dyDescent="0.25">
      <c r="B185" s="30">
        <v>44071</v>
      </c>
      <c r="C185" s="31">
        <v>11647.6</v>
      </c>
      <c r="D185" s="21">
        <f t="shared" si="6"/>
        <v>7.6432294482773333E-3</v>
      </c>
      <c r="F185" s="30">
        <v>44078</v>
      </c>
      <c r="G185" s="32">
        <v>5.93</v>
      </c>
      <c r="H185" s="21">
        <f t="shared" si="7"/>
        <v>5.7666214382632308E-3</v>
      </c>
    </row>
    <row r="186" spans="2:8" x14ac:dyDescent="0.25">
      <c r="B186" s="30">
        <v>44074</v>
      </c>
      <c r="C186" s="31">
        <v>11387.5</v>
      </c>
      <c r="D186" s="21">
        <f t="shared" si="6"/>
        <v>-2.2330780589992827E-2</v>
      </c>
      <c r="F186" s="30">
        <v>44081</v>
      </c>
      <c r="G186" s="32">
        <v>5.9930000000000003</v>
      </c>
      <c r="H186" s="21">
        <f t="shared" si="7"/>
        <v>1.0623946037099596E-2</v>
      </c>
    </row>
    <row r="187" spans="2:8" x14ac:dyDescent="0.25">
      <c r="B187" s="30">
        <v>44075</v>
      </c>
      <c r="C187" s="31">
        <v>11470.25</v>
      </c>
      <c r="D187" s="21">
        <f t="shared" si="6"/>
        <v>7.2667398463226451E-3</v>
      </c>
      <c r="F187" s="30">
        <v>44082</v>
      </c>
      <c r="G187" s="32">
        <v>6.056</v>
      </c>
      <c r="H187" s="21">
        <f t="shared" si="7"/>
        <v>1.051226430835972E-2</v>
      </c>
    </row>
    <row r="188" spans="2:8" x14ac:dyDescent="0.25">
      <c r="B188" s="30">
        <v>44076</v>
      </c>
      <c r="C188" s="31">
        <v>11535</v>
      </c>
      <c r="D188" s="21">
        <f t="shared" si="6"/>
        <v>5.6450382511279429E-3</v>
      </c>
      <c r="F188" s="30">
        <v>44083</v>
      </c>
      <c r="G188" s="32">
        <v>5.9889999999999999</v>
      </c>
      <c r="H188" s="21">
        <f t="shared" si="7"/>
        <v>-1.1063408190224555E-2</v>
      </c>
    </row>
    <row r="189" spans="2:8" x14ac:dyDescent="0.25">
      <c r="B189" s="30">
        <v>44077</v>
      </c>
      <c r="C189" s="31">
        <v>11527.45</v>
      </c>
      <c r="D189" s="21">
        <f t="shared" si="6"/>
        <v>-6.5452969224089053E-4</v>
      </c>
      <c r="F189" s="30">
        <v>44084</v>
      </c>
      <c r="G189" s="32">
        <v>6.0529999999999999</v>
      </c>
      <c r="H189" s="21">
        <f t="shared" si="7"/>
        <v>1.0686258139923188E-2</v>
      </c>
    </row>
    <row r="190" spans="2:8" x14ac:dyDescent="0.25">
      <c r="B190" s="30">
        <v>44078</v>
      </c>
      <c r="C190" s="31">
        <v>11333.85</v>
      </c>
      <c r="D190" s="21">
        <f t="shared" si="6"/>
        <v>-1.6794694403359012E-2</v>
      </c>
      <c r="F190" s="30">
        <v>44085</v>
      </c>
      <c r="G190" s="32">
        <v>6.0410000000000004</v>
      </c>
      <c r="H190" s="21">
        <f t="shared" si="7"/>
        <v>-1.9824880224681429E-3</v>
      </c>
    </row>
    <row r="191" spans="2:8" x14ac:dyDescent="0.25">
      <c r="B191" s="30">
        <v>44081</v>
      </c>
      <c r="C191" s="31">
        <v>11355.05</v>
      </c>
      <c r="D191" s="21">
        <f t="shared" si="6"/>
        <v>1.8705029623649061E-3</v>
      </c>
      <c r="F191" s="30">
        <v>44088</v>
      </c>
      <c r="G191" s="32">
        <v>6.0309999999999997</v>
      </c>
      <c r="H191" s="21">
        <f t="shared" si="7"/>
        <v>-1.6553550736634337E-3</v>
      </c>
    </row>
    <row r="192" spans="2:8" x14ac:dyDescent="0.25">
      <c r="B192" s="30">
        <v>44082</v>
      </c>
      <c r="C192" s="31">
        <v>11317.35</v>
      </c>
      <c r="D192" s="21">
        <f t="shared" si="6"/>
        <v>-3.3201086741140307E-3</v>
      </c>
      <c r="F192" s="30">
        <v>44089</v>
      </c>
      <c r="G192" s="32">
        <v>6.0289999999999999</v>
      </c>
      <c r="H192" s="21">
        <f t="shared" si="7"/>
        <v>-3.3161996352171208E-4</v>
      </c>
    </row>
    <row r="193" spans="2:8" x14ac:dyDescent="0.25">
      <c r="B193" s="30">
        <v>44083</v>
      </c>
      <c r="C193" s="31">
        <v>11278</v>
      </c>
      <c r="D193" s="21">
        <f t="shared" si="6"/>
        <v>-3.4769623630973578E-3</v>
      </c>
      <c r="F193" s="30">
        <v>44090</v>
      </c>
      <c r="G193" s="32">
        <v>5.992</v>
      </c>
      <c r="H193" s="21">
        <f t="shared" si="7"/>
        <v>-6.1370044783546351E-3</v>
      </c>
    </row>
    <row r="194" spans="2:8" x14ac:dyDescent="0.25">
      <c r="B194" s="30">
        <v>44084</v>
      </c>
      <c r="C194" s="31">
        <v>11449.25</v>
      </c>
      <c r="D194" s="21">
        <f t="shared" si="6"/>
        <v>1.5184429863450921E-2</v>
      </c>
      <c r="F194" s="30">
        <v>44091</v>
      </c>
      <c r="G194" s="32">
        <v>6.0330000000000004</v>
      </c>
      <c r="H194" s="21">
        <f t="shared" si="7"/>
        <v>6.8424566088118866E-3</v>
      </c>
    </row>
    <row r="195" spans="2:8" x14ac:dyDescent="0.25">
      <c r="B195" s="30">
        <v>44085</v>
      </c>
      <c r="C195" s="31">
        <v>11464.45</v>
      </c>
      <c r="D195" s="21">
        <f t="shared" si="6"/>
        <v>1.3275978775904029E-3</v>
      </c>
      <c r="F195" s="30">
        <v>44092</v>
      </c>
      <c r="G195" s="32">
        <v>6.0140000000000002</v>
      </c>
      <c r="H195" s="21">
        <f t="shared" si="7"/>
        <v>-3.1493452676943923E-3</v>
      </c>
    </row>
    <row r="196" spans="2:8" x14ac:dyDescent="0.25">
      <c r="B196" s="30">
        <v>44088</v>
      </c>
      <c r="C196" s="31">
        <v>11440.05</v>
      </c>
      <c r="D196" s="21">
        <f t="shared" si="6"/>
        <v>-2.1283184103905173E-3</v>
      </c>
      <c r="F196" s="30">
        <v>44095</v>
      </c>
      <c r="G196" s="32">
        <v>6.016</v>
      </c>
      <c r="H196" s="21">
        <f t="shared" si="7"/>
        <v>3.3255736614568043E-4</v>
      </c>
    </row>
    <row r="197" spans="2:8" x14ac:dyDescent="0.25">
      <c r="B197" s="30">
        <v>44089</v>
      </c>
      <c r="C197" s="31">
        <v>11521.8</v>
      </c>
      <c r="D197" s="21">
        <f t="shared" si="6"/>
        <v>7.1459477886897105E-3</v>
      </c>
      <c r="F197" s="30">
        <v>44096</v>
      </c>
      <c r="G197" s="32">
        <v>6.01</v>
      </c>
      <c r="H197" s="21">
        <f t="shared" si="7"/>
        <v>-9.9734042553190072E-4</v>
      </c>
    </row>
    <row r="198" spans="2:8" x14ac:dyDescent="0.25">
      <c r="B198" s="30">
        <v>44090</v>
      </c>
      <c r="C198" s="31">
        <v>11604.55</v>
      </c>
      <c r="D198" s="21">
        <f t="shared" si="6"/>
        <v>7.182037528858265E-3</v>
      </c>
      <c r="F198" s="30">
        <v>44097</v>
      </c>
      <c r="G198" s="32">
        <v>5.99</v>
      </c>
      <c r="H198" s="21">
        <f t="shared" si="7"/>
        <v>-3.3277870216305017E-3</v>
      </c>
    </row>
    <row r="199" spans="2:8" x14ac:dyDescent="0.25">
      <c r="B199" s="30">
        <v>44091</v>
      </c>
      <c r="C199" s="31">
        <v>11516.1</v>
      </c>
      <c r="D199" s="21">
        <f t="shared" si="6"/>
        <v>-7.6220103321541499E-3</v>
      </c>
      <c r="F199" s="30">
        <v>44098</v>
      </c>
      <c r="G199" s="32">
        <v>5.992</v>
      </c>
      <c r="H199" s="21">
        <f t="shared" si="7"/>
        <v>3.3388981636051085E-4</v>
      </c>
    </row>
    <row r="200" spans="2:8" x14ac:dyDescent="0.25">
      <c r="B200" s="30">
        <v>44092</v>
      </c>
      <c r="C200" s="31">
        <v>11504.95</v>
      </c>
      <c r="D200" s="21">
        <f t="shared" si="6"/>
        <v>-9.6820972377797965E-4</v>
      </c>
      <c r="F200" s="30">
        <v>44099</v>
      </c>
      <c r="G200" s="32">
        <v>6.0380000000000003</v>
      </c>
      <c r="H200" s="21">
        <f t="shared" si="7"/>
        <v>7.6769025367156019E-3</v>
      </c>
    </row>
    <row r="201" spans="2:8" x14ac:dyDescent="0.25">
      <c r="B201" s="30">
        <v>44095</v>
      </c>
      <c r="C201" s="31">
        <v>11250.55</v>
      </c>
      <c r="D201" s="21">
        <f t="shared" si="6"/>
        <v>-2.2112221261283316E-2</v>
      </c>
      <c r="F201" s="30">
        <v>44102</v>
      </c>
      <c r="G201" s="32">
        <v>6.056</v>
      </c>
      <c r="H201" s="21">
        <f t="shared" si="7"/>
        <v>2.9811195760185427E-3</v>
      </c>
    </row>
    <row r="202" spans="2:8" x14ac:dyDescent="0.25">
      <c r="B202" s="30">
        <v>44096</v>
      </c>
      <c r="C202" s="31">
        <v>11153.65</v>
      </c>
      <c r="D202" s="21">
        <f t="shared" si="6"/>
        <v>-8.6129122576229511E-3</v>
      </c>
      <c r="F202" s="30">
        <v>44103</v>
      </c>
      <c r="G202" s="32">
        <v>6.0369999999999999</v>
      </c>
      <c r="H202" s="21">
        <f t="shared" si="7"/>
        <v>-3.1373844121532768E-3</v>
      </c>
    </row>
    <row r="203" spans="2:8" x14ac:dyDescent="0.25">
      <c r="B203" s="30">
        <v>44097</v>
      </c>
      <c r="C203" s="31">
        <v>11131.85</v>
      </c>
      <c r="D203" s="21">
        <f t="shared" si="6"/>
        <v>-1.9545171311632359E-3</v>
      </c>
      <c r="F203" s="30">
        <v>44104</v>
      </c>
      <c r="G203" s="32">
        <v>6.0149999999999997</v>
      </c>
      <c r="H203" s="21">
        <f t="shared" si="7"/>
        <v>-3.6441941361603503E-3</v>
      </c>
    </row>
    <row r="204" spans="2:8" x14ac:dyDescent="0.25">
      <c r="B204" s="30">
        <v>44098</v>
      </c>
      <c r="C204" s="31">
        <v>10805.55</v>
      </c>
      <c r="D204" s="21">
        <f t="shared" si="6"/>
        <v>-2.9312288613303372E-2</v>
      </c>
      <c r="F204" s="30">
        <v>44105</v>
      </c>
      <c r="G204" s="32">
        <v>5.9960000000000004</v>
      </c>
      <c r="H204" s="21">
        <f t="shared" si="7"/>
        <v>-3.1587697423107741E-3</v>
      </c>
    </row>
    <row r="205" spans="2:8" x14ac:dyDescent="0.25">
      <c r="B205" s="30">
        <v>44099</v>
      </c>
      <c r="C205" s="31">
        <v>11050.25</v>
      </c>
      <c r="D205" s="21">
        <f t="shared" si="6"/>
        <v>2.2645769997825305E-2</v>
      </c>
      <c r="F205" s="30">
        <v>44109</v>
      </c>
      <c r="G205" s="32">
        <v>6.0039999999999996</v>
      </c>
      <c r="H205" s="21">
        <f t="shared" si="7"/>
        <v>1.3342228152100066E-3</v>
      </c>
    </row>
    <row r="206" spans="2:8" x14ac:dyDescent="0.25">
      <c r="B206" s="30">
        <v>44102</v>
      </c>
      <c r="C206" s="31">
        <v>11227.55</v>
      </c>
      <c r="D206" s="21">
        <f t="shared" si="6"/>
        <v>1.6044885862310787E-2</v>
      </c>
      <c r="F206" s="30">
        <v>44110</v>
      </c>
      <c r="G206" s="32">
        <v>6.0259999999999998</v>
      </c>
      <c r="H206" s="21">
        <f t="shared" si="7"/>
        <v>3.6642238507662572E-3</v>
      </c>
    </row>
    <row r="207" spans="2:8" x14ac:dyDescent="0.25">
      <c r="B207" s="30">
        <v>44103</v>
      </c>
      <c r="C207" s="31">
        <v>11222.4</v>
      </c>
      <c r="D207" s="21">
        <f t="shared" si="6"/>
        <v>-4.5869312539237317E-4</v>
      </c>
      <c r="F207" s="30">
        <v>44111</v>
      </c>
      <c r="G207" s="32">
        <v>6.0140000000000002</v>
      </c>
      <c r="H207" s="21">
        <f t="shared" si="7"/>
        <v>-1.9913707268502945E-3</v>
      </c>
    </row>
    <row r="208" spans="2:8" x14ac:dyDescent="0.25">
      <c r="B208" s="30">
        <v>44104</v>
      </c>
      <c r="C208" s="31">
        <v>11247.55</v>
      </c>
      <c r="D208" s="21">
        <f t="shared" si="6"/>
        <v>2.2410536070716081E-3</v>
      </c>
      <c r="F208" s="30">
        <v>44112</v>
      </c>
      <c r="G208" s="32">
        <v>6.0149999999999997</v>
      </c>
      <c r="H208" s="21">
        <f t="shared" si="7"/>
        <v>1.6627868307272919E-4</v>
      </c>
    </row>
    <row r="209" spans="2:8" x14ac:dyDescent="0.25">
      <c r="B209" s="30">
        <v>44105</v>
      </c>
      <c r="C209" s="31">
        <v>11416.95</v>
      </c>
      <c r="D209" s="21">
        <f t="shared" si="6"/>
        <v>1.5061057741463824E-2</v>
      </c>
      <c r="F209" s="30">
        <v>44113</v>
      </c>
      <c r="G209" s="32">
        <v>5.9370000000000003</v>
      </c>
      <c r="H209" s="21">
        <f t="shared" si="7"/>
        <v>-1.2967581047381493E-2</v>
      </c>
    </row>
    <row r="210" spans="2:8" x14ac:dyDescent="0.25">
      <c r="B210" s="30">
        <v>44109</v>
      </c>
      <c r="C210" s="31">
        <v>11503.35</v>
      </c>
      <c r="D210" s="21">
        <f t="shared" si="6"/>
        <v>7.5676954002601438E-3</v>
      </c>
      <c r="F210" s="30">
        <v>44116</v>
      </c>
      <c r="G210" s="32">
        <v>5.899</v>
      </c>
      <c r="H210" s="21">
        <f t="shared" si="7"/>
        <v>-6.4005389927572764E-3</v>
      </c>
    </row>
    <row r="211" spans="2:8" x14ac:dyDescent="0.25">
      <c r="B211" s="30">
        <v>44110</v>
      </c>
      <c r="C211" s="31">
        <v>11662.4</v>
      </c>
      <c r="D211" s="21">
        <f t="shared" si="6"/>
        <v>1.3826407090108406E-2</v>
      </c>
      <c r="F211" s="30">
        <v>44117</v>
      </c>
      <c r="G211" s="32">
        <v>5.9039999999999999</v>
      </c>
      <c r="H211" s="21">
        <f t="shared" si="7"/>
        <v>8.4760128835403847E-4</v>
      </c>
    </row>
    <row r="212" spans="2:8" x14ac:dyDescent="0.25">
      <c r="B212" s="30">
        <v>44111</v>
      </c>
      <c r="C212" s="31">
        <v>11738.85</v>
      </c>
      <c r="D212" s="21">
        <f t="shared" si="6"/>
        <v>6.555254493071816E-3</v>
      </c>
      <c r="F212" s="30">
        <v>44118</v>
      </c>
      <c r="G212" s="32">
        <v>5.9</v>
      </c>
      <c r="H212" s="21">
        <f t="shared" si="7"/>
        <v>-6.7750677506772661E-4</v>
      </c>
    </row>
    <row r="213" spans="2:8" x14ac:dyDescent="0.25">
      <c r="B213" s="30">
        <v>44112</v>
      </c>
      <c r="C213" s="31">
        <v>11834.6</v>
      </c>
      <c r="D213" s="21">
        <f t="shared" ref="D213:D277" si="8">C213/C212-1</f>
        <v>8.1566763354161687E-3</v>
      </c>
      <c r="F213" s="30">
        <v>44119</v>
      </c>
      <c r="G213" s="32">
        <v>5.8979999999999997</v>
      </c>
      <c r="H213" s="21">
        <f t="shared" ref="H213:H277" si="9">G213/G212-1</f>
        <v>-3.3898305084756331E-4</v>
      </c>
    </row>
    <row r="214" spans="2:8" x14ac:dyDescent="0.25">
      <c r="B214" s="30">
        <v>44113</v>
      </c>
      <c r="C214" s="31">
        <v>11914.2</v>
      </c>
      <c r="D214" s="21">
        <f t="shared" si="8"/>
        <v>6.7260405928379896E-3</v>
      </c>
      <c r="F214" s="30">
        <v>44120</v>
      </c>
      <c r="G214" s="32">
        <v>5.9349999999999996</v>
      </c>
      <c r="H214" s="21">
        <f t="shared" si="9"/>
        <v>6.2733129874532612E-3</v>
      </c>
    </row>
    <row r="215" spans="2:8" x14ac:dyDescent="0.25">
      <c r="B215" s="30">
        <v>44116</v>
      </c>
      <c r="C215" s="31">
        <v>11930.95</v>
      </c>
      <c r="D215" s="21">
        <f t="shared" si="8"/>
        <v>1.4058854140437393E-3</v>
      </c>
      <c r="F215" s="30">
        <v>44123</v>
      </c>
      <c r="G215" s="32">
        <v>5.94</v>
      </c>
      <c r="H215" s="21">
        <f t="shared" si="9"/>
        <v>8.4245998315091164E-4</v>
      </c>
    </row>
    <row r="216" spans="2:8" x14ac:dyDescent="0.25">
      <c r="B216" s="30">
        <v>44117</v>
      </c>
      <c r="C216" s="31">
        <v>11934.5</v>
      </c>
      <c r="D216" s="21">
        <f t="shared" si="8"/>
        <v>2.9754545949822742E-4</v>
      </c>
      <c r="F216" s="30">
        <v>44124</v>
      </c>
      <c r="G216" s="32">
        <v>5.931</v>
      </c>
      <c r="H216" s="21">
        <f t="shared" si="9"/>
        <v>-1.5151515151515804E-3</v>
      </c>
    </row>
    <row r="217" spans="2:8" x14ac:dyDescent="0.25">
      <c r="B217" s="30">
        <v>44118</v>
      </c>
      <c r="C217" s="31">
        <v>11971.05</v>
      </c>
      <c r="D217" s="21">
        <f t="shared" si="8"/>
        <v>3.0625497507226207E-3</v>
      </c>
      <c r="F217" s="30">
        <v>44125</v>
      </c>
      <c r="G217" s="32">
        <v>5.9119999999999999</v>
      </c>
      <c r="H217" s="21">
        <f t="shared" si="9"/>
        <v>-3.203506997133676E-3</v>
      </c>
    </row>
    <row r="218" spans="2:8" x14ac:dyDescent="0.25">
      <c r="B218" s="30">
        <v>44119</v>
      </c>
      <c r="C218" s="31">
        <v>11680.35</v>
      </c>
      <c r="D218" s="21">
        <f t="shared" si="8"/>
        <v>-2.4283584146753912E-2</v>
      </c>
      <c r="F218" s="30">
        <v>44126</v>
      </c>
      <c r="G218" s="32">
        <v>5.915</v>
      </c>
      <c r="H218" s="21">
        <f t="shared" si="9"/>
        <v>5.0744248985123974E-4</v>
      </c>
    </row>
    <row r="219" spans="2:8" x14ac:dyDescent="0.25">
      <c r="B219" s="30">
        <v>44120</v>
      </c>
      <c r="C219" s="31">
        <v>11762.45</v>
      </c>
      <c r="D219" s="21">
        <f t="shared" si="8"/>
        <v>7.0288989627880216E-3</v>
      </c>
      <c r="F219" s="30">
        <v>44127</v>
      </c>
      <c r="G219" s="32">
        <v>5.8440000000000003</v>
      </c>
      <c r="H219" s="21">
        <f t="shared" si="9"/>
        <v>-1.2003381234150456E-2</v>
      </c>
    </row>
    <row r="220" spans="2:8" x14ac:dyDescent="0.25">
      <c r="B220" s="30">
        <v>44123</v>
      </c>
      <c r="C220" s="31">
        <v>11873.05</v>
      </c>
      <c r="D220" s="21">
        <f t="shared" si="8"/>
        <v>9.4028029874726471E-3</v>
      </c>
      <c r="F220" s="30">
        <v>44130</v>
      </c>
      <c r="G220" s="32">
        <v>5.8339999999999996</v>
      </c>
      <c r="H220" s="21">
        <f t="shared" si="9"/>
        <v>-1.7111567419576534E-3</v>
      </c>
    </row>
    <row r="221" spans="2:8" x14ac:dyDescent="0.25">
      <c r="B221" s="30">
        <v>44124</v>
      </c>
      <c r="C221" s="31">
        <v>11896.8</v>
      </c>
      <c r="D221" s="21">
        <f t="shared" si="8"/>
        <v>2.0003284749916528E-3</v>
      </c>
      <c r="F221" s="30">
        <v>44131</v>
      </c>
      <c r="G221" s="32">
        <v>5.8460000000000001</v>
      </c>
      <c r="H221" s="21">
        <f t="shared" si="9"/>
        <v>2.056907781967876E-3</v>
      </c>
    </row>
    <row r="222" spans="2:8" x14ac:dyDescent="0.25">
      <c r="B222" s="30">
        <v>44125</v>
      </c>
      <c r="C222" s="31">
        <v>11937.65</v>
      </c>
      <c r="D222" s="21">
        <f t="shared" si="8"/>
        <v>3.4336964561898498E-3</v>
      </c>
      <c r="F222" s="30">
        <v>44132</v>
      </c>
      <c r="G222" s="32">
        <v>5.859</v>
      </c>
      <c r="H222" s="21">
        <f t="shared" si="9"/>
        <v>2.2237427300717538E-3</v>
      </c>
    </row>
    <row r="223" spans="2:8" x14ac:dyDescent="0.25">
      <c r="B223" s="30">
        <v>44126</v>
      </c>
      <c r="C223" s="31">
        <v>11896.45</v>
      </c>
      <c r="D223" s="21">
        <f t="shared" si="8"/>
        <v>-3.4512655338361231E-3</v>
      </c>
      <c r="F223" s="30">
        <v>44133</v>
      </c>
      <c r="G223" s="32">
        <v>5.8810000000000002</v>
      </c>
      <c r="H223" s="21">
        <f t="shared" si="9"/>
        <v>3.7549069807134572E-3</v>
      </c>
    </row>
    <row r="224" spans="2:8" x14ac:dyDescent="0.25">
      <c r="B224" s="30">
        <v>44127</v>
      </c>
      <c r="C224" s="31">
        <v>11930.35</v>
      </c>
      <c r="D224" s="21">
        <f t="shared" si="8"/>
        <v>2.8495895834470542E-3</v>
      </c>
      <c r="F224" s="30">
        <v>44137</v>
      </c>
      <c r="G224" s="32">
        <v>5.89</v>
      </c>
      <c r="H224" s="21">
        <f t="shared" si="9"/>
        <v>1.5303519809555244E-3</v>
      </c>
    </row>
    <row r="225" spans="2:8" x14ac:dyDescent="0.25">
      <c r="B225" s="30">
        <v>44130</v>
      </c>
      <c r="C225" s="31">
        <v>11767.75</v>
      </c>
      <c r="D225" s="21">
        <f t="shared" si="8"/>
        <v>-1.362910560042252E-2</v>
      </c>
      <c r="F225" s="30">
        <v>44138</v>
      </c>
      <c r="G225" s="32">
        <v>5.8979999999999997</v>
      </c>
      <c r="H225" s="21">
        <f t="shared" si="9"/>
        <v>1.3582342954159277E-3</v>
      </c>
    </row>
    <row r="226" spans="2:8" x14ac:dyDescent="0.25">
      <c r="B226" s="30">
        <v>44131</v>
      </c>
      <c r="C226" s="31">
        <v>11889.4</v>
      </c>
      <c r="D226" s="21">
        <f t="shared" si="8"/>
        <v>1.0337575152429279E-2</v>
      </c>
      <c r="F226" s="30">
        <v>44139</v>
      </c>
      <c r="G226" s="32">
        <v>5.8860000000000001</v>
      </c>
      <c r="H226" s="21">
        <f t="shared" si="9"/>
        <v>-2.0345879959307034E-3</v>
      </c>
    </row>
    <row r="227" spans="2:8" x14ac:dyDescent="0.25">
      <c r="B227" s="30">
        <v>44132</v>
      </c>
      <c r="C227" s="31">
        <v>11729.6</v>
      </c>
      <c r="D227" s="21">
        <f t="shared" si="8"/>
        <v>-1.3440543677561423E-2</v>
      </c>
      <c r="F227" s="30">
        <v>44140</v>
      </c>
      <c r="G227" s="32">
        <v>5.86</v>
      </c>
      <c r="H227" s="21">
        <f t="shared" si="9"/>
        <v>-4.4172612979952453E-3</v>
      </c>
    </row>
    <row r="228" spans="2:8" x14ac:dyDescent="0.25">
      <c r="B228" s="30">
        <v>44133</v>
      </c>
      <c r="C228" s="31">
        <v>11670.8</v>
      </c>
      <c r="D228" s="21">
        <f t="shared" si="8"/>
        <v>-5.0129586686673555E-3</v>
      </c>
      <c r="F228" s="30">
        <v>44141</v>
      </c>
      <c r="G228" s="32">
        <v>5.8710000000000004</v>
      </c>
      <c r="H228" s="21">
        <f t="shared" si="9"/>
        <v>1.8771331058020646E-3</v>
      </c>
    </row>
    <row r="229" spans="2:8" x14ac:dyDescent="0.25">
      <c r="B229" s="30">
        <v>44134</v>
      </c>
      <c r="C229" s="31">
        <v>11642.4</v>
      </c>
      <c r="D229" s="21">
        <f t="shared" si="8"/>
        <v>-2.4334235870719922E-3</v>
      </c>
      <c r="F229" s="30">
        <v>44144</v>
      </c>
      <c r="G229" s="32">
        <v>5.8760000000000003</v>
      </c>
      <c r="H229" s="21">
        <f t="shared" si="9"/>
        <v>8.5164367228740545E-4</v>
      </c>
    </row>
    <row r="230" spans="2:8" x14ac:dyDescent="0.25">
      <c r="B230" s="30">
        <v>44137</v>
      </c>
      <c r="C230" s="31">
        <v>11669.15</v>
      </c>
      <c r="D230" s="21">
        <f t="shared" si="8"/>
        <v>2.297636226207711E-3</v>
      </c>
      <c r="F230" s="30">
        <v>44145</v>
      </c>
      <c r="G230" s="32">
        <v>5.9160000000000004</v>
      </c>
      <c r="H230" s="21">
        <f t="shared" si="9"/>
        <v>6.8073519400952964E-3</v>
      </c>
    </row>
    <row r="231" spans="2:8" x14ac:dyDescent="0.25">
      <c r="B231" s="30">
        <v>44138</v>
      </c>
      <c r="C231" s="31">
        <v>11813.5</v>
      </c>
      <c r="D231" s="21">
        <f t="shared" si="8"/>
        <v>1.237022405230892E-2</v>
      </c>
      <c r="F231" s="30">
        <v>44146</v>
      </c>
      <c r="G231" s="32">
        <v>5.9029999999999996</v>
      </c>
      <c r="H231" s="21">
        <f t="shared" si="9"/>
        <v>-2.1974306964166468E-3</v>
      </c>
    </row>
    <row r="232" spans="2:8" x14ac:dyDescent="0.25">
      <c r="B232" s="30">
        <v>44139</v>
      </c>
      <c r="C232" s="31">
        <v>11908.5</v>
      </c>
      <c r="D232" s="21">
        <f t="shared" si="8"/>
        <v>8.0416472679560869E-3</v>
      </c>
      <c r="F232" s="30">
        <v>44147</v>
      </c>
      <c r="G232" s="32">
        <v>5.9029999999999996</v>
      </c>
      <c r="H232" s="21">
        <f t="shared" si="9"/>
        <v>0</v>
      </c>
    </row>
    <row r="233" spans="2:8" x14ac:dyDescent="0.25">
      <c r="B233" s="30">
        <v>44140</v>
      </c>
      <c r="C233" s="31">
        <v>12120.3</v>
      </c>
      <c r="D233" s="21">
        <f t="shared" si="8"/>
        <v>1.7785615316790571E-2</v>
      </c>
      <c r="F233" s="30">
        <v>44148</v>
      </c>
      <c r="G233" s="32">
        <v>5.8780000000000001</v>
      </c>
      <c r="H233" s="21">
        <f t="shared" si="9"/>
        <v>-4.2351346772826481E-3</v>
      </c>
    </row>
    <row r="234" spans="2:8" x14ac:dyDescent="0.25">
      <c r="B234" s="30">
        <v>44141</v>
      </c>
      <c r="C234" s="31">
        <v>12263.55</v>
      </c>
      <c r="D234" s="21">
        <f t="shared" si="8"/>
        <v>1.1819014380832105E-2</v>
      </c>
      <c r="F234" s="30">
        <v>44152</v>
      </c>
      <c r="G234" s="32">
        <v>5.8769999999999998</v>
      </c>
      <c r="H234" s="21">
        <f t="shared" si="9"/>
        <v>-1.7012589316101057E-4</v>
      </c>
    </row>
    <row r="235" spans="2:8" x14ac:dyDescent="0.25">
      <c r="B235" s="30">
        <v>44144</v>
      </c>
      <c r="C235" s="31">
        <v>12461.05</v>
      </c>
      <c r="D235" s="21">
        <f t="shared" si="8"/>
        <v>1.6104635280974833E-2</v>
      </c>
      <c r="F235" s="30">
        <v>44153</v>
      </c>
      <c r="G235" s="32">
        <v>5.8780000000000001</v>
      </c>
      <c r="H235" s="21">
        <f t="shared" si="9"/>
        <v>1.7015484090521227E-4</v>
      </c>
    </row>
    <row r="236" spans="2:8" x14ac:dyDescent="0.25">
      <c r="B236" s="30">
        <v>44145</v>
      </c>
      <c r="C236" s="31">
        <v>12631.1</v>
      </c>
      <c r="D236" s="21">
        <f t="shared" si="8"/>
        <v>1.3646522564310537E-2</v>
      </c>
      <c r="F236" s="30">
        <v>44154</v>
      </c>
      <c r="G236" s="32">
        <v>5.8760000000000003</v>
      </c>
      <c r="H236" s="21">
        <f t="shared" si="9"/>
        <v>-3.4025178632179909E-4</v>
      </c>
    </row>
    <row r="237" spans="2:8" x14ac:dyDescent="0.25">
      <c r="B237" s="30">
        <v>44146</v>
      </c>
      <c r="C237" s="31">
        <v>12749.15</v>
      </c>
      <c r="D237" s="21">
        <f t="shared" si="8"/>
        <v>9.3459793683843273E-3</v>
      </c>
      <c r="F237" s="30">
        <v>44155</v>
      </c>
      <c r="G237" s="32">
        <v>5.8769999999999998</v>
      </c>
      <c r="H237" s="21">
        <f t="shared" si="9"/>
        <v>1.7018379850219922E-4</v>
      </c>
    </row>
    <row r="238" spans="2:8" x14ac:dyDescent="0.25">
      <c r="B238" s="30">
        <v>44147</v>
      </c>
      <c r="C238" s="31">
        <v>12690.8</v>
      </c>
      <c r="D238" s="21">
        <f t="shared" si="8"/>
        <v>-4.5767757066157433E-3</v>
      </c>
      <c r="F238" s="30">
        <v>44158</v>
      </c>
      <c r="G238" s="32">
        <v>5.9</v>
      </c>
      <c r="H238" s="21">
        <f t="shared" si="9"/>
        <v>3.9135613408203263E-3</v>
      </c>
    </row>
    <row r="239" spans="2:8" x14ac:dyDescent="0.25">
      <c r="B239" s="30">
        <v>44148</v>
      </c>
      <c r="C239" s="31">
        <v>12719.95</v>
      </c>
      <c r="D239" s="21">
        <f t="shared" si="8"/>
        <v>2.2969395152394601E-3</v>
      </c>
      <c r="F239" s="30">
        <v>44159</v>
      </c>
      <c r="G239" s="32">
        <v>5.88</v>
      </c>
      <c r="H239" s="21">
        <f t="shared" si="9"/>
        <v>-3.3898305084746339E-3</v>
      </c>
    </row>
    <row r="240" spans="2:8" x14ac:dyDescent="0.25">
      <c r="B240" s="30">
        <v>44149</v>
      </c>
      <c r="C240" s="31">
        <v>12780.25</v>
      </c>
      <c r="D240" s="21">
        <f t="shared" si="8"/>
        <v>4.7405846721095823E-3</v>
      </c>
      <c r="F240" s="30">
        <v>44160</v>
      </c>
      <c r="G240" s="32">
        <v>5.8849999999999998</v>
      </c>
      <c r="H240" s="21">
        <f t="shared" si="9"/>
        <v>8.5034013605445047E-4</v>
      </c>
    </row>
    <row r="241" spans="2:8" x14ac:dyDescent="0.25">
      <c r="B241" s="30">
        <v>44152</v>
      </c>
      <c r="C241" s="31">
        <v>12874.2</v>
      </c>
      <c r="D241" s="21">
        <f t="shared" si="8"/>
        <v>7.3511864008921624E-3</v>
      </c>
      <c r="F241" s="30">
        <v>44161</v>
      </c>
      <c r="G241" s="32">
        <v>5.8719999999999999</v>
      </c>
      <c r="H241" s="21">
        <f t="shared" si="9"/>
        <v>-2.2090059473236501E-3</v>
      </c>
    </row>
    <row r="242" spans="2:8" x14ac:dyDescent="0.25">
      <c r="B242" s="30">
        <v>44153</v>
      </c>
      <c r="C242" s="31">
        <v>12938.25</v>
      </c>
      <c r="D242" s="21">
        <f t="shared" si="8"/>
        <v>4.9750664118934917E-3</v>
      </c>
      <c r="F242" s="30">
        <v>44162</v>
      </c>
      <c r="G242" s="32">
        <v>5.9109999999999996</v>
      </c>
      <c r="H242" s="21">
        <f t="shared" si="9"/>
        <v>6.6416893732970106E-3</v>
      </c>
    </row>
    <row r="243" spans="2:8" x14ac:dyDescent="0.25">
      <c r="B243" s="30">
        <v>44154</v>
      </c>
      <c r="C243" s="31">
        <v>12771.7</v>
      </c>
      <c r="D243" s="21">
        <f t="shared" si="8"/>
        <v>-1.2872683709156951E-2</v>
      </c>
      <c r="F243" s="30">
        <v>44166</v>
      </c>
      <c r="G243" s="32">
        <v>5.93</v>
      </c>
      <c r="H243" s="21">
        <f t="shared" si="9"/>
        <v>3.2143461343259183E-3</v>
      </c>
    </row>
    <row r="244" spans="2:8" x14ac:dyDescent="0.25">
      <c r="B244" s="30">
        <v>44155</v>
      </c>
      <c r="C244" s="31">
        <v>12859.05</v>
      </c>
      <c r="D244" s="21">
        <f t="shared" si="8"/>
        <v>6.8393401035100609E-3</v>
      </c>
      <c r="F244" s="30">
        <v>44167</v>
      </c>
      <c r="G244" s="32">
        <v>5.92</v>
      </c>
      <c r="H244" s="21">
        <f t="shared" si="9"/>
        <v>-1.6863406408094139E-3</v>
      </c>
    </row>
    <row r="245" spans="2:8" x14ac:dyDescent="0.25">
      <c r="B245" s="30">
        <v>44158</v>
      </c>
      <c r="C245" s="31">
        <v>12926.45</v>
      </c>
      <c r="D245" s="21">
        <f t="shared" si="8"/>
        <v>5.2414447412523213E-3</v>
      </c>
      <c r="F245" s="30">
        <v>44168</v>
      </c>
      <c r="G245" s="32">
        <v>5.9320000000000004</v>
      </c>
      <c r="H245" s="21">
        <f t="shared" si="9"/>
        <v>2.0270270270270618E-3</v>
      </c>
    </row>
    <row r="246" spans="2:8" x14ac:dyDescent="0.25">
      <c r="B246" s="30">
        <v>44159</v>
      </c>
      <c r="C246" s="31">
        <v>13055.15</v>
      </c>
      <c r="D246" s="21">
        <f t="shared" si="8"/>
        <v>9.956329850809631E-3</v>
      </c>
      <c r="F246" s="30">
        <v>44169</v>
      </c>
      <c r="G246" s="32">
        <v>5.8970000000000002</v>
      </c>
      <c r="H246" s="21">
        <f t="shared" si="9"/>
        <v>-5.9002022926500919E-3</v>
      </c>
    </row>
    <row r="247" spans="2:8" x14ac:dyDescent="0.25">
      <c r="B247" s="30">
        <v>44160</v>
      </c>
      <c r="C247" s="31">
        <v>12858.4</v>
      </c>
      <c r="D247" s="21">
        <f t="shared" si="8"/>
        <v>-1.5070680919024304E-2</v>
      </c>
      <c r="F247" s="30">
        <v>44172</v>
      </c>
      <c r="G247" s="32">
        <v>5.9240000000000004</v>
      </c>
      <c r="H247" s="21">
        <f t="shared" si="9"/>
        <v>4.5785992877733772E-3</v>
      </c>
    </row>
    <row r="248" spans="2:8" x14ac:dyDescent="0.25">
      <c r="B248" s="30">
        <v>44161</v>
      </c>
      <c r="C248" s="31">
        <v>12987</v>
      </c>
      <c r="D248" s="21">
        <f t="shared" si="8"/>
        <v>1.000124432277727E-2</v>
      </c>
      <c r="F248" s="30">
        <v>44173</v>
      </c>
      <c r="G248" s="32">
        <v>5.9390000000000001</v>
      </c>
      <c r="H248" s="21">
        <f t="shared" si="9"/>
        <v>2.5320729237001682E-3</v>
      </c>
    </row>
    <row r="249" spans="2:8" x14ac:dyDescent="0.25">
      <c r="B249" s="30">
        <v>44162</v>
      </c>
      <c r="C249" s="31">
        <v>12968.95</v>
      </c>
      <c r="D249" s="21">
        <f t="shared" si="8"/>
        <v>-1.3898513898513709E-3</v>
      </c>
      <c r="F249" s="30">
        <v>44174</v>
      </c>
      <c r="G249" s="32">
        <v>5.9169999999999998</v>
      </c>
      <c r="H249" s="21">
        <f t="shared" si="9"/>
        <v>-3.7043273278329902E-3</v>
      </c>
    </row>
    <row r="250" spans="2:8" x14ac:dyDescent="0.25">
      <c r="B250" s="30">
        <v>44166</v>
      </c>
      <c r="C250" s="31">
        <v>13109.05</v>
      </c>
      <c r="D250" s="21">
        <f t="shared" si="8"/>
        <v>1.0802724970024435E-2</v>
      </c>
      <c r="F250" s="30">
        <v>44175</v>
      </c>
      <c r="G250" s="32">
        <v>5.9160000000000004</v>
      </c>
      <c r="H250" s="21">
        <f t="shared" si="9"/>
        <v>-1.6900456312307632E-4</v>
      </c>
    </row>
    <row r="251" spans="2:8" x14ac:dyDescent="0.25">
      <c r="B251" s="30">
        <v>44167</v>
      </c>
      <c r="C251" s="31">
        <v>13113.75</v>
      </c>
      <c r="D251" s="21">
        <f t="shared" si="8"/>
        <v>3.5853093855009455E-4</v>
      </c>
      <c r="F251" s="30">
        <v>44176</v>
      </c>
      <c r="G251" s="32">
        <v>5.9560000000000004</v>
      </c>
      <c r="H251" s="21">
        <f t="shared" si="9"/>
        <v>6.7613252197431528E-3</v>
      </c>
    </row>
    <row r="252" spans="2:8" x14ac:dyDescent="0.25">
      <c r="B252" s="30">
        <v>44168</v>
      </c>
      <c r="C252" s="31">
        <v>13133.9</v>
      </c>
      <c r="D252" s="21">
        <f t="shared" si="8"/>
        <v>1.5365551425030599E-3</v>
      </c>
      <c r="F252" s="30">
        <v>44179</v>
      </c>
      <c r="G252" s="32">
        <v>5.9459999999999997</v>
      </c>
      <c r="H252" s="21">
        <f t="shared" si="9"/>
        <v>-1.678979180658291E-3</v>
      </c>
    </row>
    <row r="253" spans="2:8" x14ac:dyDescent="0.25">
      <c r="B253" s="30">
        <v>44169</v>
      </c>
      <c r="C253" s="31">
        <v>13258.55</v>
      </c>
      <c r="D253" s="21">
        <f t="shared" si="8"/>
        <v>9.4907072537480097E-3</v>
      </c>
      <c r="F253" s="30">
        <v>44180</v>
      </c>
      <c r="G253" s="32">
        <v>5.9409999999999998</v>
      </c>
      <c r="H253" s="21">
        <f t="shared" si="9"/>
        <v>-8.4090144635051711E-4</v>
      </c>
    </row>
    <row r="254" spans="2:8" x14ac:dyDescent="0.25">
      <c r="B254" s="30">
        <v>44172</v>
      </c>
      <c r="C254" s="31">
        <v>13355.75</v>
      </c>
      <c r="D254" s="21">
        <f t="shared" si="8"/>
        <v>7.331118410384363E-3</v>
      </c>
      <c r="F254" s="30">
        <v>44181</v>
      </c>
      <c r="G254" s="32">
        <v>5.944</v>
      </c>
      <c r="H254" s="21">
        <f t="shared" si="9"/>
        <v>5.0496549402456736E-4</v>
      </c>
    </row>
    <row r="255" spans="2:8" x14ac:dyDescent="0.25">
      <c r="B255" s="30">
        <v>44173</v>
      </c>
      <c r="C255" s="31">
        <v>13392.95</v>
      </c>
      <c r="D255" s="21">
        <f t="shared" si="8"/>
        <v>2.785317185481917E-3</v>
      </c>
      <c r="F255" s="30">
        <v>44182</v>
      </c>
      <c r="G255" s="32">
        <v>5.952</v>
      </c>
      <c r="H255" s="21">
        <f t="shared" si="9"/>
        <v>1.3458950201883368E-3</v>
      </c>
    </row>
    <row r="256" spans="2:8" x14ac:dyDescent="0.25">
      <c r="B256" s="30">
        <v>44174</v>
      </c>
      <c r="C256" s="31">
        <v>13529.1</v>
      </c>
      <c r="D256" s="21">
        <f t="shared" si="8"/>
        <v>1.0165796183813081E-2</v>
      </c>
      <c r="F256" s="30">
        <v>44183</v>
      </c>
      <c r="G256" s="32">
        <v>5.9589999999999996</v>
      </c>
      <c r="H256" s="21">
        <f t="shared" si="9"/>
        <v>1.1760752688172449E-3</v>
      </c>
    </row>
    <row r="257" spans="2:8" x14ac:dyDescent="0.25">
      <c r="B257" s="30">
        <v>44175</v>
      </c>
      <c r="C257" s="31">
        <v>13478.3</v>
      </c>
      <c r="D257" s="21">
        <f t="shared" si="8"/>
        <v>-3.7548691339409634E-3</v>
      </c>
      <c r="F257" s="30">
        <v>44186</v>
      </c>
      <c r="G257" s="32">
        <v>5.9569999999999999</v>
      </c>
      <c r="H257" s="21">
        <f t="shared" si="9"/>
        <v>-3.3562678301723992E-4</v>
      </c>
    </row>
    <row r="258" spans="2:8" x14ac:dyDescent="0.25">
      <c r="B258" s="30">
        <v>44176</v>
      </c>
      <c r="C258" s="31">
        <v>13513.85</v>
      </c>
      <c r="D258" s="21">
        <f t="shared" si="8"/>
        <v>2.6375729876915166E-3</v>
      </c>
      <c r="F258" s="30">
        <v>44187</v>
      </c>
      <c r="G258" s="32">
        <v>5.9509999999999996</v>
      </c>
      <c r="H258" s="21">
        <f t="shared" si="9"/>
        <v>-1.0072183985228023E-3</v>
      </c>
    </row>
    <row r="259" spans="2:8" x14ac:dyDescent="0.25">
      <c r="B259" s="30">
        <v>44179</v>
      </c>
      <c r="C259" s="31">
        <v>13558.15</v>
      </c>
      <c r="D259" s="21">
        <f t="shared" si="8"/>
        <v>3.2781183748524789E-3</v>
      </c>
      <c r="F259" s="30">
        <v>44188</v>
      </c>
      <c r="G259" s="32">
        <v>5.95</v>
      </c>
      <c r="H259" s="21">
        <f t="shared" si="9"/>
        <v>-1.680389850444719E-4</v>
      </c>
    </row>
    <row r="260" spans="2:8" x14ac:dyDescent="0.25">
      <c r="B260" s="30">
        <v>44180</v>
      </c>
      <c r="C260" s="31">
        <v>13567.85</v>
      </c>
      <c r="D260" s="21">
        <f t="shared" si="8"/>
        <v>7.1543684057195911E-4</v>
      </c>
      <c r="F260" s="30">
        <v>44189</v>
      </c>
      <c r="G260" s="32">
        <v>5.9290000000000003</v>
      </c>
      <c r="H260" s="21">
        <f t="shared" si="9"/>
        <v>-3.529411764705892E-3</v>
      </c>
    </row>
    <row r="261" spans="2:8" x14ac:dyDescent="0.25">
      <c r="B261" s="30">
        <v>44181</v>
      </c>
      <c r="C261" s="31">
        <v>13682.7</v>
      </c>
      <c r="D261" s="21">
        <f t="shared" si="8"/>
        <v>8.4648636298307878E-3</v>
      </c>
      <c r="F261" s="30">
        <v>44193</v>
      </c>
      <c r="G261" s="32">
        <v>5.9249999999999998</v>
      </c>
      <c r="H261" s="21">
        <f t="shared" si="9"/>
        <v>-6.7465002529942808E-4</v>
      </c>
    </row>
    <row r="262" spans="2:8" x14ac:dyDescent="0.25">
      <c r="B262" s="30">
        <v>44182</v>
      </c>
      <c r="C262" s="31">
        <v>13740.7</v>
      </c>
      <c r="D262" s="21">
        <f t="shared" si="8"/>
        <v>4.2389294510585263E-3</v>
      </c>
      <c r="F262" s="30">
        <v>44194</v>
      </c>
      <c r="G262" s="32">
        <v>5.9269999999999996</v>
      </c>
      <c r="H262" s="21">
        <f t="shared" si="9"/>
        <v>3.3755274261593193E-4</v>
      </c>
    </row>
    <row r="263" spans="2:8" x14ac:dyDescent="0.25">
      <c r="B263" s="30">
        <v>44183</v>
      </c>
      <c r="C263" s="31">
        <v>13760.55</v>
      </c>
      <c r="D263" s="21">
        <f t="shared" si="8"/>
        <v>1.4446134476409078E-3</v>
      </c>
      <c r="F263" s="30">
        <v>44195</v>
      </c>
      <c r="G263" s="32">
        <v>5.899</v>
      </c>
      <c r="H263" s="21">
        <f t="shared" si="9"/>
        <v>-4.7241437489454752E-3</v>
      </c>
    </row>
    <row r="264" spans="2:8" x14ac:dyDescent="0.25">
      <c r="B264" s="30">
        <v>44186</v>
      </c>
      <c r="C264" s="31">
        <v>13328.4</v>
      </c>
      <c r="D264" s="21">
        <f t="shared" si="8"/>
        <v>-3.1404994713147394E-2</v>
      </c>
      <c r="F264" s="30">
        <v>44196</v>
      </c>
      <c r="G264" s="32">
        <v>5.8940000000000001</v>
      </c>
      <c r="H264" s="21">
        <f t="shared" si="9"/>
        <v>-8.4760128835392745E-4</v>
      </c>
    </row>
    <row r="265" spans="2:8" x14ac:dyDescent="0.25">
      <c r="B265" s="30">
        <v>44187</v>
      </c>
      <c r="C265" s="31">
        <v>13466.3</v>
      </c>
      <c r="D265" s="21">
        <f t="shared" si="8"/>
        <v>1.0346328141412231E-2</v>
      </c>
      <c r="F265" s="30"/>
      <c r="G265" s="32"/>
      <c r="H265" s="21"/>
    </row>
    <row r="266" spans="2:8" x14ac:dyDescent="0.25">
      <c r="B266" s="30">
        <v>44188</v>
      </c>
      <c r="C266" s="31">
        <v>13601.1</v>
      </c>
      <c r="D266" s="21">
        <f t="shared" si="8"/>
        <v>1.0010173544329204E-2</v>
      </c>
      <c r="F266" s="30">
        <v>44197</v>
      </c>
      <c r="G266" s="32">
        <v>5.8979999999999997</v>
      </c>
      <c r="H266" s="21">
        <f>G266/G264-1</f>
        <v>6.7865626060403805E-4</v>
      </c>
    </row>
    <row r="267" spans="2:8" x14ac:dyDescent="0.25">
      <c r="B267" s="30">
        <v>44189</v>
      </c>
      <c r="C267" s="31">
        <v>13749.25</v>
      </c>
      <c r="D267" s="21">
        <f t="shared" si="8"/>
        <v>1.0892501341803307E-2</v>
      </c>
      <c r="F267" s="30">
        <v>44200</v>
      </c>
      <c r="G267" s="32">
        <v>5.8579999999999997</v>
      </c>
      <c r="H267" s="21">
        <f t="shared" si="9"/>
        <v>-6.781959986436048E-3</v>
      </c>
    </row>
    <row r="268" spans="2:8" x14ac:dyDescent="0.25">
      <c r="B268" s="30">
        <v>44193</v>
      </c>
      <c r="C268" s="31">
        <v>13873.2</v>
      </c>
      <c r="D268" s="21">
        <f t="shared" si="8"/>
        <v>9.0150371838464416E-3</v>
      </c>
      <c r="F268" s="30">
        <v>44201</v>
      </c>
      <c r="G268" s="32">
        <v>5.85</v>
      </c>
      <c r="H268" s="21">
        <f t="shared" si="9"/>
        <v>-1.3656538067600144E-3</v>
      </c>
    </row>
    <row r="269" spans="2:8" x14ac:dyDescent="0.25">
      <c r="B269" s="30">
        <v>44194</v>
      </c>
      <c r="C269" s="31">
        <v>13932.6</v>
      </c>
      <c r="D269" s="21">
        <f t="shared" si="8"/>
        <v>4.2816365366318276E-3</v>
      </c>
      <c r="F269" s="30">
        <v>44202</v>
      </c>
      <c r="G269" s="32">
        <v>5.8940000000000001</v>
      </c>
      <c r="H269" s="21">
        <f t="shared" si="9"/>
        <v>7.5213675213676723E-3</v>
      </c>
    </row>
    <row r="270" spans="2:8" x14ac:dyDescent="0.25">
      <c r="B270" s="30">
        <v>44195</v>
      </c>
      <c r="C270" s="31">
        <v>13981.95</v>
      </c>
      <c r="D270" s="21">
        <f t="shared" si="8"/>
        <v>3.5420524525213715E-3</v>
      </c>
      <c r="F270" s="30">
        <v>44203</v>
      </c>
      <c r="G270" s="32">
        <v>5.8920000000000003</v>
      </c>
      <c r="H270" s="21">
        <f t="shared" si="9"/>
        <v>-3.3932813030201903E-4</v>
      </c>
    </row>
    <row r="271" spans="2:8" x14ac:dyDescent="0.25">
      <c r="B271" s="30">
        <v>44196</v>
      </c>
      <c r="C271" s="31">
        <v>13981.75</v>
      </c>
      <c r="D271" s="21">
        <f t="shared" si="8"/>
        <v>-1.430415643033367E-5</v>
      </c>
      <c r="F271" s="30">
        <v>44204</v>
      </c>
      <c r="G271" s="32">
        <v>5.8920000000000003</v>
      </c>
      <c r="H271" s="21">
        <f t="shared" si="9"/>
        <v>0</v>
      </c>
    </row>
    <row r="272" spans="2:8" x14ac:dyDescent="0.25">
      <c r="B272" s="30"/>
      <c r="C272" s="31"/>
      <c r="D272" s="21"/>
      <c r="F272" s="30">
        <v>44207</v>
      </c>
      <c r="G272" s="32">
        <v>5.9240000000000004</v>
      </c>
      <c r="H272" s="21">
        <f t="shared" si="9"/>
        <v>5.4310930074676911E-3</v>
      </c>
    </row>
    <row r="273" spans="2:8" x14ac:dyDescent="0.25">
      <c r="B273" s="30">
        <v>44197</v>
      </c>
      <c r="C273" s="31">
        <v>14018.5</v>
      </c>
      <c r="D273" s="21">
        <f>C273/C271-1</f>
        <v>2.6284263414808606E-3</v>
      </c>
      <c r="F273" s="30">
        <v>44208</v>
      </c>
      <c r="G273" s="32">
        <v>5.931</v>
      </c>
      <c r="H273" s="21">
        <f t="shared" si="9"/>
        <v>1.1816340310599749E-3</v>
      </c>
    </row>
    <row r="274" spans="2:8" x14ac:dyDescent="0.25">
      <c r="B274" s="30">
        <v>44200</v>
      </c>
      <c r="C274" s="31">
        <v>14132.9</v>
      </c>
      <c r="D274" s="21">
        <f t="shared" si="8"/>
        <v>8.1606448621465155E-3</v>
      </c>
      <c r="F274" s="30">
        <v>44209</v>
      </c>
      <c r="G274" s="32">
        <v>5.9470000000000001</v>
      </c>
      <c r="H274" s="21">
        <f t="shared" si="9"/>
        <v>2.6976901028494815E-3</v>
      </c>
    </row>
    <row r="275" spans="2:8" x14ac:dyDescent="0.25">
      <c r="B275" s="30">
        <v>44201</v>
      </c>
      <c r="C275" s="31">
        <v>14199.5</v>
      </c>
      <c r="D275" s="21">
        <f t="shared" si="8"/>
        <v>4.7124086351704175E-3</v>
      </c>
      <c r="F275" s="30">
        <v>44210</v>
      </c>
      <c r="G275" s="32">
        <v>5.9240000000000004</v>
      </c>
      <c r="H275" s="21">
        <f t="shared" si="9"/>
        <v>-3.8674962165797799E-3</v>
      </c>
    </row>
    <row r="276" spans="2:8" x14ac:dyDescent="0.25">
      <c r="B276" s="30">
        <v>44202</v>
      </c>
      <c r="C276" s="31">
        <v>14146.25</v>
      </c>
      <c r="D276" s="21">
        <f t="shared" si="8"/>
        <v>-3.7501320469031096E-3</v>
      </c>
      <c r="F276" s="30">
        <v>44211</v>
      </c>
      <c r="G276" s="32">
        <v>5.9880000000000004</v>
      </c>
      <c r="H276" s="21">
        <f t="shared" si="9"/>
        <v>1.0803511141120881E-2</v>
      </c>
    </row>
    <row r="277" spans="2:8" x14ac:dyDescent="0.25">
      <c r="B277" s="30">
        <v>44203</v>
      </c>
      <c r="C277" s="31">
        <v>14137.35</v>
      </c>
      <c r="D277" s="21">
        <f t="shared" si="8"/>
        <v>-6.2914199876284993E-4</v>
      </c>
      <c r="F277" s="30">
        <v>44214</v>
      </c>
      <c r="G277" s="32">
        <v>5.9569999999999999</v>
      </c>
      <c r="H277" s="21">
        <f t="shared" si="9"/>
        <v>-5.1770207080829023E-3</v>
      </c>
    </row>
    <row r="278" spans="2:8" x14ac:dyDescent="0.25">
      <c r="B278" s="30">
        <v>44204</v>
      </c>
      <c r="C278" s="31">
        <v>14347.25</v>
      </c>
      <c r="D278" s="21">
        <f t="shared" ref="D278:D341" si="10">C278/C277-1</f>
        <v>1.4847195549378078E-2</v>
      </c>
      <c r="F278" s="30">
        <v>44215</v>
      </c>
      <c r="G278" s="32">
        <v>5.9359999999999999</v>
      </c>
      <c r="H278" s="21">
        <f t="shared" ref="H278:H341" si="11">G278/G277-1</f>
        <v>-3.5252643948295859E-3</v>
      </c>
    </row>
    <row r="279" spans="2:8" x14ac:dyDescent="0.25">
      <c r="B279" s="30">
        <v>44207</v>
      </c>
      <c r="C279" s="31">
        <v>14484.75</v>
      </c>
      <c r="D279" s="21">
        <f t="shared" si="10"/>
        <v>9.5837181341371647E-3</v>
      </c>
      <c r="F279" s="30">
        <v>44216</v>
      </c>
      <c r="G279" s="32">
        <v>5.9420000000000002</v>
      </c>
      <c r="H279" s="21">
        <f t="shared" si="11"/>
        <v>1.0107816711590889E-3</v>
      </c>
    </row>
    <row r="280" spans="2:8" x14ac:dyDescent="0.25">
      <c r="B280" s="30">
        <v>44208</v>
      </c>
      <c r="C280" s="31">
        <v>14563.45</v>
      </c>
      <c r="D280" s="21">
        <f t="shared" si="10"/>
        <v>5.4333005402233958E-3</v>
      </c>
      <c r="F280" s="30">
        <v>44217</v>
      </c>
      <c r="G280" s="32">
        <v>5.9560000000000004</v>
      </c>
      <c r="H280" s="21">
        <f t="shared" si="11"/>
        <v>2.3561090541905916E-3</v>
      </c>
    </row>
    <row r="281" spans="2:8" x14ac:dyDescent="0.25">
      <c r="B281" s="30">
        <v>44209</v>
      </c>
      <c r="C281" s="31">
        <v>14564.85</v>
      </c>
      <c r="D281" s="21">
        <f t="shared" si="10"/>
        <v>9.6131067844451579E-5</v>
      </c>
      <c r="F281" s="30">
        <v>44218</v>
      </c>
      <c r="G281" s="32">
        <v>5.9390000000000001</v>
      </c>
      <c r="H281" s="21">
        <f t="shared" si="11"/>
        <v>-2.8542646071189059E-3</v>
      </c>
    </row>
    <row r="282" spans="2:8" x14ac:dyDescent="0.25">
      <c r="B282" s="30">
        <v>44210</v>
      </c>
      <c r="C282" s="31">
        <v>14595.6</v>
      </c>
      <c r="D282" s="21">
        <f t="shared" si="10"/>
        <v>2.1112472837001572E-3</v>
      </c>
      <c r="F282" s="30">
        <v>44221</v>
      </c>
      <c r="G282" s="32">
        <v>5.9539999999999997</v>
      </c>
      <c r="H282" s="21">
        <f t="shared" si="11"/>
        <v>2.5256777235225236E-3</v>
      </c>
    </row>
    <row r="283" spans="2:8" x14ac:dyDescent="0.25">
      <c r="B283" s="30">
        <v>44211</v>
      </c>
      <c r="C283" s="31">
        <v>14433.7</v>
      </c>
      <c r="D283" s="21">
        <f t="shared" si="10"/>
        <v>-1.1092384006138767E-2</v>
      </c>
      <c r="F283" s="30">
        <v>44223</v>
      </c>
      <c r="G283" s="32">
        <v>5.9539999999999997</v>
      </c>
      <c r="H283" s="21">
        <f t="shared" si="11"/>
        <v>0</v>
      </c>
    </row>
    <row r="284" spans="2:8" x14ac:dyDescent="0.25">
      <c r="B284" s="30">
        <v>44214</v>
      </c>
      <c r="C284" s="31">
        <v>14281.3</v>
      </c>
      <c r="D284" s="21">
        <f t="shared" si="10"/>
        <v>-1.0558623222042929E-2</v>
      </c>
      <c r="F284" s="30">
        <v>44224</v>
      </c>
      <c r="G284" s="32">
        <v>5.9329999999999998</v>
      </c>
      <c r="H284" s="21">
        <f t="shared" si="11"/>
        <v>-3.527040644944579E-3</v>
      </c>
    </row>
    <row r="285" spans="2:8" x14ac:dyDescent="0.25">
      <c r="B285" s="30">
        <v>44215</v>
      </c>
      <c r="C285" s="31">
        <v>14521.15</v>
      </c>
      <c r="D285" s="21">
        <f t="shared" si="10"/>
        <v>1.6794689559073817E-2</v>
      </c>
      <c r="F285" s="30">
        <v>44225</v>
      </c>
      <c r="G285" s="32">
        <v>5.9489999999999998</v>
      </c>
      <c r="H285" s="21">
        <f t="shared" si="11"/>
        <v>2.6967807180178216E-3</v>
      </c>
    </row>
    <row r="286" spans="2:8" x14ac:dyDescent="0.25">
      <c r="B286" s="30">
        <v>44216</v>
      </c>
      <c r="C286" s="31">
        <v>14644.7</v>
      </c>
      <c r="D286" s="21">
        <f t="shared" si="10"/>
        <v>8.508279302947841E-3</v>
      </c>
      <c r="F286" s="30">
        <v>44228</v>
      </c>
      <c r="G286" s="32">
        <v>6.06</v>
      </c>
      <c r="H286" s="21">
        <f t="shared" si="11"/>
        <v>1.8658598083711508E-2</v>
      </c>
    </row>
    <row r="287" spans="2:8" x14ac:dyDescent="0.25">
      <c r="B287" s="30">
        <v>44217</v>
      </c>
      <c r="C287" s="31">
        <v>14590.35</v>
      </c>
      <c r="D287" s="21">
        <f t="shared" si="10"/>
        <v>-3.711240243910785E-3</v>
      </c>
      <c r="F287" s="30">
        <v>44229</v>
      </c>
      <c r="G287" s="32">
        <v>6.1269999999999998</v>
      </c>
      <c r="H287" s="21">
        <f t="shared" si="11"/>
        <v>1.105610561056114E-2</v>
      </c>
    </row>
    <row r="288" spans="2:8" x14ac:dyDescent="0.25">
      <c r="B288" s="30">
        <v>44218</v>
      </c>
      <c r="C288" s="31">
        <v>14371.9</v>
      </c>
      <c r="D288" s="21">
        <f t="shared" si="10"/>
        <v>-1.4972224792414224E-2</v>
      </c>
      <c r="F288" s="30">
        <v>44230</v>
      </c>
      <c r="G288" s="32">
        <v>6.0839999999999996</v>
      </c>
      <c r="H288" s="21">
        <f t="shared" si="11"/>
        <v>-7.0181165333769169E-3</v>
      </c>
    </row>
    <row r="289" spans="2:8" x14ac:dyDescent="0.25">
      <c r="B289" s="30">
        <v>44221</v>
      </c>
      <c r="C289" s="31">
        <v>14238.9</v>
      </c>
      <c r="D289" s="21">
        <f t="shared" si="10"/>
        <v>-9.2541695948343827E-3</v>
      </c>
      <c r="F289" s="30">
        <v>44231</v>
      </c>
      <c r="G289" s="32">
        <v>6.0739999999999998</v>
      </c>
      <c r="H289" s="21">
        <f t="shared" si="11"/>
        <v>-1.6436554898092703E-3</v>
      </c>
    </row>
    <row r="290" spans="2:8" x14ac:dyDescent="0.25">
      <c r="B290" s="30">
        <v>44223</v>
      </c>
      <c r="C290" s="31">
        <v>13967.5</v>
      </c>
      <c r="D290" s="21">
        <f t="shared" si="10"/>
        <v>-1.9060461131126694E-2</v>
      </c>
      <c r="F290" s="30">
        <v>44232</v>
      </c>
      <c r="G290" s="32">
        <v>6.0709999999999997</v>
      </c>
      <c r="H290" s="21">
        <f t="shared" si="11"/>
        <v>-4.9390846229835361E-4</v>
      </c>
    </row>
    <row r="291" spans="2:8" x14ac:dyDescent="0.25">
      <c r="B291" s="30">
        <v>44224</v>
      </c>
      <c r="C291" s="31">
        <v>13817.55</v>
      </c>
      <c r="D291" s="21">
        <f t="shared" si="10"/>
        <v>-1.0735636298550233E-2</v>
      </c>
      <c r="F291" s="30">
        <v>44235</v>
      </c>
      <c r="G291" s="32">
        <v>6.04</v>
      </c>
      <c r="H291" s="21">
        <f t="shared" si="11"/>
        <v>-5.1062427936089394E-3</v>
      </c>
    </row>
    <row r="292" spans="2:8" x14ac:dyDescent="0.25">
      <c r="B292" s="30">
        <v>44225</v>
      </c>
      <c r="C292" s="31">
        <v>13634.6</v>
      </c>
      <c r="D292" s="21">
        <f t="shared" si="10"/>
        <v>-1.3240408031814588E-2</v>
      </c>
      <c r="F292" s="30">
        <v>44236</v>
      </c>
      <c r="G292" s="32">
        <v>6.0739999999999998</v>
      </c>
      <c r="H292" s="21">
        <f t="shared" si="11"/>
        <v>5.6291390728475665E-3</v>
      </c>
    </row>
    <row r="293" spans="2:8" x14ac:dyDescent="0.25">
      <c r="B293" s="30">
        <v>44228</v>
      </c>
      <c r="C293" s="31">
        <v>14281.2</v>
      </c>
      <c r="D293" s="21">
        <f t="shared" si="10"/>
        <v>4.7423466768368838E-2</v>
      </c>
      <c r="F293" s="30">
        <v>44237</v>
      </c>
      <c r="G293" s="32">
        <v>6.01</v>
      </c>
      <c r="H293" s="21">
        <f t="shared" si="11"/>
        <v>-1.0536713862364211E-2</v>
      </c>
    </row>
    <row r="294" spans="2:8" x14ac:dyDescent="0.25">
      <c r="B294" s="30">
        <v>44229</v>
      </c>
      <c r="C294" s="31">
        <v>14647.85</v>
      </c>
      <c r="D294" s="21">
        <f t="shared" si="10"/>
        <v>2.5673612861664363E-2</v>
      </c>
      <c r="F294" s="30">
        <v>44238</v>
      </c>
      <c r="G294" s="32">
        <v>5.9619999999999997</v>
      </c>
      <c r="H294" s="21">
        <f t="shared" si="11"/>
        <v>-7.9866888519134482E-3</v>
      </c>
    </row>
    <row r="295" spans="2:8" x14ac:dyDescent="0.25">
      <c r="B295" s="30">
        <v>44230</v>
      </c>
      <c r="C295" s="31">
        <v>14789.95</v>
      </c>
      <c r="D295" s="21">
        <f t="shared" si="10"/>
        <v>9.7010824114118765E-3</v>
      </c>
      <c r="F295" s="30">
        <v>44239</v>
      </c>
      <c r="G295" s="32">
        <v>5.99</v>
      </c>
      <c r="H295" s="21">
        <f t="shared" si="11"/>
        <v>4.6964106004696582E-3</v>
      </c>
    </row>
    <row r="296" spans="2:8" x14ac:dyDescent="0.25">
      <c r="B296" s="30">
        <v>44231</v>
      </c>
      <c r="C296" s="31">
        <v>14895.65</v>
      </c>
      <c r="D296" s="21">
        <f t="shared" si="10"/>
        <v>7.1467449180016018E-3</v>
      </c>
      <c r="F296" s="30">
        <v>44242</v>
      </c>
      <c r="G296" s="32">
        <v>6.0220000000000002</v>
      </c>
      <c r="H296" s="21">
        <f t="shared" si="11"/>
        <v>5.3422370617697279E-3</v>
      </c>
    </row>
    <row r="297" spans="2:8" x14ac:dyDescent="0.25">
      <c r="B297" s="30">
        <v>44232</v>
      </c>
      <c r="C297" s="31">
        <v>14924.25</v>
      </c>
      <c r="D297" s="21">
        <f t="shared" si="10"/>
        <v>1.9200236310601415E-3</v>
      </c>
      <c r="F297" s="30">
        <v>44243</v>
      </c>
      <c r="G297" s="32">
        <v>6.0220000000000002</v>
      </c>
      <c r="H297" s="21">
        <f t="shared" si="11"/>
        <v>0</v>
      </c>
    </row>
    <row r="298" spans="2:8" x14ac:dyDescent="0.25">
      <c r="B298" s="30">
        <v>44235</v>
      </c>
      <c r="C298" s="31">
        <v>15115.8</v>
      </c>
      <c r="D298" s="21">
        <f t="shared" si="10"/>
        <v>1.2834815819890322E-2</v>
      </c>
      <c r="F298" s="30">
        <v>44244</v>
      </c>
      <c r="G298" s="32">
        <v>6.03</v>
      </c>
      <c r="H298" s="21">
        <f t="shared" si="11"/>
        <v>1.3284623048821498E-3</v>
      </c>
    </row>
    <row r="299" spans="2:8" x14ac:dyDescent="0.25">
      <c r="B299" s="30">
        <v>44236</v>
      </c>
      <c r="C299" s="31">
        <v>15109.3</v>
      </c>
      <c r="D299" s="21">
        <f t="shared" si="10"/>
        <v>-4.3001362812422617E-4</v>
      </c>
      <c r="F299" s="30">
        <v>44245</v>
      </c>
      <c r="G299" s="32">
        <v>6.1319999999999997</v>
      </c>
      <c r="H299" s="21">
        <f t="shared" si="11"/>
        <v>1.6915422885572129E-2</v>
      </c>
    </row>
    <row r="300" spans="2:8" x14ac:dyDescent="0.25">
      <c r="B300" s="30">
        <v>44237</v>
      </c>
      <c r="C300" s="31">
        <v>15106.5</v>
      </c>
      <c r="D300" s="21">
        <f t="shared" si="10"/>
        <v>-1.8531632835405709E-4</v>
      </c>
      <c r="F300" s="30">
        <v>44249</v>
      </c>
      <c r="G300" s="32">
        <v>6.202</v>
      </c>
      <c r="H300" s="21">
        <f t="shared" si="11"/>
        <v>1.1415525114155223E-2</v>
      </c>
    </row>
    <row r="301" spans="2:8" x14ac:dyDescent="0.25">
      <c r="B301" s="30">
        <v>44238</v>
      </c>
      <c r="C301" s="31">
        <v>15173.3</v>
      </c>
      <c r="D301" s="21">
        <f t="shared" si="10"/>
        <v>4.4219375765397473E-3</v>
      </c>
      <c r="F301" s="30">
        <v>44250</v>
      </c>
      <c r="G301" s="32">
        <v>6.1719999999999997</v>
      </c>
      <c r="H301" s="21">
        <f t="shared" si="11"/>
        <v>-4.8371493066753368E-3</v>
      </c>
    </row>
    <row r="302" spans="2:8" x14ac:dyDescent="0.25">
      <c r="B302" s="30">
        <v>44239</v>
      </c>
      <c r="C302" s="31">
        <v>15163.3</v>
      </c>
      <c r="D302" s="21">
        <f t="shared" si="10"/>
        <v>-6.5905241443853235E-4</v>
      </c>
      <c r="F302" s="30">
        <v>44251</v>
      </c>
      <c r="G302" s="32">
        <v>6.1470000000000002</v>
      </c>
      <c r="H302" s="21">
        <f t="shared" si="11"/>
        <v>-4.0505508749189012E-3</v>
      </c>
    </row>
    <row r="303" spans="2:8" x14ac:dyDescent="0.25">
      <c r="B303" s="30">
        <v>44242</v>
      </c>
      <c r="C303" s="31">
        <v>15314.7</v>
      </c>
      <c r="D303" s="21">
        <f t="shared" si="10"/>
        <v>9.9846339517124516E-3</v>
      </c>
      <c r="F303" s="30">
        <v>44252</v>
      </c>
      <c r="G303" s="32">
        <v>6.1820000000000004</v>
      </c>
      <c r="H303" s="21">
        <f t="shared" si="11"/>
        <v>5.6938343907597666E-3</v>
      </c>
    </row>
    <row r="304" spans="2:8" x14ac:dyDescent="0.25">
      <c r="B304" s="30">
        <v>44243</v>
      </c>
      <c r="C304" s="31">
        <v>15313.45</v>
      </c>
      <c r="D304" s="21">
        <f t="shared" si="10"/>
        <v>-8.1620926299597052E-5</v>
      </c>
      <c r="F304" s="30">
        <v>44253</v>
      </c>
      <c r="G304" s="32">
        <v>6.2290000000000001</v>
      </c>
      <c r="H304" s="21">
        <f t="shared" si="11"/>
        <v>7.6027175671302683E-3</v>
      </c>
    </row>
    <row r="305" spans="2:8" x14ac:dyDescent="0.25">
      <c r="B305" s="30">
        <v>44244</v>
      </c>
      <c r="C305" s="31">
        <v>15208.9</v>
      </c>
      <c r="D305" s="21">
        <f t="shared" si="10"/>
        <v>-6.8273315288195358E-3</v>
      </c>
      <c r="F305" s="30">
        <v>44256</v>
      </c>
      <c r="G305" s="32">
        <v>6.2089999999999996</v>
      </c>
      <c r="H305" s="21">
        <f t="shared" si="11"/>
        <v>-3.2107882485150618E-3</v>
      </c>
    </row>
    <row r="306" spans="2:8" x14ac:dyDescent="0.25">
      <c r="B306" s="30">
        <v>44245</v>
      </c>
      <c r="C306" s="31">
        <v>15118.95</v>
      </c>
      <c r="D306" s="21">
        <f t="shared" si="10"/>
        <v>-5.9143001795001204E-3</v>
      </c>
      <c r="F306" s="30">
        <v>44257</v>
      </c>
      <c r="G306" s="32">
        <v>6.2359999999999998</v>
      </c>
      <c r="H306" s="21">
        <f t="shared" si="11"/>
        <v>4.3485263327427415E-3</v>
      </c>
    </row>
    <row r="307" spans="2:8" x14ac:dyDescent="0.25">
      <c r="B307" s="30">
        <v>44246</v>
      </c>
      <c r="C307" s="31">
        <v>14981.75</v>
      </c>
      <c r="D307" s="21">
        <f t="shared" si="10"/>
        <v>-9.0747042618700702E-3</v>
      </c>
      <c r="F307" s="30">
        <v>44258</v>
      </c>
      <c r="G307" s="32">
        <v>6.2380000000000004</v>
      </c>
      <c r="H307" s="21">
        <f t="shared" si="11"/>
        <v>3.2071840923686423E-4</v>
      </c>
    </row>
    <row r="308" spans="2:8" x14ac:dyDescent="0.25">
      <c r="B308" s="30">
        <v>44249</v>
      </c>
      <c r="C308" s="31">
        <v>14675.7</v>
      </c>
      <c r="D308" s="21">
        <f t="shared" si="10"/>
        <v>-2.0428187628281025E-2</v>
      </c>
      <c r="F308" s="30">
        <v>44259</v>
      </c>
      <c r="G308" s="32">
        <v>6.2119999999999997</v>
      </c>
      <c r="H308" s="21">
        <f t="shared" si="11"/>
        <v>-4.1680025649247776E-3</v>
      </c>
    </row>
    <row r="309" spans="2:8" x14ac:dyDescent="0.25">
      <c r="B309" s="30">
        <v>44250</v>
      </c>
      <c r="C309" s="31">
        <v>14707.8</v>
      </c>
      <c r="D309" s="21">
        <f t="shared" si="10"/>
        <v>2.1872891923382376E-3</v>
      </c>
      <c r="F309" s="30">
        <v>44260</v>
      </c>
      <c r="G309" s="32">
        <v>6.2320000000000002</v>
      </c>
      <c r="H309" s="21">
        <f t="shared" si="11"/>
        <v>3.2195750160979308E-3</v>
      </c>
    </row>
    <row r="310" spans="2:8" x14ac:dyDescent="0.25">
      <c r="B310" s="30">
        <v>44251</v>
      </c>
      <c r="C310" s="31">
        <v>14982</v>
      </c>
      <c r="D310" s="21">
        <f t="shared" si="10"/>
        <v>1.8643168930771559E-2</v>
      </c>
      <c r="F310" s="30">
        <v>44263</v>
      </c>
      <c r="G310" s="32">
        <v>6.2229999999999999</v>
      </c>
      <c r="H310" s="21">
        <f t="shared" si="11"/>
        <v>-1.4441591784339902E-3</v>
      </c>
    </row>
    <row r="311" spans="2:8" x14ac:dyDescent="0.25">
      <c r="B311" s="30">
        <v>44252</v>
      </c>
      <c r="C311" s="31">
        <v>15097.35</v>
      </c>
      <c r="D311" s="21">
        <f t="shared" si="10"/>
        <v>7.699239086904397E-3</v>
      </c>
      <c r="F311" s="30">
        <v>44264</v>
      </c>
      <c r="G311" s="32">
        <v>6.2060000000000004</v>
      </c>
      <c r="H311" s="21">
        <f t="shared" si="11"/>
        <v>-2.7318013819700449E-3</v>
      </c>
    </row>
    <row r="312" spans="2:8" x14ac:dyDescent="0.25">
      <c r="B312" s="30">
        <v>44253</v>
      </c>
      <c r="C312" s="31">
        <v>14529.15</v>
      </c>
      <c r="D312" s="21">
        <f t="shared" si="10"/>
        <v>-3.7635744021301765E-2</v>
      </c>
      <c r="F312" s="30">
        <v>44265</v>
      </c>
      <c r="G312" s="32">
        <v>6.2469999999999999</v>
      </c>
      <c r="H312" s="21">
        <f t="shared" si="11"/>
        <v>6.6065098291974156E-3</v>
      </c>
    </row>
    <row r="313" spans="2:8" x14ac:dyDescent="0.25">
      <c r="B313" s="30">
        <v>44256</v>
      </c>
      <c r="C313" s="31">
        <v>14761.55</v>
      </c>
      <c r="D313" s="21">
        <f t="shared" si="10"/>
        <v>1.5995429877177836E-2</v>
      </c>
      <c r="F313" s="30">
        <v>44267</v>
      </c>
      <c r="G313" s="32">
        <v>6.2320000000000002</v>
      </c>
      <c r="H313" s="21">
        <f t="shared" si="11"/>
        <v>-2.4011525532254829E-3</v>
      </c>
    </row>
    <row r="314" spans="2:8" x14ac:dyDescent="0.25">
      <c r="B314" s="30">
        <v>44257</v>
      </c>
      <c r="C314" s="31">
        <v>14919.1</v>
      </c>
      <c r="D314" s="21">
        <f t="shared" si="10"/>
        <v>1.0672998431736636E-2</v>
      </c>
      <c r="F314" s="30">
        <v>44270</v>
      </c>
      <c r="G314" s="32">
        <v>6.2009999999999996</v>
      </c>
      <c r="H314" s="21">
        <f t="shared" si="11"/>
        <v>-4.974326059050127E-3</v>
      </c>
    </row>
    <row r="315" spans="2:8" x14ac:dyDescent="0.25">
      <c r="B315" s="30">
        <v>44258</v>
      </c>
      <c r="C315" s="31">
        <v>15245.6</v>
      </c>
      <c r="D315" s="21">
        <f t="shared" si="10"/>
        <v>2.188469813862759E-2</v>
      </c>
      <c r="F315" s="30">
        <v>44271</v>
      </c>
      <c r="G315" s="32">
        <v>6.18</v>
      </c>
      <c r="H315" s="21">
        <f t="shared" si="11"/>
        <v>-3.3865505563618337E-3</v>
      </c>
    </row>
    <row r="316" spans="2:8" x14ac:dyDescent="0.25">
      <c r="B316" s="30">
        <v>44259</v>
      </c>
      <c r="C316" s="31">
        <v>15080.75</v>
      </c>
      <c r="D316" s="21">
        <f t="shared" si="10"/>
        <v>-1.0812955869234475E-2</v>
      </c>
      <c r="F316" s="30">
        <v>44272</v>
      </c>
      <c r="G316" s="32">
        <v>6.1849999999999996</v>
      </c>
      <c r="H316" s="21">
        <f t="shared" si="11"/>
        <v>8.0906148867310179E-4</v>
      </c>
    </row>
    <row r="317" spans="2:8" x14ac:dyDescent="0.25">
      <c r="B317" s="30">
        <v>44260</v>
      </c>
      <c r="C317" s="31">
        <v>14938.1</v>
      </c>
      <c r="D317" s="21">
        <f t="shared" si="10"/>
        <v>-9.4590786267261251E-3</v>
      </c>
      <c r="F317" s="30">
        <v>44273</v>
      </c>
      <c r="G317" s="32">
        <v>6.202</v>
      </c>
      <c r="H317" s="21">
        <f t="shared" si="11"/>
        <v>2.7485852869846283E-3</v>
      </c>
    </row>
    <row r="318" spans="2:8" x14ac:dyDescent="0.25">
      <c r="B318" s="30">
        <v>44263</v>
      </c>
      <c r="C318" s="31">
        <v>14956.2</v>
      </c>
      <c r="D318" s="21">
        <f t="shared" si="10"/>
        <v>1.2116668117096996E-3</v>
      </c>
      <c r="F318" s="30">
        <v>44274</v>
      </c>
      <c r="G318" s="32">
        <v>6.1929999999999996</v>
      </c>
      <c r="H318" s="21">
        <f t="shared" si="11"/>
        <v>-1.4511447920025899E-3</v>
      </c>
    </row>
    <row r="319" spans="2:8" x14ac:dyDescent="0.25">
      <c r="B319" s="30">
        <v>44264</v>
      </c>
      <c r="C319" s="31">
        <v>15098.4</v>
      </c>
      <c r="D319" s="21">
        <f t="shared" si="10"/>
        <v>9.5077626669874959E-3</v>
      </c>
      <c r="F319" s="30">
        <v>44277</v>
      </c>
      <c r="G319" s="32">
        <v>6.18</v>
      </c>
      <c r="H319" s="21">
        <f t="shared" si="11"/>
        <v>-2.0991441950589662E-3</v>
      </c>
    </row>
    <row r="320" spans="2:8" x14ac:dyDescent="0.25">
      <c r="B320" s="30">
        <v>44265</v>
      </c>
      <c r="C320" s="31">
        <v>15174.8</v>
      </c>
      <c r="D320" s="21">
        <f t="shared" si="10"/>
        <v>5.0601388226567678E-3</v>
      </c>
      <c r="F320" s="30">
        <v>44278</v>
      </c>
      <c r="G320" s="32">
        <v>6.1440000000000001</v>
      </c>
      <c r="H320" s="21">
        <f t="shared" si="11"/>
        <v>-5.8252427184465327E-3</v>
      </c>
    </row>
    <row r="321" spans="2:8" x14ac:dyDescent="0.25">
      <c r="B321" s="30">
        <v>44267</v>
      </c>
      <c r="C321" s="31">
        <v>15030.95</v>
      </c>
      <c r="D321" s="21">
        <f t="shared" si="10"/>
        <v>-9.4795318554444785E-3</v>
      </c>
      <c r="F321" s="30">
        <v>44279</v>
      </c>
      <c r="G321" s="32">
        <v>6.1520000000000001</v>
      </c>
      <c r="H321" s="21">
        <f t="shared" si="11"/>
        <v>1.3020833333332593E-3</v>
      </c>
    </row>
    <row r="322" spans="2:8" x14ac:dyDescent="0.25">
      <c r="B322" s="30">
        <v>44270</v>
      </c>
      <c r="C322" s="31">
        <v>14929.5</v>
      </c>
      <c r="D322" s="21">
        <f t="shared" si="10"/>
        <v>-6.7494070567729603E-3</v>
      </c>
      <c r="F322" s="30">
        <v>44280</v>
      </c>
      <c r="G322" s="32">
        <v>6.1310000000000002</v>
      </c>
      <c r="H322" s="21">
        <f t="shared" si="11"/>
        <v>-3.4135240572171766E-3</v>
      </c>
    </row>
    <row r="323" spans="2:8" x14ac:dyDescent="0.25">
      <c r="B323" s="30">
        <v>44271</v>
      </c>
      <c r="C323" s="31">
        <v>14910.45</v>
      </c>
      <c r="D323" s="21">
        <f t="shared" si="10"/>
        <v>-1.2759971867778441E-3</v>
      </c>
      <c r="F323" s="30">
        <v>44281</v>
      </c>
      <c r="G323" s="32">
        <v>6.1230000000000002</v>
      </c>
      <c r="H323" s="21">
        <f t="shared" si="11"/>
        <v>-1.3048442342195044E-3</v>
      </c>
    </row>
    <row r="324" spans="2:8" x14ac:dyDescent="0.25">
      <c r="B324" s="30">
        <v>44272</v>
      </c>
      <c r="C324" s="31">
        <v>14721.3</v>
      </c>
      <c r="D324" s="21">
        <f t="shared" si="10"/>
        <v>-1.2685733830971047E-2</v>
      </c>
      <c r="F324" s="30">
        <v>44285</v>
      </c>
      <c r="G324" s="32">
        <v>6.1429999999999998</v>
      </c>
      <c r="H324" s="21">
        <f t="shared" si="11"/>
        <v>3.266372693124131E-3</v>
      </c>
    </row>
    <row r="325" spans="2:8" x14ac:dyDescent="0.25">
      <c r="B325" s="30">
        <v>44273</v>
      </c>
      <c r="C325" s="31">
        <v>14557.85</v>
      </c>
      <c r="D325" s="21">
        <f t="shared" si="10"/>
        <v>-1.1102959657095401E-2</v>
      </c>
      <c r="F325" s="30">
        <v>44286</v>
      </c>
      <c r="G325" s="32">
        <v>6.1769999999999996</v>
      </c>
      <c r="H325" s="21">
        <f t="shared" si="11"/>
        <v>5.5347550056974448E-3</v>
      </c>
    </row>
    <row r="326" spans="2:8" x14ac:dyDescent="0.25">
      <c r="B326" s="30">
        <v>44274</v>
      </c>
      <c r="C326" s="31">
        <v>14744</v>
      </c>
      <c r="D326" s="21">
        <f t="shared" si="10"/>
        <v>1.2786915650319308E-2</v>
      </c>
      <c r="F326" s="30">
        <v>44291</v>
      </c>
      <c r="G326" s="32">
        <v>6.1230000000000002</v>
      </c>
      <c r="H326" s="21">
        <f t="shared" si="11"/>
        <v>-8.7421078193297141E-3</v>
      </c>
    </row>
    <row r="327" spans="2:8" x14ac:dyDescent="0.25">
      <c r="B327" s="30">
        <v>44277</v>
      </c>
      <c r="C327" s="31">
        <v>14736.4</v>
      </c>
      <c r="D327" s="21">
        <f t="shared" si="10"/>
        <v>-5.1546391752577136E-4</v>
      </c>
      <c r="F327" s="30">
        <v>44292</v>
      </c>
      <c r="G327" s="32">
        <v>6.1219999999999999</v>
      </c>
      <c r="H327" s="21">
        <f t="shared" si="11"/>
        <v>-1.6331863465623986E-4</v>
      </c>
    </row>
    <row r="328" spans="2:8" x14ac:dyDescent="0.25">
      <c r="B328" s="30">
        <v>44278</v>
      </c>
      <c r="C328" s="31">
        <v>14814.75</v>
      </c>
      <c r="D328" s="21">
        <f t="shared" si="10"/>
        <v>5.3167666458564522E-3</v>
      </c>
      <c r="F328" s="30">
        <v>44293</v>
      </c>
      <c r="G328" s="32">
        <v>6.0819999999999999</v>
      </c>
      <c r="H328" s="21">
        <f t="shared" si="11"/>
        <v>-6.5338124795818464E-3</v>
      </c>
    </row>
    <row r="329" spans="2:8" x14ac:dyDescent="0.25">
      <c r="B329" s="30">
        <v>44279</v>
      </c>
      <c r="C329" s="31">
        <v>14549.4</v>
      </c>
      <c r="D329" s="21">
        <f t="shared" si="10"/>
        <v>-1.7911203361514749E-2</v>
      </c>
      <c r="F329" s="30">
        <v>44294</v>
      </c>
      <c r="G329" s="32">
        <v>6.0309999999999997</v>
      </c>
      <c r="H329" s="21">
        <f t="shared" si="11"/>
        <v>-8.385399539625138E-3</v>
      </c>
    </row>
    <row r="330" spans="2:8" x14ac:dyDescent="0.25">
      <c r="B330" s="30">
        <v>44280</v>
      </c>
      <c r="C330" s="31">
        <v>14324.9</v>
      </c>
      <c r="D330" s="21">
        <f t="shared" si="10"/>
        <v>-1.5430189561081553E-2</v>
      </c>
      <c r="F330" s="30">
        <v>44295</v>
      </c>
      <c r="G330" s="32">
        <v>6.0170000000000003</v>
      </c>
      <c r="H330" s="21">
        <f t="shared" si="11"/>
        <v>-2.3213397446525397E-3</v>
      </c>
    </row>
    <row r="331" spans="2:8" x14ac:dyDescent="0.25">
      <c r="B331" s="30">
        <v>44281</v>
      </c>
      <c r="C331" s="31">
        <v>14507.3</v>
      </c>
      <c r="D331" s="21">
        <f t="shared" si="10"/>
        <v>1.2733073180266397E-2</v>
      </c>
      <c r="F331" s="30">
        <v>44298</v>
      </c>
      <c r="G331" s="32">
        <v>6.0110000000000001</v>
      </c>
      <c r="H331" s="21">
        <f t="shared" si="11"/>
        <v>-9.9717467176341223E-4</v>
      </c>
    </row>
    <row r="332" spans="2:8" x14ac:dyDescent="0.25">
      <c r="B332" s="30">
        <v>44285</v>
      </c>
      <c r="C332" s="31">
        <v>14845.1</v>
      </c>
      <c r="D332" s="21">
        <f t="shared" si="10"/>
        <v>2.3284829017115705E-2</v>
      </c>
      <c r="F332" s="30">
        <v>44301</v>
      </c>
      <c r="G332" s="32">
        <v>6.1260000000000003</v>
      </c>
      <c r="H332" s="21">
        <f t="shared" si="11"/>
        <v>1.9131592081184534E-2</v>
      </c>
    </row>
    <row r="333" spans="2:8" x14ac:dyDescent="0.25">
      <c r="B333" s="30">
        <v>44286</v>
      </c>
      <c r="C333" s="31">
        <v>14690.7</v>
      </c>
      <c r="D333" s="21">
        <f t="shared" si="10"/>
        <v>-1.0400738290749056E-2</v>
      </c>
      <c r="F333" s="30">
        <v>44302</v>
      </c>
      <c r="G333" s="32">
        <v>6.0880000000000001</v>
      </c>
      <c r="H333" s="21">
        <f t="shared" si="11"/>
        <v>-6.203068886712404E-3</v>
      </c>
    </row>
    <row r="334" spans="2:8" x14ac:dyDescent="0.25">
      <c r="B334" s="30">
        <v>44287</v>
      </c>
      <c r="C334" s="31">
        <v>14867.35</v>
      </c>
      <c r="D334" s="21">
        <f t="shared" si="10"/>
        <v>1.2024614211712192E-2</v>
      </c>
      <c r="F334" s="30">
        <v>44305</v>
      </c>
      <c r="G334" s="32">
        <v>6.0810000000000004</v>
      </c>
      <c r="H334" s="21">
        <f t="shared" si="11"/>
        <v>-1.1498028909329161E-3</v>
      </c>
    </row>
    <row r="335" spans="2:8" x14ac:dyDescent="0.25">
      <c r="B335" s="30">
        <v>44291</v>
      </c>
      <c r="C335" s="31">
        <v>14637.8</v>
      </c>
      <c r="D335" s="21">
        <f t="shared" si="10"/>
        <v>-1.5439873279367244E-2</v>
      </c>
      <c r="F335" s="30">
        <v>44306</v>
      </c>
      <c r="G335" s="32">
        <v>6.0739999999999998</v>
      </c>
      <c r="H335" s="21">
        <f t="shared" si="11"/>
        <v>-1.1511264594640247E-3</v>
      </c>
    </row>
    <row r="336" spans="2:8" x14ac:dyDescent="0.25">
      <c r="B336" s="30">
        <v>44292</v>
      </c>
      <c r="C336" s="31">
        <v>14683.5</v>
      </c>
      <c r="D336" s="21">
        <f t="shared" si="10"/>
        <v>3.1220538605529757E-3</v>
      </c>
      <c r="F336" s="30">
        <v>44308</v>
      </c>
      <c r="G336" s="32">
        <v>6.05</v>
      </c>
      <c r="H336" s="21">
        <f t="shared" si="11"/>
        <v>-3.9512676983866069E-3</v>
      </c>
    </row>
    <row r="337" spans="2:8" x14ac:dyDescent="0.25">
      <c r="B337" s="30">
        <v>44293</v>
      </c>
      <c r="C337" s="31">
        <v>14819.05</v>
      </c>
      <c r="D337" s="21">
        <f t="shared" si="10"/>
        <v>9.2314502673067622E-3</v>
      </c>
      <c r="F337" s="30">
        <v>44309</v>
      </c>
      <c r="G337" s="32">
        <v>6.0350000000000001</v>
      </c>
      <c r="H337" s="21">
        <f t="shared" si="11"/>
        <v>-2.4793388429751317E-3</v>
      </c>
    </row>
    <row r="338" spans="2:8" x14ac:dyDescent="0.25">
      <c r="B338" s="30">
        <v>44294</v>
      </c>
      <c r="C338" s="31">
        <v>14873.8</v>
      </c>
      <c r="D338" s="21">
        <f t="shared" si="10"/>
        <v>3.6945688151399647E-3</v>
      </c>
      <c r="F338" s="30">
        <v>44312</v>
      </c>
      <c r="G338" s="32">
        <v>6.0380000000000003</v>
      </c>
      <c r="H338" s="21">
        <f t="shared" si="11"/>
        <v>4.9710024855009749E-4</v>
      </c>
    </row>
    <row r="339" spans="2:8" x14ac:dyDescent="0.25">
      <c r="B339" s="30">
        <v>44295</v>
      </c>
      <c r="C339" s="31">
        <v>14834.85</v>
      </c>
      <c r="D339" s="21">
        <f t="shared" si="10"/>
        <v>-2.6186986513196953E-3</v>
      </c>
      <c r="F339" s="30">
        <v>44313</v>
      </c>
      <c r="G339" s="32">
        <v>6.0549999999999997</v>
      </c>
      <c r="H339" s="21">
        <f t="shared" si="11"/>
        <v>2.815501821795241E-3</v>
      </c>
    </row>
    <row r="340" spans="2:8" x14ac:dyDescent="0.25">
      <c r="B340" s="30">
        <v>44298</v>
      </c>
      <c r="C340" s="31">
        <v>14310.8</v>
      </c>
      <c r="D340" s="21">
        <f t="shared" si="10"/>
        <v>-3.5325601539617946E-2</v>
      </c>
      <c r="F340" s="30">
        <v>44314</v>
      </c>
      <c r="G340" s="32">
        <v>6.0529999999999999</v>
      </c>
      <c r="H340" s="21">
        <f t="shared" si="11"/>
        <v>-3.3030553261759188E-4</v>
      </c>
    </row>
    <row r="341" spans="2:8" x14ac:dyDescent="0.25">
      <c r="B341" s="30">
        <v>44299</v>
      </c>
      <c r="C341" s="31">
        <v>14504.8</v>
      </c>
      <c r="D341" s="21">
        <f t="shared" si="10"/>
        <v>1.3556195321016373E-2</v>
      </c>
      <c r="F341" s="30">
        <v>44315</v>
      </c>
      <c r="G341" s="32">
        <v>6.0590000000000002</v>
      </c>
      <c r="H341" s="21">
        <f t="shared" si="11"/>
        <v>9.9124401123407146E-4</v>
      </c>
    </row>
    <row r="342" spans="2:8" x14ac:dyDescent="0.25">
      <c r="B342" s="30">
        <v>44301</v>
      </c>
      <c r="C342" s="31">
        <v>14581.45</v>
      </c>
      <c r="D342" s="21">
        <f t="shared" ref="D342:D405" si="12">C342/C341-1</f>
        <v>5.2844575588770759E-3</v>
      </c>
      <c r="F342" s="30">
        <v>44316</v>
      </c>
      <c r="G342" s="32">
        <v>6.03</v>
      </c>
      <c r="H342" s="21">
        <f t="shared" ref="H342:H405" si="13">G342/G341-1</f>
        <v>-4.7862683611157308E-3</v>
      </c>
    </row>
    <row r="343" spans="2:8" x14ac:dyDescent="0.25">
      <c r="B343" s="30">
        <v>44302</v>
      </c>
      <c r="C343" s="31">
        <v>14617.85</v>
      </c>
      <c r="D343" s="21">
        <f t="shared" si="12"/>
        <v>2.4963223822047631E-3</v>
      </c>
      <c r="F343" s="30">
        <v>44319</v>
      </c>
      <c r="G343" s="32">
        <v>6.0010000000000003</v>
      </c>
      <c r="H343" s="21">
        <f t="shared" si="13"/>
        <v>-4.8092868988390824E-3</v>
      </c>
    </row>
    <row r="344" spans="2:8" x14ac:dyDescent="0.25">
      <c r="B344" s="30">
        <v>44305</v>
      </c>
      <c r="C344" s="31">
        <v>14359.45</v>
      </c>
      <c r="D344" s="21">
        <f t="shared" si="12"/>
        <v>-1.7677018166146197E-2</v>
      </c>
      <c r="F344" s="30">
        <v>44320</v>
      </c>
      <c r="G344" s="32">
        <v>6.0149999999999997</v>
      </c>
      <c r="H344" s="21">
        <f t="shared" si="13"/>
        <v>2.3329445092483692E-3</v>
      </c>
    </row>
    <row r="345" spans="2:8" x14ac:dyDescent="0.25">
      <c r="B345" s="30">
        <v>44306</v>
      </c>
      <c r="C345" s="31">
        <v>14296.4</v>
      </c>
      <c r="D345" s="21">
        <f t="shared" si="12"/>
        <v>-4.3908366963916201E-3</v>
      </c>
      <c r="F345" s="30">
        <v>44321</v>
      </c>
      <c r="G345" s="32">
        <v>5.9779999999999998</v>
      </c>
      <c r="H345" s="21">
        <f t="shared" si="13"/>
        <v>-6.1512884455527939E-3</v>
      </c>
    </row>
    <row r="346" spans="2:8" x14ac:dyDescent="0.25">
      <c r="B346" s="30">
        <v>44308</v>
      </c>
      <c r="C346" s="31">
        <v>14406.15</v>
      </c>
      <c r="D346" s="21">
        <f t="shared" si="12"/>
        <v>7.6767577851766244E-3</v>
      </c>
      <c r="F346" s="30">
        <v>44322</v>
      </c>
      <c r="G346" s="32">
        <v>5.9740000000000002</v>
      </c>
      <c r="H346" s="21">
        <f t="shared" si="13"/>
        <v>-6.6912010705910685E-4</v>
      </c>
    </row>
    <row r="347" spans="2:8" x14ac:dyDescent="0.25">
      <c r="B347" s="30">
        <v>44309</v>
      </c>
      <c r="C347" s="31">
        <v>14341.35</v>
      </c>
      <c r="D347" s="21">
        <f t="shared" si="12"/>
        <v>-4.4980789454502901E-3</v>
      </c>
      <c r="F347" s="30">
        <v>44323</v>
      </c>
      <c r="G347" s="32">
        <v>6.0149999999999997</v>
      </c>
      <c r="H347" s="21">
        <f t="shared" si="13"/>
        <v>6.8630733177099668E-3</v>
      </c>
    </row>
    <row r="348" spans="2:8" x14ac:dyDescent="0.25">
      <c r="B348" s="30">
        <v>44312</v>
      </c>
      <c r="C348" s="31">
        <v>14485</v>
      </c>
      <c r="D348" s="21">
        <f t="shared" si="12"/>
        <v>1.0016490776670217E-2</v>
      </c>
      <c r="F348" s="30">
        <v>44326</v>
      </c>
      <c r="G348" s="32">
        <v>6.0140000000000002</v>
      </c>
      <c r="H348" s="21">
        <f t="shared" si="13"/>
        <v>-1.662510390688654E-4</v>
      </c>
    </row>
    <row r="349" spans="2:8" x14ac:dyDescent="0.25">
      <c r="B349" s="30">
        <v>44313</v>
      </c>
      <c r="C349" s="31">
        <v>14653.05</v>
      </c>
      <c r="D349" s="21">
        <f t="shared" si="12"/>
        <v>1.1601656886434109E-2</v>
      </c>
      <c r="F349" s="30">
        <v>44327</v>
      </c>
      <c r="G349" s="32">
        <v>6.008</v>
      </c>
      <c r="H349" s="21">
        <f t="shared" si="13"/>
        <v>-9.976720984370413E-4</v>
      </c>
    </row>
    <row r="350" spans="2:8" x14ac:dyDescent="0.25">
      <c r="B350" s="30">
        <v>44314</v>
      </c>
      <c r="C350" s="31">
        <v>14864.55</v>
      </c>
      <c r="D350" s="21">
        <f t="shared" si="12"/>
        <v>1.4433855067716328E-2</v>
      </c>
      <c r="F350" s="30">
        <v>44328</v>
      </c>
      <c r="G350" s="32">
        <v>6.01</v>
      </c>
      <c r="H350" s="21">
        <f t="shared" si="13"/>
        <v>3.3288948069243318E-4</v>
      </c>
    </row>
    <row r="351" spans="2:8" x14ac:dyDescent="0.25">
      <c r="B351" s="30">
        <v>44315</v>
      </c>
      <c r="C351" s="31">
        <v>14894.9</v>
      </c>
      <c r="D351" s="21">
        <f t="shared" si="12"/>
        <v>2.0417705211392967E-3</v>
      </c>
      <c r="F351" s="30">
        <v>44330</v>
      </c>
      <c r="G351" s="32">
        <v>5.9859999999999998</v>
      </c>
      <c r="H351" s="21">
        <f t="shared" si="13"/>
        <v>-3.9933444259567796E-3</v>
      </c>
    </row>
    <row r="352" spans="2:8" x14ac:dyDescent="0.25">
      <c r="B352" s="30">
        <v>44316</v>
      </c>
      <c r="C352" s="31">
        <v>14631.1</v>
      </c>
      <c r="D352" s="21">
        <f t="shared" si="12"/>
        <v>-1.7710760058812003E-2</v>
      </c>
      <c r="F352" s="30">
        <v>44333</v>
      </c>
      <c r="G352" s="32">
        <v>5.9720000000000004</v>
      </c>
      <c r="H352" s="21">
        <f t="shared" si="13"/>
        <v>-2.3387905111926788E-3</v>
      </c>
    </row>
    <row r="353" spans="2:8" x14ac:dyDescent="0.25">
      <c r="B353" s="30">
        <v>44319</v>
      </c>
      <c r="C353" s="31">
        <v>14634.15</v>
      </c>
      <c r="D353" s="21">
        <f t="shared" si="12"/>
        <v>2.0846006110275539E-4</v>
      </c>
      <c r="F353" s="30">
        <v>44334</v>
      </c>
      <c r="G353" s="32">
        <v>5.976</v>
      </c>
      <c r="H353" s="21">
        <f t="shared" si="13"/>
        <v>6.6979236436703893E-4</v>
      </c>
    </row>
    <row r="354" spans="2:8" x14ac:dyDescent="0.25">
      <c r="B354" s="30">
        <v>44320</v>
      </c>
      <c r="C354" s="31">
        <v>14496.5</v>
      </c>
      <c r="D354" s="21">
        <f t="shared" si="12"/>
        <v>-9.4060809818130586E-3</v>
      </c>
      <c r="F354" s="30">
        <v>44335</v>
      </c>
      <c r="G354" s="32">
        <v>5.9749999999999996</v>
      </c>
      <c r="H354" s="21">
        <f t="shared" si="13"/>
        <v>-1.6733601070950677E-4</v>
      </c>
    </row>
    <row r="355" spans="2:8" x14ac:dyDescent="0.25">
      <c r="B355" s="30">
        <v>44321</v>
      </c>
      <c r="C355" s="31">
        <v>14617.85</v>
      </c>
      <c r="D355" s="21">
        <f t="shared" si="12"/>
        <v>8.3709861000931252E-3</v>
      </c>
      <c r="F355" s="30">
        <v>44336</v>
      </c>
      <c r="G355" s="32">
        <v>5.968</v>
      </c>
      <c r="H355" s="21">
        <f t="shared" si="13"/>
        <v>-1.1715481171548081E-3</v>
      </c>
    </row>
    <row r="356" spans="2:8" x14ac:dyDescent="0.25">
      <c r="B356" s="30">
        <v>44322</v>
      </c>
      <c r="C356" s="31">
        <v>14724.8</v>
      </c>
      <c r="D356" s="21">
        <f t="shared" si="12"/>
        <v>7.3163974182248737E-3</v>
      </c>
      <c r="F356" s="30">
        <v>44337</v>
      </c>
      <c r="G356" s="32">
        <v>5.9770000000000003</v>
      </c>
      <c r="H356" s="21">
        <f t="shared" si="13"/>
        <v>1.5080428954423741E-3</v>
      </c>
    </row>
    <row r="357" spans="2:8" x14ac:dyDescent="0.25">
      <c r="B357" s="30">
        <v>44323</v>
      </c>
      <c r="C357" s="31">
        <v>14823.15</v>
      </c>
      <c r="D357" s="21">
        <f t="shared" si="12"/>
        <v>6.6792078669999366E-3</v>
      </c>
      <c r="F357" s="30">
        <v>44340</v>
      </c>
      <c r="G357" s="32">
        <v>5.9720000000000004</v>
      </c>
      <c r="H357" s="21">
        <f t="shared" si="13"/>
        <v>-8.3654007026934263E-4</v>
      </c>
    </row>
    <row r="358" spans="2:8" x14ac:dyDescent="0.25">
      <c r="B358" s="30">
        <v>44326</v>
      </c>
      <c r="C358" s="31">
        <v>14942.35</v>
      </c>
      <c r="D358" s="21">
        <f t="shared" si="12"/>
        <v>8.0414756647542163E-3</v>
      </c>
      <c r="F358" s="30">
        <v>44341</v>
      </c>
      <c r="G358" s="32">
        <v>5.9720000000000004</v>
      </c>
      <c r="H358" s="21">
        <f t="shared" si="13"/>
        <v>0</v>
      </c>
    </row>
    <row r="359" spans="2:8" x14ac:dyDescent="0.25">
      <c r="B359" s="30">
        <v>44327</v>
      </c>
      <c r="C359" s="31">
        <v>14850.75</v>
      </c>
      <c r="D359" s="21">
        <f t="shared" si="12"/>
        <v>-6.1302271731019653E-3</v>
      </c>
      <c r="F359" s="30">
        <v>44343</v>
      </c>
      <c r="G359" s="32">
        <v>5.9870000000000001</v>
      </c>
      <c r="H359" s="21">
        <f t="shared" si="13"/>
        <v>2.5117213663763405E-3</v>
      </c>
    </row>
    <row r="360" spans="2:8" x14ac:dyDescent="0.25">
      <c r="B360" s="30">
        <v>44328</v>
      </c>
      <c r="C360" s="31">
        <v>14696.5</v>
      </c>
      <c r="D360" s="21">
        <f t="shared" si="12"/>
        <v>-1.0386680807366599E-2</v>
      </c>
      <c r="F360" s="30">
        <v>44344</v>
      </c>
      <c r="G360" s="32">
        <v>6.0030000000000001</v>
      </c>
      <c r="H360" s="21">
        <f t="shared" si="13"/>
        <v>2.6724569901452888E-3</v>
      </c>
    </row>
    <row r="361" spans="2:8" x14ac:dyDescent="0.25">
      <c r="B361" s="30">
        <v>44330</v>
      </c>
      <c r="C361" s="31">
        <v>14677.8</v>
      </c>
      <c r="D361" s="21">
        <f t="shared" si="12"/>
        <v>-1.2724117987276129E-3</v>
      </c>
      <c r="F361" s="30">
        <v>44347</v>
      </c>
      <c r="G361" s="32">
        <v>6.0220000000000002</v>
      </c>
      <c r="H361" s="21">
        <f t="shared" si="13"/>
        <v>3.1650841246044781E-3</v>
      </c>
    </row>
    <row r="362" spans="2:8" x14ac:dyDescent="0.25">
      <c r="B362" s="30">
        <v>44333</v>
      </c>
      <c r="C362" s="31">
        <v>14923.15</v>
      </c>
      <c r="D362" s="21">
        <f t="shared" si="12"/>
        <v>1.671572033956048E-2</v>
      </c>
      <c r="F362" s="30">
        <v>44348</v>
      </c>
      <c r="G362" s="32">
        <v>6.0250000000000004</v>
      </c>
      <c r="H362" s="21">
        <f t="shared" si="13"/>
        <v>4.9817336433077841E-4</v>
      </c>
    </row>
    <row r="363" spans="2:8" x14ac:dyDescent="0.25">
      <c r="B363" s="30">
        <v>44334</v>
      </c>
      <c r="C363" s="31">
        <v>15108.1</v>
      </c>
      <c r="D363" s="21">
        <f t="shared" si="12"/>
        <v>1.2393496011230853E-2</v>
      </c>
      <c r="F363" s="30">
        <v>44349</v>
      </c>
      <c r="G363" s="32">
        <v>6.0049999999999999</v>
      </c>
      <c r="H363" s="21">
        <f t="shared" si="13"/>
        <v>-3.3195020746888959E-3</v>
      </c>
    </row>
    <row r="364" spans="2:8" x14ac:dyDescent="0.25">
      <c r="B364" s="30">
        <v>44335</v>
      </c>
      <c r="C364" s="31">
        <v>15030.15</v>
      </c>
      <c r="D364" s="21">
        <f t="shared" si="12"/>
        <v>-5.1594839854118835E-3</v>
      </c>
      <c r="F364" s="30">
        <v>44350</v>
      </c>
      <c r="G364" s="32">
        <v>5.9969999999999999</v>
      </c>
      <c r="H364" s="21">
        <f t="shared" si="13"/>
        <v>-1.3322231473771318E-3</v>
      </c>
    </row>
    <row r="365" spans="2:8" x14ac:dyDescent="0.25">
      <c r="B365" s="30">
        <v>44336</v>
      </c>
      <c r="C365" s="31">
        <v>14906.05</v>
      </c>
      <c r="D365" s="21">
        <f t="shared" si="12"/>
        <v>-8.2567372913776582E-3</v>
      </c>
      <c r="F365" s="30">
        <v>44351</v>
      </c>
      <c r="G365" s="32">
        <v>6.0279999999999996</v>
      </c>
      <c r="H365" s="21">
        <f t="shared" si="13"/>
        <v>5.1692512923127154E-3</v>
      </c>
    </row>
    <row r="366" spans="2:8" x14ac:dyDescent="0.25">
      <c r="B366" s="30">
        <v>44337</v>
      </c>
      <c r="C366" s="31">
        <v>15175.3</v>
      </c>
      <c r="D366" s="21">
        <f t="shared" si="12"/>
        <v>1.8063135438295186E-2</v>
      </c>
      <c r="F366" s="30">
        <v>44354</v>
      </c>
      <c r="G366" s="32">
        <v>6.0220000000000002</v>
      </c>
      <c r="H366" s="21">
        <f t="shared" si="13"/>
        <v>-9.9535500995340254E-4</v>
      </c>
    </row>
    <row r="367" spans="2:8" x14ac:dyDescent="0.25">
      <c r="B367" s="30">
        <v>44340</v>
      </c>
      <c r="C367" s="31">
        <v>15197.7</v>
      </c>
      <c r="D367" s="21">
        <f t="shared" si="12"/>
        <v>1.4760828451498842E-3</v>
      </c>
      <c r="F367" s="30">
        <v>44355</v>
      </c>
      <c r="G367" s="32">
        <v>6.0060000000000002</v>
      </c>
      <c r="H367" s="21">
        <f t="shared" si="13"/>
        <v>-2.6569246097641885E-3</v>
      </c>
    </row>
    <row r="368" spans="2:8" x14ac:dyDescent="0.25">
      <c r="B368" s="30">
        <v>44341</v>
      </c>
      <c r="C368" s="31">
        <v>15208.45</v>
      </c>
      <c r="D368" s="21">
        <f t="shared" si="12"/>
        <v>7.0734387440207769E-4</v>
      </c>
      <c r="F368" s="30">
        <v>44356</v>
      </c>
      <c r="G368" s="32">
        <v>6.016</v>
      </c>
      <c r="H368" s="21">
        <f t="shared" si="13"/>
        <v>1.6650016650017196E-3</v>
      </c>
    </row>
    <row r="369" spans="2:8" x14ac:dyDescent="0.25">
      <c r="B369" s="30">
        <v>44342</v>
      </c>
      <c r="C369" s="31">
        <v>15301.45</v>
      </c>
      <c r="D369" s="21">
        <f t="shared" si="12"/>
        <v>6.115021583396052E-3</v>
      </c>
      <c r="F369" s="30">
        <v>44357</v>
      </c>
      <c r="G369" s="32">
        <v>6.0190000000000001</v>
      </c>
      <c r="H369" s="21">
        <f t="shared" si="13"/>
        <v>4.9867021276606138E-4</v>
      </c>
    </row>
    <row r="370" spans="2:8" x14ac:dyDescent="0.25">
      <c r="B370" s="30">
        <v>44343</v>
      </c>
      <c r="C370" s="31">
        <v>15337.85</v>
      </c>
      <c r="D370" s="21">
        <f t="shared" si="12"/>
        <v>2.3788595198495077E-3</v>
      </c>
      <c r="F370" s="30">
        <v>44358</v>
      </c>
      <c r="G370" s="32">
        <v>6.0060000000000002</v>
      </c>
      <c r="H370" s="21">
        <f t="shared" si="13"/>
        <v>-2.1598272138229069E-3</v>
      </c>
    </row>
    <row r="371" spans="2:8" x14ac:dyDescent="0.25">
      <c r="B371" s="30">
        <v>44344</v>
      </c>
      <c r="C371" s="31">
        <v>15435.65</v>
      </c>
      <c r="D371" s="21">
        <f t="shared" si="12"/>
        <v>6.3763826090357245E-3</v>
      </c>
      <c r="F371" s="30">
        <v>44361</v>
      </c>
      <c r="G371" s="32">
        <v>6.0039999999999996</v>
      </c>
      <c r="H371" s="21">
        <f t="shared" si="13"/>
        <v>-3.3300033300043275E-4</v>
      </c>
    </row>
    <row r="372" spans="2:8" x14ac:dyDescent="0.25">
      <c r="B372" s="30">
        <v>44347</v>
      </c>
      <c r="C372" s="31">
        <v>15582.8</v>
      </c>
      <c r="D372" s="21">
        <f t="shared" si="12"/>
        <v>9.5331262369904302E-3</v>
      </c>
      <c r="F372" s="30">
        <v>44362</v>
      </c>
      <c r="G372" s="32">
        <v>6.04</v>
      </c>
      <c r="H372" s="21">
        <f t="shared" si="13"/>
        <v>5.9960026648901987E-3</v>
      </c>
    </row>
    <row r="373" spans="2:8" x14ac:dyDescent="0.25">
      <c r="B373" s="30">
        <v>44348</v>
      </c>
      <c r="C373" s="31">
        <v>15574.85</v>
      </c>
      <c r="D373" s="21">
        <f t="shared" si="12"/>
        <v>-5.1017788844098799E-4</v>
      </c>
      <c r="F373" s="30">
        <v>44363</v>
      </c>
      <c r="G373" s="32">
        <v>6.0449999999999999</v>
      </c>
      <c r="H373" s="21">
        <f t="shared" si="13"/>
        <v>8.2781456953640031E-4</v>
      </c>
    </row>
    <row r="374" spans="2:8" x14ac:dyDescent="0.25">
      <c r="B374" s="30">
        <v>44349</v>
      </c>
      <c r="C374" s="31">
        <v>15576.2</v>
      </c>
      <c r="D374" s="21">
        <f t="shared" si="12"/>
        <v>8.667820235830348E-5</v>
      </c>
      <c r="F374" s="30">
        <v>44364</v>
      </c>
      <c r="G374" s="32">
        <v>6.0190000000000001</v>
      </c>
      <c r="H374" s="21">
        <f t="shared" si="13"/>
        <v>-4.3010752688171783E-3</v>
      </c>
    </row>
    <row r="375" spans="2:8" x14ac:dyDescent="0.25">
      <c r="B375" s="30">
        <v>44350</v>
      </c>
      <c r="C375" s="31">
        <v>15690.35</v>
      </c>
      <c r="D375" s="21">
        <f t="shared" si="12"/>
        <v>7.3284883347670693E-3</v>
      </c>
      <c r="F375" s="30">
        <v>44365</v>
      </c>
      <c r="G375" s="32">
        <v>6.0060000000000002</v>
      </c>
      <c r="H375" s="21">
        <f t="shared" si="13"/>
        <v>-2.1598272138229069E-3</v>
      </c>
    </row>
    <row r="376" spans="2:8" x14ac:dyDescent="0.25">
      <c r="B376" s="30">
        <v>44351</v>
      </c>
      <c r="C376" s="31">
        <v>15670.25</v>
      </c>
      <c r="D376" s="21">
        <f t="shared" si="12"/>
        <v>-1.2810421692314167E-3</v>
      </c>
      <c r="F376" s="30">
        <v>44368</v>
      </c>
      <c r="G376" s="32">
        <v>6.0289999999999999</v>
      </c>
      <c r="H376" s="21">
        <f t="shared" si="13"/>
        <v>3.8295038295037553E-3</v>
      </c>
    </row>
    <row r="377" spans="2:8" x14ac:dyDescent="0.25">
      <c r="B377" s="30">
        <v>44354</v>
      </c>
      <c r="C377" s="31">
        <v>15751.65</v>
      </c>
      <c r="D377" s="21">
        <f t="shared" si="12"/>
        <v>5.1945565641899893E-3</v>
      </c>
      <c r="F377" s="30">
        <v>44369</v>
      </c>
      <c r="G377" s="32">
        <v>6.0250000000000004</v>
      </c>
      <c r="H377" s="21">
        <f t="shared" si="13"/>
        <v>-6.6345994360583749E-4</v>
      </c>
    </row>
    <row r="378" spans="2:8" x14ac:dyDescent="0.25">
      <c r="B378" s="30">
        <v>44355</v>
      </c>
      <c r="C378" s="31">
        <v>15740.1</v>
      </c>
      <c r="D378" s="21">
        <f t="shared" si="12"/>
        <v>-7.3325651598399322E-4</v>
      </c>
      <c r="F378" s="30">
        <v>44370</v>
      </c>
      <c r="G378" s="32">
        <v>6.0179999999999998</v>
      </c>
      <c r="H378" s="21">
        <f t="shared" si="13"/>
        <v>-1.1618257261412079E-3</v>
      </c>
    </row>
    <row r="379" spans="2:8" x14ac:dyDescent="0.25">
      <c r="B379" s="30">
        <v>44356</v>
      </c>
      <c r="C379" s="31">
        <v>15635.35</v>
      </c>
      <c r="D379" s="21">
        <f t="shared" si="12"/>
        <v>-6.6549767790547998E-3</v>
      </c>
      <c r="F379" s="30">
        <v>44371</v>
      </c>
      <c r="G379" s="32">
        <v>6.0119999999999996</v>
      </c>
      <c r="H379" s="21">
        <f t="shared" si="13"/>
        <v>-9.9700897308074854E-4</v>
      </c>
    </row>
    <row r="380" spans="2:8" x14ac:dyDescent="0.25">
      <c r="B380" s="30">
        <v>44357</v>
      </c>
      <c r="C380" s="31">
        <v>15737.75</v>
      </c>
      <c r="D380" s="21">
        <f t="shared" si="12"/>
        <v>6.5492617690041666E-3</v>
      </c>
      <c r="F380" s="30">
        <v>44372</v>
      </c>
      <c r="G380" s="32">
        <v>6.0279999999999996</v>
      </c>
      <c r="H380" s="21">
        <f t="shared" si="13"/>
        <v>2.6613439787093185E-3</v>
      </c>
    </row>
    <row r="381" spans="2:8" x14ac:dyDescent="0.25">
      <c r="B381" s="30">
        <v>44358</v>
      </c>
      <c r="C381" s="31">
        <v>15799.35</v>
      </c>
      <c r="D381" s="21">
        <f t="shared" si="12"/>
        <v>3.9141554542421186E-3</v>
      </c>
      <c r="F381" s="30">
        <v>44375</v>
      </c>
      <c r="G381" s="32">
        <v>6.056</v>
      </c>
      <c r="H381" s="21">
        <f t="shared" si="13"/>
        <v>4.644990046450026E-3</v>
      </c>
    </row>
    <row r="382" spans="2:8" x14ac:dyDescent="0.25">
      <c r="B382" s="30">
        <v>44361</v>
      </c>
      <c r="C382" s="31">
        <v>15811.85</v>
      </c>
      <c r="D382" s="21">
        <f t="shared" si="12"/>
        <v>7.911717887127967E-4</v>
      </c>
      <c r="F382" s="30">
        <v>44376</v>
      </c>
      <c r="G382" s="32">
        <v>6.0359999999999996</v>
      </c>
      <c r="H382" s="21">
        <f t="shared" si="13"/>
        <v>-3.3025099075297826E-3</v>
      </c>
    </row>
    <row r="383" spans="2:8" x14ac:dyDescent="0.25">
      <c r="B383" s="30">
        <v>44362</v>
      </c>
      <c r="C383" s="31">
        <v>15869.25</v>
      </c>
      <c r="D383" s="21">
        <f t="shared" si="12"/>
        <v>3.6301887508418673E-3</v>
      </c>
      <c r="F383" s="30">
        <v>44377</v>
      </c>
      <c r="G383" s="32">
        <v>6.0510000000000002</v>
      </c>
      <c r="H383" s="21">
        <f t="shared" si="13"/>
        <v>2.4850894632206799E-3</v>
      </c>
    </row>
    <row r="384" spans="2:8" x14ac:dyDescent="0.25">
      <c r="B384" s="30">
        <v>44363</v>
      </c>
      <c r="C384" s="31">
        <v>15767.55</v>
      </c>
      <c r="D384" s="21">
        <f t="shared" si="12"/>
        <v>-6.4086204452006301E-3</v>
      </c>
      <c r="F384" s="30">
        <v>44378</v>
      </c>
      <c r="G384" s="32">
        <v>6.0389999999999997</v>
      </c>
      <c r="H384" s="21">
        <f t="shared" si="13"/>
        <v>-1.983143282102251E-3</v>
      </c>
    </row>
    <row r="385" spans="2:8" x14ac:dyDescent="0.25">
      <c r="B385" s="30">
        <v>44364</v>
      </c>
      <c r="C385" s="31">
        <v>15691.4</v>
      </c>
      <c r="D385" s="21">
        <f t="shared" si="12"/>
        <v>-4.8295391484409755E-3</v>
      </c>
      <c r="F385" s="30">
        <v>44379</v>
      </c>
      <c r="G385" s="32">
        <v>6.0650000000000004</v>
      </c>
      <c r="H385" s="21">
        <f t="shared" si="13"/>
        <v>4.305348567643863E-3</v>
      </c>
    </row>
    <row r="386" spans="2:8" x14ac:dyDescent="0.25">
      <c r="B386" s="30">
        <v>44365</v>
      </c>
      <c r="C386" s="31">
        <v>15683.35</v>
      </c>
      <c r="D386" s="21">
        <f t="shared" si="12"/>
        <v>-5.1301987075713651E-4</v>
      </c>
      <c r="F386" s="30">
        <v>44382</v>
      </c>
      <c r="G386" s="32">
        <v>6.0880000000000001</v>
      </c>
      <c r="H386" s="21">
        <f t="shared" si="13"/>
        <v>3.7922506183016846E-3</v>
      </c>
    </row>
    <row r="387" spans="2:8" x14ac:dyDescent="0.25">
      <c r="B387" s="30">
        <v>44368</v>
      </c>
      <c r="C387" s="31">
        <v>15746.5</v>
      </c>
      <c r="D387" s="21">
        <f t="shared" si="12"/>
        <v>4.0265632023770426E-3</v>
      </c>
      <c r="F387" s="30">
        <v>44383</v>
      </c>
      <c r="G387" s="32">
        <v>6.1749999999999998</v>
      </c>
      <c r="H387" s="21">
        <f t="shared" si="13"/>
        <v>1.4290407358738433E-2</v>
      </c>
    </row>
    <row r="388" spans="2:8" x14ac:dyDescent="0.25">
      <c r="B388" s="30">
        <v>44369</v>
      </c>
      <c r="C388" s="31">
        <v>15772.75</v>
      </c>
      <c r="D388" s="21">
        <f t="shared" si="12"/>
        <v>1.6670371193598932E-3</v>
      </c>
      <c r="F388" s="30">
        <v>44384</v>
      </c>
      <c r="G388" s="32">
        <v>6.1639999999999997</v>
      </c>
      <c r="H388" s="21">
        <f t="shared" si="13"/>
        <v>-1.7813765182186359E-3</v>
      </c>
    </row>
    <row r="389" spans="2:8" x14ac:dyDescent="0.25">
      <c r="B389" s="30">
        <v>44370</v>
      </c>
      <c r="C389" s="31">
        <v>15686.95</v>
      </c>
      <c r="D389" s="21">
        <f t="shared" si="12"/>
        <v>-5.4397616141762528E-3</v>
      </c>
      <c r="F389" s="30">
        <v>44385</v>
      </c>
      <c r="G389" s="32">
        <v>6.1239999999999997</v>
      </c>
      <c r="H389" s="21">
        <f t="shared" si="13"/>
        <v>-6.4892926670993001E-3</v>
      </c>
    </row>
    <row r="390" spans="2:8" x14ac:dyDescent="0.25">
      <c r="B390" s="30">
        <v>44371</v>
      </c>
      <c r="C390" s="31">
        <v>15790.45</v>
      </c>
      <c r="D390" s="21">
        <f t="shared" si="12"/>
        <v>6.5978408804769906E-3</v>
      </c>
      <c r="F390" s="30">
        <v>44386</v>
      </c>
      <c r="G390" s="32">
        <v>6.1859999999999999</v>
      </c>
      <c r="H390" s="21">
        <f t="shared" si="13"/>
        <v>1.0124101894186888E-2</v>
      </c>
    </row>
    <row r="391" spans="2:8" x14ac:dyDescent="0.25">
      <c r="B391" s="30">
        <v>44372</v>
      </c>
      <c r="C391" s="31">
        <v>15860.35</v>
      </c>
      <c r="D391" s="21">
        <f t="shared" si="12"/>
        <v>4.4267262807582419E-3</v>
      </c>
      <c r="F391" s="30">
        <v>44389</v>
      </c>
      <c r="G391" s="32">
        <v>6.22</v>
      </c>
      <c r="H391" s="21">
        <f t="shared" si="13"/>
        <v>5.4962819269317453E-3</v>
      </c>
    </row>
    <row r="392" spans="2:8" x14ac:dyDescent="0.25">
      <c r="B392" s="30">
        <v>44375</v>
      </c>
      <c r="C392" s="31">
        <v>15814.7</v>
      </c>
      <c r="D392" s="21">
        <f t="shared" si="12"/>
        <v>-2.8782466969518028E-3</v>
      </c>
      <c r="F392" s="30">
        <v>44390</v>
      </c>
      <c r="G392" s="32">
        <v>6.1029999999999998</v>
      </c>
      <c r="H392" s="21">
        <f t="shared" si="13"/>
        <v>-1.881028938906748E-2</v>
      </c>
    </row>
    <row r="393" spans="2:8" x14ac:dyDescent="0.25">
      <c r="B393" s="30">
        <v>44376</v>
      </c>
      <c r="C393" s="31">
        <v>15748.45</v>
      </c>
      <c r="D393" s="21">
        <f t="shared" si="12"/>
        <v>-4.1891404832212764E-3</v>
      </c>
      <c r="F393" s="30">
        <v>44391</v>
      </c>
      <c r="G393" s="32">
        <v>6.109</v>
      </c>
      <c r="H393" s="21">
        <f t="shared" si="13"/>
        <v>9.8312305423564617E-4</v>
      </c>
    </row>
    <row r="394" spans="2:8" x14ac:dyDescent="0.25">
      <c r="B394" s="30">
        <v>44377</v>
      </c>
      <c r="C394" s="31">
        <v>15721.5</v>
      </c>
      <c r="D394" s="21">
        <f t="shared" si="12"/>
        <v>-1.7112795227467448E-3</v>
      </c>
      <c r="F394" s="30">
        <v>44392</v>
      </c>
      <c r="G394" s="32">
        <v>6.117</v>
      </c>
      <c r="H394" s="21">
        <f t="shared" si="13"/>
        <v>1.3095432967753506E-3</v>
      </c>
    </row>
    <row r="395" spans="2:8" x14ac:dyDescent="0.25">
      <c r="B395" s="30">
        <v>44378</v>
      </c>
      <c r="C395" s="31">
        <v>15680</v>
      </c>
      <c r="D395" s="21">
        <f t="shared" si="12"/>
        <v>-2.639697229908089E-3</v>
      </c>
      <c r="F395" s="30">
        <v>44393</v>
      </c>
      <c r="G395" s="32">
        <v>6.13</v>
      </c>
      <c r="H395" s="21">
        <f t="shared" si="13"/>
        <v>2.1252247833905002E-3</v>
      </c>
    </row>
    <row r="396" spans="2:8" x14ac:dyDescent="0.25">
      <c r="B396" s="30">
        <v>44379</v>
      </c>
      <c r="C396" s="31">
        <v>15722.2</v>
      </c>
      <c r="D396" s="21">
        <f t="shared" si="12"/>
        <v>2.6913265306123257E-3</v>
      </c>
      <c r="F396" s="30">
        <v>44396</v>
      </c>
      <c r="G396" s="32">
        <v>6.1269999999999998</v>
      </c>
      <c r="H396" s="21">
        <f t="shared" si="13"/>
        <v>-4.8939641109302379E-4</v>
      </c>
    </row>
    <row r="397" spans="2:8" x14ac:dyDescent="0.25">
      <c r="B397" s="30">
        <v>44382</v>
      </c>
      <c r="C397" s="31">
        <v>15834.35</v>
      </c>
      <c r="D397" s="21">
        <f t="shared" si="12"/>
        <v>7.1332256300009611E-3</v>
      </c>
      <c r="F397" s="30">
        <v>44397</v>
      </c>
      <c r="G397" s="32">
        <v>6.1189999999999998</v>
      </c>
      <c r="H397" s="21">
        <f t="shared" si="13"/>
        <v>-1.3056960992329225E-3</v>
      </c>
    </row>
    <row r="398" spans="2:8" x14ac:dyDescent="0.25">
      <c r="B398" s="30">
        <v>44383</v>
      </c>
      <c r="C398" s="31">
        <v>15818.25</v>
      </c>
      <c r="D398" s="21">
        <f t="shared" si="12"/>
        <v>-1.0167768174885738E-3</v>
      </c>
      <c r="F398" s="30">
        <v>44399</v>
      </c>
      <c r="G398" s="32">
        <v>6.1379999999999999</v>
      </c>
      <c r="H398" s="21">
        <f t="shared" si="13"/>
        <v>3.1050825298251095E-3</v>
      </c>
    </row>
    <row r="399" spans="2:8" x14ac:dyDescent="0.25">
      <c r="B399" s="30">
        <v>44384</v>
      </c>
      <c r="C399" s="31">
        <v>15879.65</v>
      </c>
      <c r="D399" s="21">
        <f t="shared" si="12"/>
        <v>3.8815924644002298E-3</v>
      </c>
      <c r="F399" s="30">
        <v>44400</v>
      </c>
      <c r="G399" s="32">
        <v>6.165</v>
      </c>
      <c r="H399" s="21">
        <f t="shared" si="13"/>
        <v>4.3988269794721369E-3</v>
      </c>
    </row>
    <row r="400" spans="2:8" x14ac:dyDescent="0.25">
      <c r="B400" s="30">
        <v>44385</v>
      </c>
      <c r="C400" s="31">
        <v>15727.9</v>
      </c>
      <c r="D400" s="21">
        <f t="shared" si="12"/>
        <v>-9.5562559628203925E-3</v>
      </c>
      <c r="F400" s="30">
        <v>44403</v>
      </c>
      <c r="G400" s="32">
        <v>6.1689999999999996</v>
      </c>
      <c r="H400" s="21">
        <f t="shared" si="13"/>
        <v>6.4882400648813565E-4</v>
      </c>
    </row>
    <row r="401" spans="2:8" x14ac:dyDescent="0.25">
      <c r="B401" s="30">
        <v>44386</v>
      </c>
      <c r="C401" s="31">
        <v>15689.8</v>
      </c>
      <c r="D401" s="21">
        <f t="shared" si="12"/>
        <v>-2.4224467347834233E-3</v>
      </c>
      <c r="F401" s="30">
        <v>44404</v>
      </c>
      <c r="G401" s="32">
        <v>6.1779999999999999</v>
      </c>
      <c r="H401" s="21">
        <f t="shared" si="13"/>
        <v>1.4589074404280922E-3</v>
      </c>
    </row>
    <row r="402" spans="2:8" x14ac:dyDescent="0.25">
      <c r="B402" s="30">
        <v>44389</v>
      </c>
      <c r="C402" s="31">
        <v>15692.6</v>
      </c>
      <c r="D402" s="21">
        <f t="shared" si="12"/>
        <v>1.7845989113962624E-4</v>
      </c>
      <c r="F402" s="30">
        <v>44405</v>
      </c>
      <c r="G402" s="32">
        <v>6.1879999999999997</v>
      </c>
      <c r="H402" s="21">
        <f t="shared" si="13"/>
        <v>1.6186468112657781E-3</v>
      </c>
    </row>
    <row r="403" spans="2:8" x14ac:dyDescent="0.25">
      <c r="B403" s="30">
        <v>44390</v>
      </c>
      <c r="C403" s="31">
        <v>15812.35</v>
      </c>
      <c r="D403" s="21">
        <f t="shared" si="12"/>
        <v>7.6309853051756971E-3</v>
      </c>
      <c r="F403" s="30">
        <v>44406</v>
      </c>
      <c r="G403" s="32">
        <v>6.1980000000000004</v>
      </c>
      <c r="H403" s="21">
        <f t="shared" si="13"/>
        <v>1.61603102779595E-3</v>
      </c>
    </row>
    <row r="404" spans="2:8" x14ac:dyDescent="0.25">
      <c r="B404" s="30">
        <v>44391</v>
      </c>
      <c r="C404" s="31">
        <v>15853.95</v>
      </c>
      <c r="D404" s="21">
        <f t="shared" si="12"/>
        <v>2.6308549962530403E-3</v>
      </c>
      <c r="F404" s="30">
        <v>44407</v>
      </c>
      <c r="G404" s="32">
        <v>6.2039999999999997</v>
      </c>
      <c r="H404" s="21">
        <f t="shared" si="13"/>
        <v>9.6805421103574041E-4</v>
      </c>
    </row>
    <row r="405" spans="2:8" x14ac:dyDescent="0.25">
      <c r="B405" s="30">
        <v>44392</v>
      </c>
      <c r="C405" s="31">
        <v>15924.2</v>
      </c>
      <c r="D405" s="21">
        <f t="shared" si="12"/>
        <v>4.4310723825924381E-3</v>
      </c>
      <c r="F405" s="30">
        <v>44410</v>
      </c>
      <c r="G405" s="32">
        <v>6.1970000000000001</v>
      </c>
      <c r="H405" s="21">
        <f t="shared" si="13"/>
        <v>-1.1283043197936049E-3</v>
      </c>
    </row>
    <row r="406" spans="2:8" x14ac:dyDescent="0.25">
      <c r="B406" s="30">
        <v>44393</v>
      </c>
      <c r="C406" s="31">
        <v>15923.4</v>
      </c>
      <c r="D406" s="21">
        <f t="shared" ref="D406:D469" si="14">C406/C405-1</f>
        <v>-5.023800253711741E-5</v>
      </c>
      <c r="F406" s="30">
        <v>44411</v>
      </c>
      <c r="G406" s="32">
        <v>6.2</v>
      </c>
      <c r="H406" s="21">
        <f t="shared" ref="H406:H469" si="15">G406/G405-1</f>
        <v>4.8410521219954816E-4</v>
      </c>
    </row>
    <row r="407" spans="2:8" x14ac:dyDescent="0.25">
      <c r="B407" s="30">
        <v>44396</v>
      </c>
      <c r="C407" s="31">
        <v>15752.4</v>
      </c>
      <c r="D407" s="21">
        <f t="shared" si="14"/>
        <v>-1.0738912543803436E-2</v>
      </c>
      <c r="F407" s="30">
        <v>44412</v>
      </c>
      <c r="G407" s="32">
        <v>6.1989999999999998</v>
      </c>
      <c r="H407" s="21">
        <f t="shared" si="15"/>
        <v>-1.6129032258072051E-4</v>
      </c>
    </row>
    <row r="408" spans="2:8" x14ac:dyDescent="0.25">
      <c r="B408" s="30">
        <v>44397</v>
      </c>
      <c r="C408" s="31">
        <v>15632.1</v>
      </c>
      <c r="D408" s="21">
        <f t="shared" si="14"/>
        <v>-7.6369315151976203E-3</v>
      </c>
      <c r="F408" s="30">
        <v>44413</v>
      </c>
      <c r="G408" s="32">
        <v>6.2069999999999999</v>
      </c>
      <c r="H408" s="21">
        <f t="shared" si="15"/>
        <v>1.2905307307631286E-3</v>
      </c>
    </row>
    <row r="409" spans="2:8" x14ac:dyDescent="0.25">
      <c r="B409" s="30">
        <v>44399</v>
      </c>
      <c r="C409" s="31">
        <v>15824.05</v>
      </c>
      <c r="D409" s="21">
        <f t="shared" si="14"/>
        <v>1.2279220322285456E-2</v>
      </c>
      <c r="F409" s="30">
        <v>44414</v>
      </c>
      <c r="G409" s="32">
        <v>6.234</v>
      </c>
      <c r="H409" s="21">
        <f t="shared" si="15"/>
        <v>4.3499275012084393E-3</v>
      </c>
    </row>
    <row r="410" spans="2:8" x14ac:dyDescent="0.25">
      <c r="B410" s="30">
        <v>44400</v>
      </c>
      <c r="C410" s="31">
        <v>15856.05</v>
      </c>
      <c r="D410" s="21">
        <f t="shared" si="14"/>
        <v>2.022238301825352E-3</v>
      </c>
      <c r="F410" s="30">
        <v>44417</v>
      </c>
      <c r="G410" s="32">
        <v>6.2210000000000001</v>
      </c>
      <c r="H410" s="21">
        <f t="shared" si="15"/>
        <v>-2.0853384664741847E-3</v>
      </c>
    </row>
    <row r="411" spans="2:8" x14ac:dyDescent="0.25">
      <c r="B411" s="30">
        <v>44403</v>
      </c>
      <c r="C411" s="31">
        <v>15824.45</v>
      </c>
      <c r="D411" s="21">
        <f t="shared" si="14"/>
        <v>-1.9929301433836422E-3</v>
      </c>
      <c r="F411" s="30">
        <v>44418</v>
      </c>
      <c r="G411" s="32">
        <v>6.2329999999999997</v>
      </c>
      <c r="H411" s="21">
        <f t="shared" si="15"/>
        <v>1.928950329529E-3</v>
      </c>
    </row>
    <row r="412" spans="2:8" x14ac:dyDescent="0.25">
      <c r="B412" s="30">
        <v>44404</v>
      </c>
      <c r="C412" s="31">
        <v>15746.45</v>
      </c>
      <c r="D412" s="21">
        <f t="shared" si="14"/>
        <v>-4.929081263487789E-3</v>
      </c>
      <c r="F412" s="30">
        <v>44419</v>
      </c>
      <c r="G412" s="32">
        <v>6.2359999999999998</v>
      </c>
      <c r="H412" s="21">
        <f t="shared" si="15"/>
        <v>4.8130916091770892E-4</v>
      </c>
    </row>
    <row r="413" spans="2:8" x14ac:dyDescent="0.25">
      <c r="B413" s="30">
        <v>44405</v>
      </c>
      <c r="C413" s="31">
        <v>15709.4</v>
      </c>
      <c r="D413" s="21">
        <f t="shared" si="14"/>
        <v>-2.3529112911164773E-3</v>
      </c>
      <c r="F413" s="30">
        <v>44420</v>
      </c>
      <c r="G413" s="32">
        <v>6.226</v>
      </c>
      <c r="H413" s="21">
        <f t="shared" si="15"/>
        <v>-1.603592046183433E-3</v>
      </c>
    </row>
    <row r="414" spans="2:8" x14ac:dyDescent="0.25">
      <c r="B414" s="30">
        <v>44406</v>
      </c>
      <c r="C414" s="31">
        <v>15778.45</v>
      </c>
      <c r="D414" s="21">
        <f t="shared" si="14"/>
        <v>4.3954574967854931E-3</v>
      </c>
      <c r="F414" s="30">
        <v>44421</v>
      </c>
      <c r="G414" s="32">
        <v>6.2409999999999997</v>
      </c>
      <c r="H414" s="21">
        <f t="shared" si="15"/>
        <v>2.4092515258593572E-3</v>
      </c>
    </row>
    <row r="415" spans="2:8" x14ac:dyDescent="0.25">
      <c r="B415" s="30">
        <v>44407</v>
      </c>
      <c r="C415" s="31">
        <v>15763.05</v>
      </c>
      <c r="D415" s="21">
        <f t="shared" si="14"/>
        <v>-9.7601475430109108E-4</v>
      </c>
      <c r="F415" s="30">
        <v>44425</v>
      </c>
      <c r="G415" s="32">
        <v>6.234</v>
      </c>
      <c r="H415" s="21">
        <f t="shared" si="15"/>
        <v>-1.121615125781128E-3</v>
      </c>
    </row>
    <row r="416" spans="2:8" x14ac:dyDescent="0.25">
      <c r="B416" s="30">
        <v>44410</v>
      </c>
      <c r="C416" s="31">
        <v>15885.15</v>
      </c>
      <c r="D416" s="21">
        <f t="shared" si="14"/>
        <v>7.7459628688609783E-3</v>
      </c>
      <c r="F416" s="30">
        <v>44426</v>
      </c>
      <c r="G416" s="32">
        <v>6.2279999999999998</v>
      </c>
      <c r="H416" s="21">
        <f t="shared" si="15"/>
        <v>-9.6246390760346134E-4</v>
      </c>
    </row>
    <row r="417" spans="2:8" x14ac:dyDescent="0.25">
      <c r="B417" s="30">
        <v>44411</v>
      </c>
      <c r="C417" s="31">
        <v>16130.75</v>
      </c>
      <c r="D417" s="21">
        <f t="shared" si="14"/>
        <v>1.5460980853186701E-2</v>
      </c>
      <c r="F417" s="30">
        <v>44428</v>
      </c>
      <c r="G417" s="32">
        <v>6.234</v>
      </c>
      <c r="H417" s="21">
        <f t="shared" si="15"/>
        <v>9.6339113680166122E-4</v>
      </c>
    </row>
    <row r="418" spans="2:8" x14ac:dyDescent="0.25">
      <c r="B418" s="30">
        <v>44412</v>
      </c>
      <c r="C418" s="31">
        <v>16258.8</v>
      </c>
      <c r="D418" s="21">
        <f t="shared" si="14"/>
        <v>7.9382545758877043E-3</v>
      </c>
      <c r="F418" s="30">
        <v>44431</v>
      </c>
      <c r="G418" s="32">
        <v>6.2430000000000003</v>
      </c>
      <c r="H418" s="21">
        <f t="shared" si="15"/>
        <v>1.4436958614052475E-3</v>
      </c>
    </row>
    <row r="419" spans="2:8" x14ac:dyDescent="0.25">
      <c r="B419" s="30">
        <v>44413</v>
      </c>
      <c r="C419" s="31">
        <v>16294.6</v>
      </c>
      <c r="D419" s="21">
        <f t="shared" si="14"/>
        <v>2.201884517922581E-3</v>
      </c>
      <c r="F419" s="30">
        <v>44432</v>
      </c>
      <c r="G419" s="32">
        <v>6.25</v>
      </c>
      <c r="H419" s="21">
        <f t="shared" si="15"/>
        <v>1.1212558065032407E-3</v>
      </c>
    </row>
    <row r="420" spans="2:8" x14ac:dyDescent="0.25">
      <c r="B420" s="30">
        <v>44414</v>
      </c>
      <c r="C420" s="31">
        <v>16238.2</v>
      </c>
      <c r="D420" s="21">
        <f t="shared" si="14"/>
        <v>-3.4612693775851744E-3</v>
      </c>
      <c r="F420" s="30">
        <v>44433</v>
      </c>
      <c r="G420" s="32">
        <v>6.2409999999999997</v>
      </c>
      <c r="H420" s="21">
        <f t="shared" si="15"/>
        <v>-1.4400000000001079E-3</v>
      </c>
    </row>
    <row r="421" spans="2:8" x14ac:dyDescent="0.25">
      <c r="B421" s="30">
        <v>44417</v>
      </c>
      <c r="C421" s="31">
        <v>16258.25</v>
      </c>
      <c r="D421" s="21">
        <f t="shared" si="14"/>
        <v>1.2347427670553746E-3</v>
      </c>
      <c r="F421" s="30">
        <v>44434</v>
      </c>
      <c r="G421" s="32">
        <v>6.2510000000000003</v>
      </c>
      <c r="H421" s="21">
        <f t="shared" si="15"/>
        <v>1.6023073225446272E-3</v>
      </c>
    </row>
    <row r="422" spans="2:8" x14ac:dyDescent="0.25">
      <c r="B422" s="30">
        <v>44418</v>
      </c>
      <c r="C422" s="31">
        <v>16280.1</v>
      </c>
      <c r="D422" s="21">
        <f t="shared" si="14"/>
        <v>1.3439330801285898E-3</v>
      </c>
      <c r="F422" s="30">
        <v>44435</v>
      </c>
      <c r="G422" s="32">
        <v>6.2539999999999996</v>
      </c>
      <c r="H422" s="21">
        <f t="shared" si="15"/>
        <v>4.7992321228584878E-4</v>
      </c>
    </row>
    <row r="423" spans="2:8" x14ac:dyDescent="0.25">
      <c r="B423" s="30">
        <v>44419</v>
      </c>
      <c r="C423" s="31">
        <v>16282.25</v>
      </c>
      <c r="D423" s="21">
        <f t="shared" si="14"/>
        <v>1.3206307086566227E-4</v>
      </c>
      <c r="F423" s="30">
        <v>44438</v>
      </c>
      <c r="G423" s="32">
        <v>6.2249999999999996</v>
      </c>
      <c r="H423" s="21">
        <f t="shared" si="15"/>
        <v>-4.6370322993284363E-3</v>
      </c>
    </row>
    <row r="424" spans="2:8" x14ac:dyDescent="0.25">
      <c r="B424" s="30">
        <v>44420</v>
      </c>
      <c r="C424" s="31">
        <v>16364.4</v>
      </c>
      <c r="D424" s="21">
        <f t="shared" si="14"/>
        <v>5.0453714934974858E-3</v>
      </c>
      <c r="F424" s="30">
        <v>44439</v>
      </c>
      <c r="G424" s="32">
        <v>6.2149999999999999</v>
      </c>
      <c r="H424" s="21">
        <f t="shared" si="15"/>
        <v>-1.6064257028112205E-3</v>
      </c>
    </row>
    <row r="425" spans="2:8" x14ac:dyDescent="0.25">
      <c r="B425" s="30">
        <v>44421</v>
      </c>
      <c r="C425" s="31">
        <v>16529.099999999999</v>
      </c>
      <c r="D425" s="21">
        <f t="shared" si="14"/>
        <v>1.006453032191823E-2</v>
      </c>
      <c r="F425" s="30">
        <v>44440</v>
      </c>
      <c r="G425" s="32">
        <v>6.1989999999999998</v>
      </c>
      <c r="H425" s="21">
        <f t="shared" si="15"/>
        <v>-2.5744167337087287E-3</v>
      </c>
    </row>
    <row r="426" spans="2:8" x14ac:dyDescent="0.25">
      <c r="B426" s="30">
        <v>44424</v>
      </c>
      <c r="C426" s="31">
        <v>16563.05</v>
      </c>
      <c r="D426" s="21">
        <f t="shared" si="14"/>
        <v>2.0539533307923907E-3</v>
      </c>
      <c r="F426" s="30">
        <v>44441</v>
      </c>
      <c r="G426" s="32">
        <v>6.1710000000000003</v>
      </c>
      <c r="H426" s="21">
        <f t="shared" si="15"/>
        <v>-4.5168575576705061E-3</v>
      </c>
    </row>
    <row r="427" spans="2:8" x14ac:dyDescent="0.25">
      <c r="B427" s="30">
        <v>44425</v>
      </c>
      <c r="C427" s="31">
        <v>16614.599999999999</v>
      </c>
      <c r="D427" s="21">
        <f t="shared" si="14"/>
        <v>3.1123494766964743E-3</v>
      </c>
      <c r="F427" s="30">
        <v>44442</v>
      </c>
      <c r="G427" s="32">
        <v>6.1559999999999997</v>
      </c>
      <c r="H427" s="21">
        <f t="shared" si="15"/>
        <v>-2.430724355858116E-3</v>
      </c>
    </row>
    <row r="428" spans="2:8" x14ac:dyDescent="0.25">
      <c r="B428" s="30">
        <v>44426</v>
      </c>
      <c r="C428" s="31">
        <v>16568.849999999999</v>
      </c>
      <c r="D428" s="21">
        <f t="shared" si="14"/>
        <v>-2.7536022534397908E-3</v>
      </c>
      <c r="F428" s="30">
        <v>44445</v>
      </c>
      <c r="G428" s="32">
        <v>6.173</v>
      </c>
      <c r="H428" s="21">
        <f t="shared" si="15"/>
        <v>2.7615334632880018E-3</v>
      </c>
    </row>
    <row r="429" spans="2:8" x14ac:dyDescent="0.25">
      <c r="B429" s="30">
        <v>44428</v>
      </c>
      <c r="C429" s="31">
        <v>16450.5</v>
      </c>
      <c r="D429" s="21">
        <f t="shared" si="14"/>
        <v>-7.1429218080916179E-3</v>
      </c>
      <c r="F429" s="30">
        <v>44446</v>
      </c>
      <c r="G429" s="32">
        <v>6.1950000000000003</v>
      </c>
      <c r="H429" s="21">
        <f t="shared" si="15"/>
        <v>3.5639073384092779E-3</v>
      </c>
    </row>
    <row r="430" spans="2:8" x14ac:dyDescent="0.25">
      <c r="B430" s="30">
        <v>44431</v>
      </c>
      <c r="C430" s="31">
        <v>16496.45</v>
      </c>
      <c r="D430" s="21">
        <f t="shared" si="14"/>
        <v>2.7932281693565653E-3</v>
      </c>
      <c r="F430" s="30">
        <v>44447</v>
      </c>
      <c r="G430" s="32">
        <v>6.1879999999999997</v>
      </c>
      <c r="H430" s="21">
        <f t="shared" si="15"/>
        <v>-1.129943502824915E-3</v>
      </c>
    </row>
    <row r="431" spans="2:8" x14ac:dyDescent="0.25">
      <c r="B431" s="30">
        <v>44432</v>
      </c>
      <c r="C431" s="31">
        <v>16624.599999999999</v>
      </c>
      <c r="D431" s="21">
        <f t="shared" si="14"/>
        <v>7.7683380363653409E-3</v>
      </c>
      <c r="F431" s="30">
        <v>44448</v>
      </c>
      <c r="G431" s="32">
        <v>6.1779999999999999</v>
      </c>
      <c r="H431" s="21">
        <f t="shared" si="15"/>
        <v>-1.6160310277957279E-3</v>
      </c>
    </row>
    <row r="432" spans="2:8" x14ac:dyDescent="0.25">
      <c r="B432" s="30">
        <v>44433</v>
      </c>
      <c r="C432" s="31">
        <v>16634.650000000001</v>
      </c>
      <c r="D432" s="21">
        <f t="shared" si="14"/>
        <v>6.0452582317793713E-4</v>
      </c>
      <c r="F432" s="30">
        <v>44452</v>
      </c>
      <c r="G432" s="32">
        <v>6.1920000000000002</v>
      </c>
      <c r="H432" s="21">
        <f t="shared" si="15"/>
        <v>2.2661055357722226E-3</v>
      </c>
    </row>
    <row r="433" spans="2:8" x14ac:dyDescent="0.25">
      <c r="B433" s="30">
        <v>44434</v>
      </c>
      <c r="C433" s="31">
        <v>16636.900000000001</v>
      </c>
      <c r="D433" s="21">
        <f t="shared" si="14"/>
        <v>1.3525983414131026E-4</v>
      </c>
      <c r="F433" s="30">
        <v>44453</v>
      </c>
      <c r="G433" s="32">
        <v>6.1980000000000004</v>
      </c>
      <c r="H433" s="21">
        <f t="shared" si="15"/>
        <v>9.6899224806201723E-4</v>
      </c>
    </row>
    <row r="434" spans="2:8" x14ac:dyDescent="0.25">
      <c r="B434" s="30">
        <v>44435</v>
      </c>
      <c r="C434" s="31">
        <v>16705.2</v>
      </c>
      <c r="D434" s="21">
        <f t="shared" si="14"/>
        <v>4.1053321231718787E-3</v>
      </c>
      <c r="F434" s="30">
        <v>44454</v>
      </c>
      <c r="G434" s="32">
        <v>6.1630000000000003</v>
      </c>
      <c r="H434" s="21">
        <f t="shared" si="15"/>
        <v>-5.6469828977089298E-3</v>
      </c>
    </row>
    <row r="435" spans="2:8" x14ac:dyDescent="0.25">
      <c r="B435" s="30">
        <v>44438</v>
      </c>
      <c r="C435" s="31">
        <v>16931.05</v>
      </c>
      <c r="D435" s="21">
        <f t="shared" si="14"/>
        <v>1.3519742355673658E-2</v>
      </c>
      <c r="F435" s="30">
        <v>44455</v>
      </c>
      <c r="G435" s="32">
        <v>6.1689999999999996</v>
      </c>
      <c r="H435" s="21">
        <f t="shared" si="15"/>
        <v>9.7355184163538944E-4</v>
      </c>
    </row>
    <row r="436" spans="2:8" x14ac:dyDescent="0.25">
      <c r="B436" s="30">
        <v>44439</v>
      </c>
      <c r="C436" s="31">
        <v>17132.2</v>
      </c>
      <c r="D436" s="21">
        <f t="shared" si="14"/>
        <v>1.1880539009689439E-2</v>
      </c>
      <c r="F436" s="30">
        <v>44456</v>
      </c>
      <c r="G436" s="32">
        <v>6.1669999999999998</v>
      </c>
      <c r="H436" s="21">
        <f t="shared" si="15"/>
        <v>-3.2420165342839091E-4</v>
      </c>
    </row>
    <row r="437" spans="2:8" x14ac:dyDescent="0.25">
      <c r="B437" s="30">
        <v>44440</v>
      </c>
      <c r="C437" s="31">
        <v>17076.25</v>
      </c>
      <c r="D437" s="21">
        <f t="shared" si="14"/>
        <v>-3.2657802267076486E-3</v>
      </c>
      <c r="F437" s="30">
        <v>44459</v>
      </c>
      <c r="G437" s="32">
        <v>6.1379999999999999</v>
      </c>
      <c r="H437" s="21">
        <f t="shared" si="15"/>
        <v>-4.7024485162964202E-3</v>
      </c>
    </row>
    <row r="438" spans="2:8" x14ac:dyDescent="0.25">
      <c r="B438" s="30">
        <v>44441</v>
      </c>
      <c r="C438" s="31">
        <v>17234.150000000001</v>
      </c>
      <c r="D438" s="21">
        <f t="shared" si="14"/>
        <v>9.2467608520607758E-3</v>
      </c>
      <c r="F438" s="30">
        <v>44460</v>
      </c>
      <c r="G438" s="32">
        <v>6.1219999999999999</v>
      </c>
      <c r="H438" s="21">
        <f t="shared" si="15"/>
        <v>-2.6067122841316737E-3</v>
      </c>
    </row>
    <row r="439" spans="2:8" x14ac:dyDescent="0.25">
      <c r="B439" s="30">
        <v>44442</v>
      </c>
      <c r="C439" s="31">
        <v>17323.599999999999</v>
      </c>
      <c r="D439" s="21">
        <f t="shared" si="14"/>
        <v>5.1902762828452964E-3</v>
      </c>
      <c r="F439" s="30">
        <v>44461</v>
      </c>
      <c r="G439" s="32">
        <v>6.1379999999999999</v>
      </c>
      <c r="H439" s="21">
        <f t="shared" si="15"/>
        <v>2.6135249918326497E-3</v>
      </c>
    </row>
    <row r="440" spans="2:8" x14ac:dyDescent="0.25">
      <c r="B440" s="30">
        <v>44445</v>
      </c>
      <c r="C440" s="31">
        <v>17377.8</v>
      </c>
      <c r="D440" s="21">
        <f t="shared" si="14"/>
        <v>3.1286799510494845E-3</v>
      </c>
      <c r="F440" s="30">
        <v>44462</v>
      </c>
      <c r="G440" s="32">
        <v>6.14</v>
      </c>
      <c r="H440" s="21">
        <f t="shared" si="15"/>
        <v>3.258390355165286E-4</v>
      </c>
    </row>
    <row r="441" spans="2:8" x14ac:dyDescent="0.25">
      <c r="B441" s="30">
        <v>44446</v>
      </c>
      <c r="C441" s="31">
        <v>17362.099999999999</v>
      </c>
      <c r="D441" s="21">
        <f t="shared" si="14"/>
        <v>-9.0345153011317514E-4</v>
      </c>
      <c r="F441" s="30">
        <v>44463</v>
      </c>
      <c r="G441" s="32">
        <v>6.181</v>
      </c>
      <c r="H441" s="21">
        <f t="shared" si="15"/>
        <v>6.6775244299674963E-3</v>
      </c>
    </row>
    <row r="442" spans="2:8" x14ac:dyDescent="0.25">
      <c r="B442" s="30">
        <v>44447</v>
      </c>
      <c r="C442" s="31">
        <v>17353.5</v>
      </c>
      <c r="D442" s="21">
        <f t="shared" si="14"/>
        <v>-4.9533178590144278E-4</v>
      </c>
      <c r="F442" s="30">
        <v>44466</v>
      </c>
      <c r="G442" s="32">
        <v>6.2089999999999996</v>
      </c>
      <c r="H442" s="21">
        <f t="shared" si="15"/>
        <v>4.5300113250281715E-3</v>
      </c>
    </row>
    <row r="443" spans="2:8" x14ac:dyDescent="0.25">
      <c r="B443" s="30">
        <v>44448</v>
      </c>
      <c r="C443" s="31">
        <v>17369.25</v>
      </c>
      <c r="D443" s="21">
        <f t="shared" si="14"/>
        <v>9.0759789091543475E-4</v>
      </c>
      <c r="F443" s="30">
        <v>44467</v>
      </c>
      <c r="G443" s="32">
        <v>6.2279999999999998</v>
      </c>
      <c r="H443" s="21">
        <f t="shared" si="15"/>
        <v>3.060074086004283E-3</v>
      </c>
    </row>
    <row r="444" spans="2:8" x14ac:dyDescent="0.25">
      <c r="B444" s="30">
        <v>44452</v>
      </c>
      <c r="C444" s="31">
        <v>17355.3</v>
      </c>
      <c r="D444" s="21">
        <f t="shared" si="14"/>
        <v>-8.0314348633370169E-4</v>
      </c>
      <c r="F444" s="30">
        <v>44468</v>
      </c>
      <c r="G444" s="32">
        <v>6.2060000000000004</v>
      </c>
      <c r="H444" s="21">
        <f t="shared" si="15"/>
        <v>-3.5324341682722027E-3</v>
      </c>
    </row>
    <row r="445" spans="2:8" x14ac:dyDescent="0.25">
      <c r="B445" s="30">
        <v>44453</v>
      </c>
      <c r="C445" s="31">
        <v>17380</v>
      </c>
      <c r="D445" s="21">
        <f t="shared" si="14"/>
        <v>1.4231963722897145E-3</v>
      </c>
      <c r="F445" s="30">
        <v>44469</v>
      </c>
      <c r="G445" s="32">
        <v>6.2229999999999999</v>
      </c>
      <c r="H445" s="21">
        <f t="shared" si="15"/>
        <v>2.7392845633256169E-3</v>
      </c>
    </row>
    <row r="446" spans="2:8" x14ac:dyDescent="0.25">
      <c r="B446" s="30">
        <v>44454</v>
      </c>
      <c r="C446" s="31">
        <v>17519.45</v>
      </c>
      <c r="D446" s="21">
        <f t="shared" si="14"/>
        <v>8.0235903337169123E-3</v>
      </c>
      <c r="F446" s="30">
        <v>44470</v>
      </c>
      <c r="G446" s="32">
        <v>6.2439999999999998</v>
      </c>
      <c r="H446" s="21">
        <f t="shared" si="15"/>
        <v>3.3745781777276829E-3</v>
      </c>
    </row>
    <row r="447" spans="2:8" x14ac:dyDescent="0.25">
      <c r="B447" s="30">
        <v>44455</v>
      </c>
      <c r="C447" s="31">
        <v>17629.5</v>
      </c>
      <c r="D447" s="21">
        <f t="shared" si="14"/>
        <v>6.2815898900936418E-3</v>
      </c>
      <c r="F447" s="30">
        <v>44473</v>
      </c>
      <c r="G447" s="32">
        <v>6.2480000000000002</v>
      </c>
      <c r="H447" s="21">
        <f t="shared" si="15"/>
        <v>6.4061499039080871E-4</v>
      </c>
    </row>
    <row r="448" spans="2:8" x14ac:dyDescent="0.25">
      <c r="B448" s="30">
        <v>44456</v>
      </c>
      <c r="C448" s="31">
        <v>17585.150000000001</v>
      </c>
      <c r="D448" s="21">
        <f t="shared" si="14"/>
        <v>-2.5156697580758225E-3</v>
      </c>
      <c r="F448" s="30">
        <v>44474</v>
      </c>
      <c r="G448" s="32">
        <v>6.26</v>
      </c>
      <c r="H448" s="21">
        <f t="shared" si="15"/>
        <v>1.920614596670811E-3</v>
      </c>
    </row>
    <row r="449" spans="2:8" x14ac:dyDescent="0.25">
      <c r="B449" s="30">
        <v>44459</v>
      </c>
      <c r="C449" s="31">
        <v>17396.900000000001</v>
      </c>
      <c r="D449" s="21">
        <f t="shared" si="14"/>
        <v>-1.0705055117528173E-2</v>
      </c>
      <c r="F449" s="30">
        <v>44475</v>
      </c>
      <c r="G449" s="32">
        <v>6.2759999999999998</v>
      </c>
      <c r="H449" s="21">
        <f t="shared" si="15"/>
        <v>2.5559105431309792E-3</v>
      </c>
    </row>
    <row r="450" spans="2:8" x14ac:dyDescent="0.25">
      <c r="B450" s="30">
        <v>44460</v>
      </c>
      <c r="C450" s="31">
        <v>17562</v>
      </c>
      <c r="D450" s="21">
        <f t="shared" si="14"/>
        <v>9.4901965292666368E-3</v>
      </c>
      <c r="F450" s="30">
        <v>44476</v>
      </c>
      <c r="G450" s="32">
        <v>6.2670000000000003</v>
      </c>
      <c r="H450" s="21">
        <f t="shared" si="15"/>
        <v>-1.4340344168258801E-3</v>
      </c>
    </row>
    <row r="451" spans="2:8" x14ac:dyDescent="0.25">
      <c r="B451" s="30">
        <v>44461</v>
      </c>
      <c r="C451" s="31">
        <v>17546.650000000001</v>
      </c>
      <c r="D451" s="21">
        <f t="shared" si="14"/>
        <v>-8.7404623619169453E-4</v>
      </c>
      <c r="F451" s="30">
        <v>44477</v>
      </c>
      <c r="G451" s="32">
        <v>6.3179999999999996</v>
      </c>
      <c r="H451" s="21">
        <f t="shared" si="15"/>
        <v>8.1378650071803893E-3</v>
      </c>
    </row>
    <row r="452" spans="2:8" x14ac:dyDescent="0.25">
      <c r="B452" s="30">
        <v>44462</v>
      </c>
      <c r="C452" s="31">
        <v>17822.95</v>
      </c>
      <c r="D452" s="21">
        <f t="shared" si="14"/>
        <v>1.574659550398505E-2</v>
      </c>
      <c r="F452" s="30">
        <v>44480</v>
      </c>
      <c r="G452" s="32">
        <v>6.34</v>
      </c>
      <c r="H452" s="21">
        <f t="shared" si="15"/>
        <v>3.4821145932257824E-3</v>
      </c>
    </row>
    <row r="453" spans="2:8" x14ac:dyDescent="0.25">
      <c r="B453" s="30">
        <v>44463</v>
      </c>
      <c r="C453" s="31">
        <v>17853.2</v>
      </c>
      <c r="D453" s="21">
        <f t="shared" si="14"/>
        <v>1.6972498940972525E-3</v>
      </c>
      <c r="F453" s="30">
        <v>44481</v>
      </c>
      <c r="G453" s="32">
        <v>6.3259999999999996</v>
      </c>
      <c r="H453" s="21">
        <f t="shared" si="15"/>
        <v>-2.2082018927445102E-3</v>
      </c>
    </row>
    <row r="454" spans="2:8" x14ac:dyDescent="0.25">
      <c r="B454" s="30">
        <v>44466</v>
      </c>
      <c r="C454" s="31">
        <v>17855.099999999999</v>
      </c>
      <c r="D454" s="21">
        <f t="shared" si="14"/>
        <v>1.0642349830836118E-4</v>
      </c>
      <c r="F454" s="30">
        <v>44482</v>
      </c>
      <c r="G454" s="32">
        <v>6.3140000000000001</v>
      </c>
      <c r="H454" s="21">
        <f t="shared" si="15"/>
        <v>-1.8969332911792369E-3</v>
      </c>
    </row>
    <row r="455" spans="2:8" x14ac:dyDescent="0.25">
      <c r="B455" s="30">
        <v>44467</v>
      </c>
      <c r="C455" s="31">
        <v>17748.599999999999</v>
      </c>
      <c r="D455" s="21">
        <f t="shared" si="14"/>
        <v>-5.9646823596619658E-3</v>
      </c>
      <c r="F455" s="30">
        <v>44483</v>
      </c>
      <c r="G455" s="32">
        <v>6.3280000000000003</v>
      </c>
      <c r="H455" s="21">
        <f t="shared" si="15"/>
        <v>2.2172949002217113E-3</v>
      </c>
    </row>
    <row r="456" spans="2:8" x14ac:dyDescent="0.25">
      <c r="B456" s="30">
        <v>44468</v>
      </c>
      <c r="C456" s="31">
        <v>17711.3</v>
      </c>
      <c r="D456" s="21">
        <f t="shared" si="14"/>
        <v>-2.1015742086699651E-3</v>
      </c>
      <c r="F456" s="30">
        <v>44487</v>
      </c>
      <c r="G456" s="32">
        <v>6.3869999999999996</v>
      </c>
      <c r="H456" s="21">
        <f t="shared" si="15"/>
        <v>9.3236409608090653E-3</v>
      </c>
    </row>
    <row r="457" spans="2:8" x14ac:dyDescent="0.25">
      <c r="B457" s="30">
        <v>44469</v>
      </c>
      <c r="C457" s="31">
        <v>17618.150000000001</v>
      </c>
      <c r="D457" s="21">
        <f t="shared" si="14"/>
        <v>-5.2593541976024838E-3</v>
      </c>
      <c r="F457" s="30">
        <v>44489</v>
      </c>
      <c r="G457" s="32">
        <v>6.3730000000000002</v>
      </c>
      <c r="H457" s="21">
        <f t="shared" si="15"/>
        <v>-2.1919524033191529E-3</v>
      </c>
    </row>
    <row r="458" spans="2:8" x14ac:dyDescent="0.25">
      <c r="B458" s="30">
        <v>44470</v>
      </c>
      <c r="C458" s="31">
        <v>17532.05</v>
      </c>
      <c r="D458" s="21">
        <f t="shared" si="14"/>
        <v>-4.8870057298866509E-3</v>
      </c>
      <c r="F458" s="30">
        <v>44490</v>
      </c>
      <c r="G458" s="32">
        <v>6.3380000000000001</v>
      </c>
      <c r="H458" s="21">
        <f t="shared" si="15"/>
        <v>-5.4919190334222767E-3</v>
      </c>
    </row>
    <row r="459" spans="2:8" x14ac:dyDescent="0.25">
      <c r="B459" s="30">
        <v>44473</v>
      </c>
      <c r="C459" s="31">
        <v>17691.25</v>
      </c>
      <c r="D459" s="21">
        <f t="shared" si="14"/>
        <v>9.0805125470210246E-3</v>
      </c>
      <c r="F459" s="30">
        <v>44491</v>
      </c>
      <c r="G459" s="32">
        <v>6.3639999999999999</v>
      </c>
      <c r="H459" s="21">
        <f t="shared" si="15"/>
        <v>4.1022404544019953E-3</v>
      </c>
    </row>
    <row r="460" spans="2:8" x14ac:dyDescent="0.25">
      <c r="B460" s="30">
        <v>44474</v>
      </c>
      <c r="C460" s="31">
        <v>17822.3</v>
      </c>
      <c r="D460" s="21">
        <f t="shared" si="14"/>
        <v>7.4076167596974773E-3</v>
      </c>
      <c r="F460" s="30">
        <v>44494</v>
      </c>
      <c r="G460" s="32">
        <v>6.35</v>
      </c>
      <c r="H460" s="21">
        <f t="shared" si="15"/>
        <v>-2.1998742928975856E-3</v>
      </c>
    </row>
    <row r="461" spans="2:8" x14ac:dyDescent="0.25">
      <c r="B461" s="30">
        <v>44475</v>
      </c>
      <c r="C461" s="31">
        <v>17646</v>
      </c>
      <c r="D461" s="21">
        <f t="shared" si="14"/>
        <v>-9.8921014683850395E-3</v>
      </c>
      <c r="F461" s="30">
        <v>44495</v>
      </c>
      <c r="G461" s="32">
        <v>6.3620000000000001</v>
      </c>
      <c r="H461" s="21">
        <f t="shared" si="15"/>
        <v>1.8897637795276534E-3</v>
      </c>
    </row>
    <row r="462" spans="2:8" x14ac:dyDescent="0.25">
      <c r="B462" s="30">
        <v>44476</v>
      </c>
      <c r="C462" s="31">
        <v>17790.349999999999</v>
      </c>
      <c r="D462" s="21">
        <f t="shared" si="14"/>
        <v>8.1803241527824699E-3</v>
      </c>
      <c r="F462" s="30">
        <v>44496</v>
      </c>
      <c r="G462" s="32">
        <v>6.3360000000000003</v>
      </c>
      <c r="H462" s="21">
        <f t="shared" si="15"/>
        <v>-4.0867651681860684E-3</v>
      </c>
    </row>
    <row r="463" spans="2:8" x14ac:dyDescent="0.25">
      <c r="B463" s="30">
        <v>44477</v>
      </c>
      <c r="C463" s="31">
        <v>17895.2</v>
      </c>
      <c r="D463" s="21">
        <f t="shared" si="14"/>
        <v>5.893644588217839E-3</v>
      </c>
      <c r="F463" s="30">
        <v>44497</v>
      </c>
      <c r="G463" s="32">
        <v>6.367</v>
      </c>
      <c r="H463" s="21">
        <f t="shared" si="15"/>
        <v>4.8926767676766847E-3</v>
      </c>
    </row>
    <row r="464" spans="2:8" x14ac:dyDescent="0.25">
      <c r="B464" s="30">
        <v>44480</v>
      </c>
      <c r="C464" s="31">
        <v>17945.95</v>
      </c>
      <c r="D464" s="21">
        <f t="shared" si="14"/>
        <v>2.8359560105504222E-3</v>
      </c>
      <c r="F464" s="30">
        <v>44498</v>
      </c>
      <c r="G464" s="32">
        <v>6.3879999999999999</v>
      </c>
      <c r="H464" s="21">
        <f t="shared" si="15"/>
        <v>3.2982566357782073E-3</v>
      </c>
    </row>
    <row r="465" spans="2:8" x14ac:dyDescent="0.25">
      <c r="B465" s="30">
        <v>44481</v>
      </c>
      <c r="C465" s="31">
        <v>17991.95</v>
      </c>
      <c r="D465" s="21">
        <f t="shared" si="14"/>
        <v>2.5632524330001516E-3</v>
      </c>
      <c r="F465" s="30">
        <v>44501</v>
      </c>
      <c r="G465" s="32">
        <v>6.3869999999999996</v>
      </c>
      <c r="H465" s="21">
        <f t="shared" si="15"/>
        <v>-1.5654351909832886E-4</v>
      </c>
    </row>
    <row r="466" spans="2:8" x14ac:dyDescent="0.25">
      <c r="B466" s="30">
        <v>44482</v>
      </c>
      <c r="C466" s="31">
        <v>18161.75</v>
      </c>
      <c r="D466" s="21">
        <f t="shared" si="14"/>
        <v>9.4375540172131345E-3</v>
      </c>
      <c r="F466" s="30">
        <v>44502</v>
      </c>
      <c r="G466" s="32">
        <v>6.36</v>
      </c>
      <c r="H466" s="21">
        <f t="shared" si="15"/>
        <v>-4.2273367778298265E-3</v>
      </c>
    </row>
    <row r="467" spans="2:8" x14ac:dyDescent="0.25">
      <c r="B467" s="30">
        <v>44483</v>
      </c>
      <c r="C467" s="31">
        <v>18338.55</v>
      </c>
      <c r="D467" s="21">
        <f t="shared" si="14"/>
        <v>9.7347447244895413E-3</v>
      </c>
      <c r="F467" s="30">
        <v>44503</v>
      </c>
      <c r="G467" s="32">
        <v>6.3570000000000002</v>
      </c>
      <c r="H467" s="21">
        <f t="shared" si="15"/>
        <v>-4.7169811320757482E-4</v>
      </c>
    </row>
    <row r="468" spans="2:8" x14ac:dyDescent="0.25">
      <c r="B468" s="30">
        <v>44487</v>
      </c>
      <c r="C468" s="31">
        <v>18477.05</v>
      </c>
      <c r="D468" s="21">
        <f t="shared" si="14"/>
        <v>7.5523964544634836E-3</v>
      </c>
      <c r="F468" s="30">
        <v>44508</v>
      </c>
      <c r="G468" s="32">
        <v>6.3010000000000002</v>
      </c>
      <c r="H468" s="21">
        <f t="shared" si="15"/>
        <v>-8.8091867232971133E-3</v>
      </c>
    </row>
    <row r="469" spans="2:8" x14ac:dyDescent="0.25">
      <c r="B469" s="30">
        <v>44488</v>
      </c>
      <c r="C469" s="31">
        <v>18418.75</v>
      </c>
      <c r="D469" s="21">
        <f t="shared" si="14"/>
        <v>-3.1552655862272516E-3</v>
      </c>
      <c r="F469" s="30">
        <v>44509</v>
      </c>
      <c r="G469" s="32">
        <v>6.2930000000000001</v>
      </c>
      <c r="H469" s="21">
        <f t="shared" si="15"/>
        <v>-1.2696397397238268E-3</v>
      </c>
    </row>
    <row r="470" spans="2:8" x14ac:dyDescent="0.25">
      <c r="B470" s="30">
        <v>44489</v>
      </c>
      <c r="C470" s="31">
        <v>18266.599999999999</v>
      </c>
      <c r="D470" s="21">
        <f t="shared" ref="D470:D534" si="16">C470/C469-1</f>
        <v>-8.2606040040720252E-3</v>
      </c>
      <c r="F470" s="30">
        <v>44510</v>
      </c>
      <c r="G470" s="32">
        <v>6.3360000000000003</v>
      </c>
      <c r="H470" s="21">
        <f t="shared" ref="H470:H534" si="17">G470/G469-1</f>
        <v>6.8329890354361655E-3</v>
      </c>
    </row>
    <row r="471" spans="2:8" x14ac:dyDescent="0.25">
      <c r="B471" s="30">
        <v>44490</v>
      </c>
      <c r="C471" s="31">
        <v>18178.099999999999</v>
      </c>
      <c r="D471" s="21">
        <f t="shared" si="16"/>
        <v>-4.8449081930955762E-3</v>
      </c>
      <c r="F471" s="30">
        <v>44511</v>
      </c>
      <c r="G471" s="32">
        <v>6.367</v>
      </c>
      <c r="H471" s="21">
        <f t="shared" si="17"/>
        <v>4.8926767676766847E-3</v>
      </c>
    </row>
    <row r="472" spans="2:8" x14ac:dyDescent="0.25">
      <c r="B472" s="30">
        <v>44491</v>
      </c>
      <c r="C472" s="31">
        <v>18114.900000000001</v>
      </c>
      <c r="D472" s="21">
        <f t="shared" si="16"/>
        <v>-3.4767109873967694E-3</v>
      </c>
      <c r="F472" s="30">
        <v>44512</v>
      </c>
      <c r="G472" s="32">
        <v>6.3680000000000003</v>
      </c>
      <c r="H472" s="21">
        <f t="shared" si="17"/>
        <v>1.5705983979907856E-4</v>
      </c>
    </row>
    <row r="473" spans="2:8" x14ac:dyDescent="0.25">
      <c r="B473" s="30">
        <v>44494</v>
      </c>
      <c r="C473" s="31">
        <v>18125.400000000001</v>
      </c>
      <c r="D473" s="21">
        <f t="shared" si="16"/>
        <v>5.7963334050969983E-4</v>
      </c>
      <c r="F473" s="30">
        <v>44515</v>
      </c>
      <c r="G473" s="32">
        <v>6.3419999999999996</v>
      </c>
      <c r="H473" s="21">
        <f t="shared" si="17"/>
        <v>-4.0829145728644711E-3</v>
      </c>
    </row>
    <row r="474" spans="2:8" x14ac:dyDescent="0.25">
      <c r="B474" s="30">
        <v>44495</v>
      </c>
      <c r="C474" s="31">
        <v>18268.400000000001</v>
      </c>
      <c r="D474" s="21">
        <f t="shared" si="16"/>
        <v>7.8894810597283094E-3</v>
      </c>
      <c r="F474" s="30">
        <v>44516</v>
      </c>
      <c r="G474" s="32">
        <v>6.3639999999999999</v>
      </c>
      <c r="H474" s="21">
        <f t="shared" si="17"/>
        <v>3.4689372437717303E-3</v>
      </c>
    </row>
    <row r="475" spans="2:8" x14ac:dyDescent="0.25">
      <c r="B475" s="30">
        <v>44496</v>
      </c>
      <c r="C475" s="31">
        <v>18210.95</v>
      </c>
      <c r="D475" s="21">
        <f t="shared" si="16"/>
        <v>-3.1447745834337626E-3</v>
      </c>
      <c r="F475" s="30">
        <v>44517</v>
      </c>
      <c r="G475" s="32">
        <v>6.3609999999999998</v>
      </c>
      <c r="H475" s="21">
        <f t="shared" si="17"/>
        <v>-4.7140163419234771E-4</v>
      </c>
    </row>
    <row r="476" spans="2:8" x14ac:dyDescent="0.25">
      <c r="B476" s="30">
        <v>44497</v>
      </c>
      <c r="C476" s="31">
        <v>17857.25</v>
      </c>
      <c r="D476" s="21">
        <f t="shared" si="16"/>
        <v>-1.9422380490858537E-2</v>
      </c>
      <c r="F476" s="30">
        <v>44518</v>
      </c>
      <c r="G476" s="32">
        <v>6.3449999999999998</v>
      </c>
      <c r="H476" s="21">
        <f t="shared" si="17"/>
        <v>-2.5153277786511552E-3</v>
      </c>
    </row>
    <row r="477" spans="2:8" x14ac:dyDescent="0.25">
      <c r="B477" s="30">
        <v>44498</v>
      </c>
      <c r="C477" s="31">
        <v>17671.650000000001</v>
      </c>
      <c r="D477" s="21">
        <f t="shared" si="16"/>
        <v>-1.0393537638774042E-2</v>
      </c>
      <c r="F477" s="30">
        <v>44522</v>
      </c>
      <c r="G477" s="32">
        <v>6.351</v>
      </c>
      <c r="H477" s="21">
        <f t="shared" si="17"/>
        <v>9.4562647754137252E-4</v>
      </c>
    </row>
    <row r="478" spans="2:8" x14ac:dyDescent="0.25">
      <c r="B478" s="30">
        <v>44501</v>
      </c>
      <c r="C478" s="31">
        <v>17929.650000000001</v>
      </c>
      <c r="D478" s="21">
        <f t="shared" si="16"/>
        <v>1.4599655380227672E-2</v>
      </c>
      <c r="F478" s="30">
        <v>44523</v>
      </c>
      <c r="G478" s="32">
        <v>6.3639999999999999</v>
      </c>
      <c r="H478" s="21">
        <f t="shared" si="17"/>
        <v>2.0469217446070775E-3</v>
      </c>
    </row>
    <row r="479" spans="2:8" x14ac:dyDescent="0.25">
      <c r="B479" s="30">
        <v>44502</v>
      </c>
      <c r="C479" s="31">
        <v>17888.95</v>
      </c>
      <c r="D479" s="21">
        <f t="shared" si="16"/>
        <v>-2.2699829611844136E-3</v>
      </c>
      <c r="F479" s="30">
        <v>44524</v>
      </c>
      <c r="G479" s="32">
        <v>6.367</v>
      </c>
      <c r="H479" s="21">
        <f t="shared" si="17"/>
        <v>4.7140163419245873E-4</v>
      </c>
    </row>
    <row r="480" spans="2:8" x14ac:dyDescent="0.25">
      <c r="B480" s="30">
        <v>44503</v>
      </c>
      <c r="C480" s="31">
        <v>17829.2</v>
      </c>
      <c r="D480" s="21">
        <f t="shared" si="16"/>
        <v>-3.3400507016901892E-3</v>
      </c>
      <c r="F480" s="30">
        <v>44525</v>
      </c>
      <c r="G480" s="32">
        <v>6.367</v>
      </c>
      <c r="H480" s="21">
        <f t="shared" si="17"/>
        <v>0</v>
      </c>
    </row>
    <row r="481" spans="2:8" x14ac:dyDescent="0.25">
      <c r="B481" s="30">
        <v>44504</v>
      </c>
      <c r="C481" s="31">
        <v>17916.8</v>
      </c>
      <c r="D481" s="21">
        <f t="shared" si="16"/>
        <v>4.913288313552977E-3</v>
      </c>
      <c r="F481" s="30">
        <v>44526</v>
      </c>
      <c r="G481" s="32">
        <v>6.33</v>
      </c>
      <c r="H481" s="21">
        <f t="shared" si="17"/>
        <v>-5.8112140725616879E-3</v>
      </c>
    </row>
    <row r="482" spans="2:8" x14ac:dyDescent="0.25">
      <c r="B482" s="30">
        <v>44508</v>
      </c>
      <c r="C482" s="31">
        <v>18068.55</v>
      </c>
      <c r="D482" s="21">
        <f t="shared" si="16"/>
        <v>8.469704411502077E-3</v>
      </c>
      <c r="F482" s="30">
        <v>44529</v>
      </c>
      <c r="G482" s="32">
        <v>6.335</v>
      </c>
      <c r="H482" s="21">
        <f t="shared" si="17"/>
        <v>7.898894154818592E-4</v>
      </c>
    </row>
    <row r="483" spans="2:8" x14ac:dyDescent="0.25">
      <c r="B483" s="30">
        <v>44509</v>
      </c>
      <c r="C483" s="31">
        <v>18044.25</v>
      </c>
      <c r="D483" s="21">
        <f t="shared" si="16"/>
        <v>-1.3448782553109329E-3</v>
      </c>
      <c r="F483" s="30">
        <v>44530</v>
      </c>
      <c r="G483" s="32">
        <v>6.3259999999999996</v>
      </c>
      <c r="H483" s="21">
        <f t="shared" si="17"/>
        <v>-1.4206787687450761E-3</v>
      </c>
    </row>
    <row r="484" spans="2:8" x14ac:dyDescent="0.25">
      <c r="B484" s="30">
        <v>44510</v>
      </c>
      <c r="C484" s="31">
        <v>18017.2</v>
      </c>
      <c r="D484" s="21">
        <f t="shared" si="16"/>
        <v>-1.4990925086938445E-3</v>
      </c>
      <c r="F484" s="30">
        <v>44531</v>
      </c>
      <c r="G484" s="32">
        <v>6.3529999999999998</v>
      </c>
      <c r="H484" s="21">
        <f t="shared" si="17"/>
        <v>4.2680999051534219E-3</v>
      </c>
    </row>
    <row r="485" spans="2:8" x14ac:dyDescent="0.25">
      <c r="B485" s="30">
        <v>44511</v>
      </c>
      <c r="C485" s="31">
        <v>17873.599999999999</v>
      </c>
      <c r="D485" s="21">
        <f t="shared" si="16"/>
        <v>-7.9701618453479339E-3</v>
      </c>
      <c r="F485" s="30">
        <v>44532</v>
      </c>
      <c r="G485" s="32">
        <v>6.3520000000000003</v>
      </c>
      <c r="H485" s="21">
        <f t="shared" si="17"/>
        <v>-1.5740594994484436E-4</v>
      </c>
    </row>
    <row r="486" spans="2:8" x14ac:dyDescent="0.25">
      <c r="B486" s="30">
        <v>44512</v>
      </c>
      <c r="C486" s="31">
        <v>18102.75</v>
      </c>
      <c r="D486" s="21">
        <f t="shared" si="16"/>
        <v>1.2820584549279479E-2</v>
      </c>
      <c r="F486" s="30">
        <v>44533</v>
      </c>
      <c r="G486" s="32">
        <v>6.3689999999999998</v>
      </c>
      <c r="H486" s="21">
        <f t="shared" si="17"/>
        <v>2.676322418135868E-3</v>
      </c>
    </row>
    <row r="487" spans="2:8" x14ac:dyDescent="0.25">
      <c r="B487" s="30">
        <v>44515</v>
      </c>
      <c r="C487" s="31">
        <v>18109.45</v>
      </c>
      <c r="D487" s="21">
        <f t="shared" si="16"/>
        <v>3.7010951374805146E-4</v>
      </c>
      <c r="F487" s="30">
        <v>44536</v>
      </c>
      <c r="G487" s="32">
        <v>6.359</v>
      </c>
      <c r="H487" s="21">
        <f t="shared" si="17"/>
        <v>-1.5701051970481439E-3</v>
      </c>
    </row>
    <row r="488" spans="2:8" x14ac:dyDescent="0.25">
      <c r="B488" s="30">
        <v>44516</v>
      </c>
      <c r="C488" s="31">
        <v>17999.2</v>
      </c>
      <c r="D488" s="21">
        <f t="shared" si="16"/>
        <v>-6.0879816891180605E-3</v>
      </c>
      <c r="F488" s="30">
        <v>44537</v>
      </c>
      <c r="G488" s="32">
        <v>6.391</v>
      </c>
      <c r="H488" s="21">
        <f t="shared" si="17"/>
        <v>5.0322377732348045E-3</v>
      </c>
    </row>
    <row r="489" spans="2:8" x14ac:dyDescent="0.25">
      <c r="B489" s="30">
        <v>44517</v>
      </c>
      <c r="C489" s="31">
        <v>17898.650000000001</v>
      </c>
      <c r="D489" s="21">
        <f t="shared" si="16"/>
        <v>-5.5863593937507394E-3</v>
      </c>
      <c r="F489" s="30">
        <v>44538</v>
      </c>
      <c r="G489" s="32">
        <v>6.3470000000000004</v>
      </c>
      <c r="H489" s="21">
        <f t="shared" si="17"/>
        <v>-6.8846815834766595E-3</v>
      </c>
    </row>
    <row r="490" spans="2:8" x14ac:dyDescent="0.25">
      <c r="B490" s="30">
        <v>44518</v>
      </c>
      <c r="C490" s="31">
        <v>17764.8</v>
      </c>
      <c r="D490" s="21">
        <f t="shared" si="16"/>
        <v>-7.4782176309388104E-3</v>
      </c>
      <c r="F490" s="30">
        <v>44539</v>
      </c>
      <c r="G490" s="32">
        <v>6.3479999999999999</v>
      </c>
      <c r="H490" s="21">
        <f t="shared" si="17"/>
        <v>1.5755475027567911E-4</v>
      </c>
    </row>
    <row r="491" spans="2:8" x14ac:dyDescent="0.25">
      <c r="B491" s="30">
        <v>44522</v>
      </c>
      <c r="C491" s="31">
        <v>17416.55</v>
      </c>
      <c r="D491" s="21">
        <f t="shared" si="16"/>
        <v>-1.9603372962262444E-2</v>
      </c>
      <c r="F491" s="30">
        <v>44540</v>
      </c>
      <c r="G491" s="32">
        <v>6.37</v>
      </c>
      <c r="H491" s="21">
        <f t="shared" si="17"/>
        <v>3.465658475110267E-3</v>
      </c>
    </row>
    <row r="492" spans="2:8" x14ac:dyDescent="0.25">
      <c r="B492" s="30">
        <v>44523</v>
      </c>
      <c r="C492" s="31">
        <v>17503.349999999999</v>
      </c>
      <c r="D492" s="21">
        <f t="shared" si="16"/>
        <v>4.9837654414910393E-3</v>
      </c>
      <c r="F492" s="30">
        <v>44543</v>
      </c>
      <c r="G492" s="32">
        <v>6.37</v>
      </c>
      <c r="H492" s="21">
        <f t="shared" si="17"/>
        <v>0</v>
      </c>
    </row>
    <row r="493" spans="2:8" x14ac:dyDescent="0.25">
      <c r="B493" s="30">
        <v>44524</v>
      </c>
      <c r="C493" s="31">
        <v>17415.05</v>
      </c>
      <c r="D493" s="21">
        <f t="shared" si="16"/>
        <v>-5.0447485767010081E-3</v>
      </c>
      <c r="F493" s="30">
        <v>44544</v>
      </c>
      <c r="G493" s="32">
        <v>6.3559999999999999</v>
      </c>
      <c r="H493" s="21">
        <f t="shared" si="17"/>
        <v>-2.19780219780219E-3</v>
      </c>
    </row>
    <row r="494" spans="2:8" x14ac:dyDescent="0.25">
      <c r="B494" s="30">
        <v>44525</v>
      </c>
      <c r="C494" s="31">
        <v>17536.25</v>
      </c>
      <c r="D494" s="21">
        <f t="shared" si="16"/>
        <v>6.959497675860904E-3</v>
      </c>
      <c r="F494" s="30">
        <v>44545</v>
      </c>
      <c r="G494" s="32">
        <v>6.3639999999999999</v>
      </c>
      <c r="H494" s="21">
        <f t="shared" si="17"/>
        <v>1.2586532410321372E-3</v>
      </c>
    </row>
    <row r="495" spans="2:8" x14ac:dyDescent="0.25">
      <c r="B495" s="30">
        <v>44526</v>
      </c>
      <c r="C495" s="31">
        <v>17026.45</v>
      </c>
      <c r="D495" s="21">
        <f t="shared" si="16"/>
        <v>-2.9071209637180129E-2</v>
      </c>
      <c r="F495" s="30">
        <v>44546</v>
      </c>
      <c r="G495" s="32">
        <v>6.3739999999999997</v>
      </c>
      <c r="H495" s="21">
        <f t="shared" si="17"/>
        <v>1.571338780641085E-3</v>
      </c>
    </row>
    <row r="496" spans="2:8" x14ac:dyDescent="0.25">
      <c r="B496" s="30">
        <v>44529</v>
      </c>
      <c r="C496" s="31">
        <v>17053.95</v>
      </c>
      <c r="D496" s="21">
        <f t="shared" si="16"/>
        <v>1.6151341001793273E-3</v>
      </c>
      <c r="F496" s="30">
        <v>44547</v>
      </c>
      <c r="G496" s="32">
        <v>6.4109999999999996</v>
      </c>
      <c r="H496" s="21">
        <f t="shared" si="17"/>
        <v>5.8048321305301798E-3</v>
      </c>
    </row>
    <row r="497" spans="2:8" x14ac:dyDescent="0.25">
      <c r="B497" s="30">
        <v>44530</v>
      </c>
      <c r="C497" s="31">
        <v>16983.2</v>
      </c>
      <c r="D497" s="21">
        <f t="shared" si="16"/>
        <v>-4.1485990049225929E-3</v>
      </c>
      <c r="F497" s="30">
        <v>44550</v>
      </c>
      <c r="G497" s="32">
        <v>6.4349999999999996</v>
      </c>
      <c r="H497" s="21">
        <f t="shared" si="17"/>
        <v>3.7435657463733563E-3</v>
      </c>
    </row>
    <row r="498" spans="2:8" x14ac:dyDescent="0.25">
      <c r="B498" s="30">
        <v>44531</v>
      </c>
      <c r="C498" s="31">
        <v>17166.900000000001</v>
      </c>
      <c r="D498" s="21">
        <f t="shared" si="16"/>
        <v>1.0816571670827724E-2</v>
      </c>
      <c r="F498" s="30">
        <v>44551</v>
      </c>
      <c r="G498" s="32">
        <v>6.468</v>
      </c>
      <c r="H498" s="21">
        <f t="shared" si="17"/>
        <v>5.12820512820511E-3</v>
      </c>
    </row>
    <row r="499" spans="2:8" x14ac:dyDescent="0.25">
      <c r="B499" s="30">
        <v>44532</v>
      </c>
      <c r="C499" s="31">
        <v>17401.650000000001</v>
      </c>
      <c r="D499" s="21">
        <f t="shared" si="16"/>
        <v>1.3674571413592407E-2</v>
      </c>
      <c r="F499" s="30">
        <v>44552</v>
      </c>
      <c r="G499" s="32">
        <v>6.4640000000000004</v>
      </c>
      <c r="H499" s="21">
        <f t="shared" si="17"/>
        <v>-6.1842918985766104E-4</v>
      </c>
    </row>
    <row r="500" spans="2:8" x14ac:dyDescent="0.25">
      <c r="B500" s="30">
        <v>44533</v>
      </c>
      <c r="C500" s="31">
        <v>17196.7</v>
      </c>
      <c r="D500" s="21">
        <f t="shared" si="16"/>
        <v>-1.1777618789022948E-2</v>
      </c>
      <c r="F500" s="30">
        <v>44553</v>
      </c>
      <c r="G500" s="32">
        <v>6.46</v>
      </c>
      <c r="H500" s="21">
        <f t="shared" si="17"/>
        <v>-6.1881188118817487E-4</v>
      </c>
    </row>
    <row r="501" spans="2:8" x14ac:dyDescent="0.25">
      <c r="B501" s="30">
        <v>44536</v>
      </c>
      <c r="C501" s="31">
        <v>16912.25</v>
      </c>
      <c r="D501" s="21">
        <f t="shared" si="16"/>
        <v>-1.6540964254769808E-2</v>
      </c>
      <c r="F501" s="30">
        <v>44554</v>
      </c>
      <c r="G501" s="32">
        <v>6.4619999999999997</v>
      </c>
      <c r="H501" s="21">
        <f t="shared" si="17"/>
        <v>3.0959752321968459E-4</v>
      </c>
    </row>
    <row r="502" spans="2:8" x14ac:dyDescent="0.25">
      <c r="B502" s="30">
        <v>44537</v>
      </c>
      <c r="C502" s="31">
        <v>17176.7</v>
      </c>
      <c r="D502" s="21">
        <f t="shared" si="16"/>
        <v>1.5636594775976009E-2</v>
      </c>
      <c r="F502" s="30">
        <v>44557</v>
      </c>
      <c r="G502" s="32">
        <v>6.4649999999999999</v>
      </c>
      <c r="H502" s="21">
        <f t="shared" si="17"/>
        <v>4.6425255338911064E-4</v>
      </c>
    </row>
    <row r="503" spans="2:8" x14ac:dyDescent="0.25">
      <c r="B503" s="30">
        <v>44538</v>
      </c>
      <c r="C503" s="31">
        <v>17469.75</v>
      </c>
      <c r="D503" s="21">
        <f t="shared" si="16"/>
        <v>1.7060902268771105E-2</v>
      </c>
      <c r="F503" s="30">
        <v>44558</v>
      </c>
      <c r="G503" s="32">
        <v>6.4779999999999998</v>
      </c>
      <c r="H503" s="21">
        <f t="shared" si="17"/>
        <v>2.010827532869186E-3</v>
      </c>
    </row>
    <row r="504" spans="2:8" x14ac:dyDescent="0.25">
      <c r="B504" s="30">
        <v>44539</v>
      </c>
      <c r="C504" s="31">
        <v>17516.849999999999</v>
      </c>
      <c r="D504" s="21">
        <f t="shared" si="16"/>
        <v>2.6960889537628319E-3</v>
      </c>
      <c r="F504" s="30">
        <v>44559</v>
      </c>
      <c r="G504" s="32">
        <v>6.4610000000000003</v>
      </c>
      <c r="H504" s="21">
        <f t="shared" si="17"/>
        <v>-2.6242667489965177E-3</v>
      </c>
    </row>
    <row r="505" spans="2:8" x14ac:dyDescent="0.25">
      <c r="B505" s="30">
        <v>44540</v>
      </c>
      <c r="C505" s="31">
        <v>17511.3</v>
      </c>
      <c r="D505" s="21">
        <f t="shared" si="16"/>
        <v>-3.1683778761593118E-4</v>
      </c>
      <c r="F505" s="30">
        <v>44560</v>
      </c>
      <c r="G505" s="32">
        <v>6.4690000000000003</v>
      </c>
      <c r="H505" s="21">
        <f t="shared" si="17"/>
        <v>1.238198421297021E-3</v>
      </c>
    </row>
    <row r="506" spans="2:8" x14ac:dyDescent="0.25">
      <c r="B506" s="30">
        <v>44543</v>
      </c>
      <c r="C506" s="31">
        <v>17368.25</v>
      </c>
      <c r="D506" s="21">
        <f t="shared" si="16"/>
        <v>-8.1690108672685113E-3</v>
      </c>
      <c r="F506" s="30">
        <v>44561</v>
      </c>
      <c r="G506" s="32">
        <v>6.4539999999999997</v>
      </c>
      <c r="H506" s="21">
        <f t="shared" si="17"/>
        <v>-2.3187509661463102E-3</v>
      </c>
    </row>
    <row r="507" spans="2:8" x14ac:dyDescent="0.25">
      <c r="B507" s="30">
        <v>44544</v>
      </c>
      <c r="C507" s="31">
        <v>17324.900000000001</v>
      </c>
      <c r="D507" s="21">
        <f t="shared" si="16"/>
        <v>-2.4959336720740133E-3</v>
      </c>
      <c r="F507" s="30"/>
      <c r="G507" s="32"/>
      <c r="H507" s="21"/>
    </row>
    <row r="508" spans="2:8" x14ac:dyDescent="0.25">
      <c r="B508" s="30">
        <v>44545</v>
      </c>
      <c r="C508" s="31">
        <v>17221.400000000001</v>
      </c>
      <c r="D508" s="21">
        <f t="shared" si="16"/>
        <v>-5.9740604563374156E-3</v>
      </c>
      <c r="F508" s="30">
        <v>44564</v>
      </c>
      <c r="G508" s="32">
        <v>6.46</v>
      </c>
      <c r="H508" s="21">
        <f>G508/G506-1</f>
        <v>9.296560272700205E-4</v>
      </c>
    </row>
    <row r="509" spans="2:8" x14ac:dyDescent="0.25">
      <c r="B509" s="30">
        <v>44546</v>
      </c>
      <c r="C509" s="31">
        <v>17248.400000000001</v>
      </c>
      <c r="D509" s="21">
        <f t="shared" si="16"/>
        <v>1.5678167860917469E-3</v>
      </c>
      <c r="F509" s="30">
        <v>44565</v>
      </c>
      <c r="G509" s="32">
        <v>6.5179999999999998</v>
      </c>
      <c r="H509" s="21">
        <f t="shared" si="17"/>
        <v>8.9783281733746279E-3</v>
      </c>
    </row>
    <row r="510" spans="2:8" x14ac:dyDescent="0.25">
      <c r="B510" s="30">
        <v>44547</v>
      </c>
      <c r="C510" s="31">
        <v>16985.2</v>
      </c>
      <c r="D510" s="21">
        <f t="shared" si="16"/>
        <v>-1.5259386377866946E-2</v>
      </c>
      <c r="F510" s="30">
        <v>44566</v>
      </c>
      <c r="G510" s="32">
        <v>6.508</v>
      </c>
      <c r="H510" s="21">
        <f t="shared" si="17"/>
        <v>-1.5342129487572187E-3</v>
      </c>
    </row>
    <row r="511" spans="2:8" x14ac:dyDescent="0.25">
      <c r="B511" s="30">
        <v>44550</v>
      </c>
      <c r="C511" s="31">
        <v>16614.2</v>
      </c>
      <c r="D511" s="21">
        <f t="shared" si="16"/>
        <v>-2.1842545274709746E-2</v>
      </c>
      <c r="F511" s="30">
        <v>44567</v>
      </c>
      <c r="G511" s="32">
        <v>6.5250000000000004</v>
      </c>
      <c r="H511" s="21">
        <f t="shared" si="17"/>
        <v>2.6121696373695436E-3</v>
      </c>
    </row>
    <row r="512" spans="2:8" x14ac:dyDescent="0.25">
      <c r="B512" s="30">
        <v>44551</v>
      </c>
      <c r="C512" s="31">
        <v>16770.849999999999</v>
      </c>
      <c r="D512" s="21">
        <f t="shared" si="16"/>
        <v>9.4286814893282944E-3</v>
      </c>
      <c r="F512" s="30">
        <v>44568</v>
      </c>
      <c r="G512" s="32">
        <v>6.5419999999999998</v>
      </c>
      <c r="H512" s="21">
        <f t="shared" si="17"/>
        <v>2.6053639846741472E-3</v>
      </c>
    </row>
    <row r="513" spans="2:8" x14ac:dyDescent="0.25">
      <c r="B513" s="30">
        <v>44552</v>
      </c>
      <c r="C513" s="31">
        <v>16955.45</v>
      </c>
      <c r="D513" s="21">
        <f t="shared" si="16"/>
        <v>1.1007194030117962E-2</v>
      </c>
      <c r="F513" s="30">
        <v>44571</v>
      </c>
      <c r="G513" s="32">
        <v>6.59</v>
      </c>
      <c r="H513" s="21">
        <f t="shared" si="17"/>
        <v>7.3372057474778707E-3</v>
      </c>
    </row>
    <row r="514" spans="2:8" x14ac:dyDescent="0.25">
      <c r="B514" s="30">
        <v>44553</v>
      </c>
      <c r="C514" s="31">
        <v>17072.599999999999</v>
      </c>
      <c r="D514" s="21">
        <f t="shared" si="16"/>
        <v>6.9092828559547126E-3</v>
      </c>
      <c r="F514" s="30">
        <v>44572</v>
      </c>
      <c r="G514" s="32">
        <v>6.57</v>
      </c>
      <c r="H514" s="21">
        <f t="shared" si="17"/>
        <v>-3.0349013657055002E-3</v>
      </c>
    </row>
    <row r="515" spans="2:8" x14ac:dyDescent="0.25">
      <c r="B515" s="30">
        <v>44554</v>
      </c>
      <c r="C515" s="31">
        <v>17003.75</v>
      </c>
      <c r="D515" s="21">
        <f t="shared" si="16"/>
        <v>-4.0327776671390536E-3</v>
      </c>
      <c r="F515" s="30">
        <v>44573</v>
      </c>
      <c r="G515" s="32">
        <v>6.593</v>
      </c>
      <c r="H515" s="21">
        <f t="shared" si="17"/>
        <v>3.5007610350075158E-3</v>
      </c>
    </row>
    <row r="516" spans="2:8" x14ac:dyDescent="0.25">
      <c r="B516" s="30">
        <v>44557</v>
      </c>
      <c r="C516" s="31">
        <v>17086.25</v>
      </c>
      <c r="D516" s="21">
        <f t="shared" si="16"/>
        <v>4.8518709108285041E-3</v>
      </c>
      <c r="F516" s="30">
        <v>44574</v>
      </c>
      <c r="G516" s="32">
        <v>6.5609999999999999</v>
      </c>
      <c r="H516" s="21">
        <f t="shared" si="17"/>
        <v>-4.8536326406795061E-3</v>
      </c>
    </row>
    <row r="517" spans="2:8" x14ac:dyDescent="0.25">
      <c r="B517" s="30">
        <v>44558</v>
      </c>
      <c r="C517" s="31">
        <v>17233.25</v>
      </c>
      <c r="D517" s="21">
        <f t="shared" si="16"/>
        <v>8.6034091740434526E-3</v>
      </c>
      <c r="F517" s="30">
        <v>44575</v>
      </c>
      <c r="G517" s="32">
        <v>6.5819999999999999</v>
      </c>
      <c r="H517" s="21">
        <f t="shared" si="17"/>
        <v>3.2007315957933713E-3</v>
      </c>
    </row>
    <row r="518" spans="2:8" x14ac:dyDescent="0.25">
      <c r="B518" s="30">
        <v>44559</v>
      </c>
      <c r="C518" s="31">
        <v>17213.599999999999</v>
      </c>
      <c r="D518" s="21">
        <f t="shared" si="16"/>
        <v>-1.1402376220388533E-3</v>
      </c>
      <c r="F518" s="30">
        <v>44578</v>
      </c>
      <c r="G518" s="32">
        <v>6.6360000000000001</v>
      </c>
      <c r="H518" s="21">
        <f t="shared" si="17"/>
        <v>8.2041932543299723E-3</v>
      </c>
    </row>
    <row r="519" spans="2:8" x14ac:dyDescent="0.25">
      <c r="B519" s="30">
        <v>44560</v>
      </c>
      <c r="C519" s="31">
        <v>17203.95</v>
      </c>
      <c r="D519" s="21">
        <f t="shared" si="16"/>
        <v>-5.6060324394646699E-4</v>
      </c>
      <c r="F519" s="30">
        <v>44579</v>
      </c>
      <c r="G519" s="32">
        <v>6.6269999999999998</v>
      </c>
      <c r="H519" s="21">
        <f t="shared" si="17"/>
        <v>-1.3562386980109364E-3</v>
      </c>
    </row>
    <row r="520" spans="2:8" x14ac:dyDescent="0.25">
      <c r="B520" s="30">
        <v>44561</v>
      </c>
      <c r="C520" s="31">
        <v>17354.05</v>
      </c>
      <c r="D520" s="21">
        <f t="shared" si="16"/>
        <v>8.7247405392365529E-3</v>
      </c>
      <c r="F520" s="30">
        <v>44580</v>
      </c>
      <c r="G520" s="32">
        <v>6.5979999999999999</v>
      </c>
      <c r="H520" s="21">
        <f t="shared" si="17"/>
        <v>-4.3760374226647913E-3</v>
      </c>
    </row>
    <row r="521" spans="2:8" x14ac:dyDescent="0.25">
      <c r="B521" s="30"/>
      <c r="C521" s="31"/>
      <c r="D521" s="21"/>
      <c r="F521" s="30">
        <v>44581</v>
      </c>
      <c r="G521" s="32">
        <v>6.6079999999999997</v>
      </c>
      <c r="H521" s="21">
        <f t="shared" si="17"/>
        <v>1.5156107911487027E-3</v>
      </c>
    </row>
    <row r="522" spans="2:8" x14ac:dyDescent="0.25">
      <c r="B522" s="30">
        <v>44564</v>
      </c>
      <c r="C522" s="31">
        <v>17625.7</v>
      </c>
      <c r="D522" s="21">
        <f>C522/C520-1</f>
        <v>1.5653406553513438E-2</v>
      </c>
      <c r="F522" s="30">
        <v>44582</v>
      </c>
      <c r="G522" s="32">
        <v>6.62</v>
      </c>
      <c r="H522" s="21">
        <f t="shared" si="17"/>
        <v>1.815980629539915E-3</v>
      </c>
    </row>
    <row r="523" spans="2:8" x14ac:dyDescent="0.25">
      <c r="B523" s="30">
        <v>44565</v>
      </c>
      <c r="C523" s="31">
        <v>17805.25</v>
      </c>
      <c r="D523" s="21">
        <f t="shared" si="16"/>
        <v>1.0186829459255531E-2</v>
      </c>
      <c r="F523" s="30">
        <v>44585</v>
      </c>
      <c r="G523" s="32">
        <v>6.6520000000000001</v>
      </c>
      <c r="H523" s="21">
        <f t="shared" si="17"/>
        <v>4.8338368580060909E-3</v>
      </c>
    </row>
    <row r="524" spans="2:8" x14ac:dyDescent="0.25">
      <c r="B524" s="30">
        <v>44566</v>
      </c>
      <c r="C524" s="31">
        <v>17925.25</v>
      </c>
      <c r="D524" s="21">
        <f t="shared" si="16"/>
        <v>6.7395852346920915E-3</v>
      </c>
      <c r="F524" s="30">
        <v>44586</v>
      </c>
      <c r="G524" s="32">
        <v>6.6619999999999999</v>
      </c>
      <c r="H524" s="21">
        <f t="shared" si="17"/>
        <v>1.5033072760071153E-3</v>
      </c>
    </row>
    <row r="525" spans="2:8" x14ac:dyDescent="0.25">
      <c r="B525" s="30">
        <v>44567</v>
      </c>
      <c r="C525" s="31">
        <v>17745.900000000001</v>
      </c>
      <c r="D525" s="21">
        <f t="shared" si="16"/>
        <v>-1.0005439254682558E-2</v>
      </c>
      <c r="F525" s="30">
        <v>44588</v>
      </c>
      <c r="G525" s="32">
        <v>6.7460000000000004</v>
      </c>
      <c r="H525" s="21">
        <f t="shared" si="17"/>
        <v>1.2608826178324817E-2</v>
      </c>
    </row>
    <row r="526" spans="2:8" x14ac:dyDescent="0.25">
      <c r="B526" s="30">
        <v>44568</v>
      </c>
      <c r="C526" s="31">
        <v>17812.7</v>
      </c>
      <c r="D526" s="21">
        <f t="shared" si="16"/>
        <v>3.7642497703693767E-3</v>
      </c>
      <c r="F526" s="30">
        <v>44589</v>
      </c>
      <c r="G526" s="32">
        <v>6.7679999999999998</v>
      </c>
      <c r="H526" s="21">
        <f t="shared" si="17"/>
        <v>3.2611918173730547E-3</v>
      </c>
    </row>
    <row r="527" spans="2:8" x14ac:dyDescent="0.25">
      <c r="B527" s="30">
        <v>44571</v>
      </c>
      <c r="C527" s="31">
        <v>18003.3</v>
      </c>
      <c r="D527" s="21">
        <f t="shared" si="16"/>
        <v>1.0700230734251415E-2</v>
      </c>
      <c r="F527" s="30">
        <v>44592</v>
      </c>
      <c r="G527" s="32">
        <v>6.6840000000000002</v>
      </c>
      <c r="H527" s="21">
        <f t="shared" si="17"/>
        <v>-1.2411347517730431E-2</v>
      </c>
    </row>
    <row r="528" spans="2:8" x14ac:dyDescent="0.25">
      <c r="B528" s="30">
        <v>44572</v>
      </c>
      <c r="C528" s="31">
        <v>18055.75</v>
      </c>
      <c r="D528" s="21">
        <f t="shared" si="16"/>
        <v>2.9133547738471322E-3</v>
      </c>
      <c r="F528" s="30">
        <v>44593</v>
      </c>
      <c r="G528" s="32">
        <v>6.8280000000000003</v>
      </c>
      <c r="H528" s="21">
        <f t="shared" si="17"/>
        <v>2.1543985637342944E-2</v>
      </c>
    </row>
    <row r="529" spans="2:8" x14ac:dyDescent="0.25">
      <c r="B529" s="30">
        <v>44573</v>
      </c>
      <c r="C529" s="31">
        <v>18212.349999999999</v>
      </c>
      <c r="D529" s="21">
        <f t="shared" si="16"/>
        <v>8.6731373662130018E-3</v>
      </c>
      <c r="F529" s="30">
        <v>44594</v>
      </c>
      <c r="G529" s="32">
        <v>6.88</v>
      </c>
      <c r="H529" s="21">
        <f t="shared" si="17"/>
        <v>7.6157000585821422E-3</v>
      </c>
    </row>
    <row r="530" spans="2:8" x14ac:dyDescent="0.25">
      <c r="B530" s="30">
        <v>44574</v>
      </c>
      <c r="C530" s="31">
        <v>18257.8</v>
      </c>
      <c r="D530" s="21">
        <f t="shared" si="16"/>
        <v>2.495559331991748E-3</v>
      </c>
      <c r="F530" s="30">
        <v>44595</v>
      </c>
      <c r="G530" s="32">
        <v>6.8890000000000002</v>
      </c>
      <c r="H530" s="21">
        <f t="shared" si="17"/>
        <v>1.3081395348837344E-3</v>
      </c>
    </row>
    <row r="531" spans="2:8" x14ac:dyDescent="0.25">
      <c r="B531" s="30">
        <v>44575</v>
      </c>
      <c r="C531" s="31">
        <v>18255.75</v>
      </c>
      <c r="D531" s="21">
        <f t="shared" si="16"/>
        <v>-1.1228077862612817E-4</v>
      </c>
      <c r="F531" s="30">
        <v>44596</v>
      </c>
      <c r="G531" s="32">
        <v>6.8789999999999996</v>
      </c>
      <c r="H531" s="21">
        <f t="shared" si="17"/>
        <v>-1.4515894904921778E-3</v>
      </c>
    </row>
    <row r="532" spans="2:8" x14ac:dyDescent="0.25">
      <c r="B532" s="30">
        <v>44578</v>
      </c>
      <c r="C532" s="31">
        <v>18308.099999999999</v>
      </c>
      <c r="D532" s="21">
        <f t="shared" si="16"/>
        <v>2.8675896635306231E-3</v>
      </c>
      <c r="F532" s="30">
        <v>44600</v>
      </c>
      <c r="G532" s="32">
        <v>6.81</v>
      </c>
      <c r="H532" s="21">
        <f t="shared" si="17"/>
        <v>-1.003052769297863E-2</v>
      </c>
    </row>
    <row r="533" spans="2:8" x14ac:dyDescent="0.25">
      <c r="B533" s="30">
        <v>44579</v>
      </c>
      <c r="C533" s="31">
        <v>18113.05</v>
      </c>
      <c r="D533" s="21">
        <f t="shared" si="16"/>
        <v>-1.0653754349167821E-2</v>
      </c>
      <c r="F533" s="30">
        <v>44601</v>
      </c>
      <c r="G533" s="32">
        <v>6.798</v>
      </c>
      <c r="H533" s="21">
        <f t="shared" si="17"/>
        <v>-1.7621145374449032E-3</v>
      </c>
    </row>
    <row r="534" spans="2:8" x14ac:dyDescent="0.25">
      <c r="B534" s="30">
        <v>44580</v>
      </c>
      <c r="C534" s="31">
        <v>17938.400000000001</v>
      </c>
      <c r="D534" s="21">
        <f t="shared" si="16"/>
        <v>-9.6422192838863108E-3</v>
      </c>
      <c r="F534" s="30">
        <v>44602</v>
      </c>
      <c r="G534" s="32">
        <v>6.7249999999999996</v>
      </c>
      <c r="H534" s="21">
        <f t="shared" si="17"/>
        <v>-1.0738452486025341E-2</v>
      </c>
    </row>
    <row r="535" spans="2:8" x14ac:dyDescent="0.25">
      <c r="B535" s="30">
        <v>44581</v>
      </c>
      <c r="C535" s="31">
        <v>17757</v>
      </c>
      <c r="D535" s="21">
        <f t="shared" ref="D535:D598" si="18">C535/C534-1</f>
        <v>-1.0112384605093117E-2</v>
      </c>
      <c r="F535" s="30">
        <v>44603</v>
      </c>
      <c r="G535" s="32">
        <v>6.6980000000000004</v>
      </c>
      <c r="H535" s="21">
        <f t="shared" ref="H535:H598" si="19">G535/G534-1</f>
        <v>-4.0148698884757694E-3</v>
      </c>
    </row>
    <row r="536" spans="2:8" x14ac:dyDescent="0.25">
      <c r="B536" s="30">
        <v>44582</v>
      </c>
      <c r="C536" s="31">
        <v>17617.150000000001</v>
      </c>
      <c r="D536" s="21">
        <f t="shared" si="18"/>
        <v>-7.875767303035297E-3</v>
      </c>
      <c r="F536" s="30">
        <v>44606</v>
      </c>
      <c r="G536" s="32">
        <v>6.6669999999999998</v>
      </c>
      <c r="H536" s="21">
        <f t="shared" si="19"/>
        <v>-4.6282472379816086E-3</v>
      </c>
    </row>
    <row r="537" spans="2:8" x14ac:dyDescent="0.25">
      <c r="B537" s="30">
        <v>44585</v>
      </c>
      <c r="C537" s="31">
        <v>17149.099999999999</v>
      </c>
      <c r="D537" s="21">
        <f t="shared" si="18"/>
        <v>-2.6567861430481288E-2</v>
      </c>
      <c r="F537" s="30">
        <v>44607</v>
      </c>
      <c r="G537" s="32">
        <v>6.673</v>
      </c>
      <c r="H537" s="21">
        <f t="shared" si="19"/>
        <v>8.999550022499303E-4</v>
      </c>
    </row>
    <row r="538" spans="2:8" x14ac:dyDescent="0.25">
      <c r="B538" s="30">
        <v>44586</v>
      </c>
      <c r="C538" s="31">
        <v>17277.95</v>
      </c>
      <c r="D538" s="21">
        <f t="shared" si="18"/>
        <v>7.5135138287141245E-3</v>
      </c>
      <c r="F538" s="30">
        <v>44608</v>
      </c>
      <c r="G538" s="32">
        <v>6.6859999999999999</v>
      </c>
      <c r="H538" s="21">
        <f t="shared" si="19"/>
        <v>1.9481492582047455E-3</v>
      </c>
    </row>
    <row r="539" spans="2:8" x14ac:dyDescent="0.25">
      <c r="B539" s="30">
        <v>44588</v>
      </c>
      <c r="C539" s="31">
        <v>17110.150000000001</v>
      </c>
      <c r="D539" s="21">
        <f t="shared" si="18"/>
        <v>-9.7118003003827669E-3</v>
      </c>
      <c r="F539" s="30">
        <v>44609</v>
      </c>
      <c r="G539" s="32">
        <v>6.6740000000000004</v>
      </c>
      <c r="H539" s="21">
        <f t="shared" si="19"/>
        <v>-1.7947950942266422E-3</v>
      </c>
    </row>
    <row r="540" spans="2:8" x14ac:dyDescent="0.25">
      <c r="B540" s="30">
        <v>44589</v>
      </c>
      <c r="C540" s="31">
        <v>17101.95</v>
      </c>
      <c r="D540" s="21">
        <f t="shared" si="18"/>
        <v>-4.7924769800389289E-4</v>
      </c>
      <c r="F540" s="30">
        <v>44610</v>
      </c>
      <c r="G540" s="32">
        <v>6.6630000000000003</v>
      </c>
      <c r="H540" s="21">
        <f t="shared" si="19"/>
        <v>-1.6481869943062444E-3</v>
      </c>
    </row>
    <row r="541" spans="2:8" x14ac:dyDescent="0.25">
      <c r="B541" s="30">
        <v>44592</v>
      </c>
      <c r="C541" s="31">
        <v>17339.849999999999</v>
      </c>
      <c r="D541" s="21">
        <f t="shared" si="18"/>
        <v>1.3910694394498657E-2</v>
      </c>
      <c r="F541" s="30">
        <v>44613</v>
      </c>
      <c r="G541" s="32">
        <v>6.6929999999999996</v>
      </c>
      <c r="H541" s="21">
        <f t="shared" si="19"/>
        <v>4.5024763619989638E-3</v>
      </c>
    </row>
    <row r="542" spans="2:8" x14ac:dyDescent="0.25">
      <c r="B542" s="30">
        <v>44593</v>
      </c>
      <c r="C542" s="31">
        <v>17576.849999999999</v>
      </c>
      <c r="D542" s="21">
        <f t="shared" si="18"/>
        <v>1.3667938303964622E-2</v>
      </c>
      <c r="F542" s="30">
        <v>44614</v>
      </c>
      <c r="G542" s="32">
        <v>6.7489999999999997</v>
      </c>
      <c r="H542" s="21">
        <f t="shared" si="19"/>
        <v>8.3669505453458637E-3</v>
      </c>
    </row>
    <row r="543" spans="2:8" x14ac:dyDescent="0.25">
      <c r="B543" s="30">
        <v>44594</v>
      </c>
      <c r="C543" s="31">
        <v>17780</v>
      </c>
      <c r="D543" s="21">
        <f t="shared" si="18"/>
        <v>1.1557816104706076E-2</v>
      </c>
      <c r="F543" s="30">
        <v>44615</v>
      </c>
      <c r="G543" s="32">
        <v>6.7389999999999999</v>
      </c>
      <c r="H543" s="21">
        <f t="shared" si="19"/>
        <v>-1.4817009927395874E-3</v>
      </c>
    </row>
    <row r="544" spans="2:8" x14ac:dyDescent="0.25">
      <c r="B544" s="30">
        <v>44595</v>
      </c>
      <c r="C544" s="31">
        <v>17560.2</v>
      </c>
      <c r="D544" s="21">
        <f t="shared" si="18"/>
        <v>-1.2362204724409409E-2</v>
      </c>
      <c r="F544" s="30">
        <v>44616</v>
      </c>
      <c r="G544" s="32">
        <v>6.7590000000000003</v>
      </c>
      <c r="H544" s="21">
        <f t="shared" si="19"/>
        <v>2.9677993767622812E-3</v>
      </c>
    </row>
    <row r="545" spans="2:8" x14ac:dyDescent="0.25">
      <c r="B545" s="30">
        <v>44596</v>
      </c>
      <c r="C545" s="31">
        <v>17516.3</v>
      </c>
      <c r="D545" s="21">
        <f t="shared" si="18"/>
        <v>-2.4999715265202616E-3</v>
      </c>
      <c r="F545" s="30">
        <v>44617</v>
      </c>
      <c r="G545" s="32">
        <v>6.7489999999999997</v>
      </c>
      <c r="H545" s="21">
        <f t="shared" si="19"/>
        <v>-1.4795088030774561E-3</v>
      </c>
    </row>
    <row r="546" spans="2:8" x14ac:dyDescent="0.25">
      <c r="B546" s="30">
        <v>44599</v>
      </c>
      <c r="C546" s="31">
        <v>17213.599999999999</v>
      </c>
      <c r="D546" s="21">
        <f t="shared" si="18"/>
        <v>-1.7281046796412514E-2</v>
      </c>
      <c r="F546" s="30">
        <v>44620</v>
      </c>
      <c r="G546" s="32">
        <v>6.77</v>
      </c>
      <c r="H546" s="21">
        <f t="shared" si="19"/>
        <v>3.1115720847532113E-3</v>
      </c>
    </row>
    <row r="547" spans="2:8" x14ac:dyDescent="0.25">
      <c r="B547" s="30">
        <v>44600</v>
      </c>
      <c r="C547" s="31">
        <v>17266.75</v>
      </c>
      <c r="D547" s="21">
        <f t="shared" si="18"/>
        <v>3.0876748617372218E-3</v>
      </c>
      <c r="F547" s="30">
        <v>44622</v>
      </c>
      <c r="G547" s="32">
        <v>6.8140000000000001</v>
      </c>
      <c r="H547" s="21">
        <f t="shared" si="19"/>
        <v>6.499261447562743E-3</v>
      </c>
    </row>
    <row r="548" spans="2:8" x14ac:dyDescent="0.25">
      <c r="B548" s="30">
        <v>44601</v>
      </c>
      <c r="C548" s="31">
        <v>17463.8</v>
      </c>
      <c r="D548" s="21">
        <f t="shared" si="18"/>
        <v>1.1412107084425305E-2</v>
      </c>
      <c r="F548" s="30">
        <v>44623</v>
      </c>
      <c r="G548" s="32">
        <v>6.8259999999999996</v>
      </c>
      <c r="H548" s="21">
        <f t="shared" si="19"/>
        <v>1.7610801291458866E-3</v>
      </c>
    </row>
    <row r="549" spans="2:8" x14ac:dyDescent="0.25">
      <c r="B549" s="30">
        <v>44602</v>
      </c>
      <c r="C549" s="31">
        <v>17605.849999999999</v>
      </c>
      <c r="D549" s="21">
        <f t="shared" si="18"/>
        <v>8.1339685520904759E-3</v>
      </c>
      <c r="F549" s="30">
        <v>44624</v>
      </c>
      <c r="G549" s="32">
        <v>6.8129999999999997</v>
      </c>
      <c r="H549" s="21">
        <f t="shared" si="19"/>
        <v>-1.9044828596542773E-3</v>
      </c>
    </row>
    <row r="550" spans="2:8" x14ac:dyDescent="0.25">
      <c r="B550" s="30">
        <v>44603</v>
      </c>
      <c r="C550" s="31">
        <v>17374.75</v>
      </c>
      <c r="D550" s="21">
        <f t="shared" si="18"/>
        <v>-1.3126318808804993E-2</v>
      </c>
      <c r="F550" s="30">
        <v>44627</v>
      </c>
      <c r="G550" s="32">
        <v>6.8879999999999999</v>
      </c>
      <c r="H550" s="21">
        <f t="shared" si="19"/>
        <v>1.1008366358432387E-2</v>
      </c>
    </row>
    <row r="551" spans="2:8" x14ac:dyDescent="0.25">
      <c r="B551" s="30">
        <v>44606</v>
      </c>
      <c r="C551" s="31">
        <v>16842.8</v>
      </c>
      <c r="D551" s="21">
        <f t="shared" si="18"/>
        <v>-3.0616267859969293E-2</v>
      </c>
      <c r="F551" s="30">
        <v>44628</v>
      </c>
      <c r="G551" s="32">
        <v>6.8949999999999996</v>
      </c>
      <c r="H551" s="21">
        <f t="shared" si="19"/>
        <v>1.0162601626015899E-3</v>
      </c>
    </row>
    <row r="552" spans="2:8" x14ac:dyDescent="0.25">
      <c r="B552" s="30">
        <v>44607</v>
      </c>
      <c r="C552" s="31">
        <v>17352.45</v>
      </c>
      <c r="D552" s="21">
        <f t="shared" si="18"/>
        <v>3.0259220557152133E-2</v>
      </c>
      <c r="F552" s="30">
        <v>44629</v>
      </c>
      <c r="G552" s="32">
        <v>6.8449999999999998</v>
      </c>
      <c r="H552" s="21">
        <f t="shared" si="19"/>
        <v>-7.2516316171138406E-3</v>
      </c>
    </row>
    <row r="553" spans="2:8" x14ac:dyDescent="0.25">
      <c r="B553" s="30">
        <v>44608</v>
      </c>
      <c r="C553" s="31">
        <v>17322.2</v>
      </c>
      <c r="D553" s="21">
        <f t="shared" si="18"/>
        <v>-1.7432696823791449E-3</v>
      </c>
      <c r="F553" s="30">
        <v>44630</v>
      </c>
      <c r="G553" s="32">
        <v>6.8090000000000002</v>
      </c>
      <c r="H553" s="21">
        <f t="shared" si="19"/>
        <v>-5.2593133674214698E-3</v>
      </c>
    </row>
    <row r="554" spans="2:8" x14ac:dyDescent="0.25">
      <c r="B554" s="30">
        <v>44609</v>
      </c>
      <c r="C554" s="31">
        <v>17304.599999999999</v>
      </c>
      <c r="D554" s="21">
        <f t="shared" si="18"/>
        <v>-1.0160372239093052E-3</v>
      </c>
      <c r="F554" s="30">
        <v>44631</v>
      </c>
      <c r="G554" s="32">
        <v>6.8550000000000004</v>
      </c>
      <c r="H554" s="21">
        <f t="shared" si="19"/>
        <v>6.7557644294315988E-3</v>
      </c>
    </row>
    <row r="555" spans="2:8" x14ac:dyDescent="0.25">
      <c r="B555" s="30">
        <v>44610</v>
      </c>
      <c r="C555" s="31">
        <v>17276.3</v>
      </c>
      <c r="D555" s="21">
        <f t="shared" si="18"/>
        <v>-1.6354033031679149E-3</v>
      </c>
      <c r="F555" s="30">
        <v>44634</v>
      </c>
      <c r="G555" s="32">
        <v>6.8540000000000001</v>
      </c>
      <c r="H555" s="21">
        <f t="shared" si="19"/>
        <v>-1.4587892049600093E-4</v>
      </c>
    </row>
    <row r="556" spans="2:8" x14ac:dyDescent="0.25">
      <c r="B556" s="30">
        <v>44613</v>
      </c>
      <c r="C556" s="31">
        <v>17206.650000000001</v>
      </c>
      <c r="D556" s="21">
        <f t="shared" si="18"/>
        <v>-4.0315345299628547E-3</v>
      </c>
      <c r="F556" s="30">
        <v>44635</v>
      </c>
      <c r="G556" s="32">
        <v>6.8209999999999997</v>
      </c>
      <c r="H556" s="21">
        <f t="shared" si="19"/>
        <v>-4.8147067405894806E-3</v>
      </c>
    </row>
    <row r="557" spans="2:8" x14ac:dyDescent="0.25">
      <c r="B557" s="30">
        <v>44614</v>
      </c>
      <c r="C557" s="31">
        <v>17092.2</v>
      </c>
      <c r="D557" s="21">
        <f t="shared" si="18"/>
        <v>-6.651498112648313E-3</v>
      </c>
      <c r="F557" s="30">
        <v>44636</v>
      </c>
      <c r="G557" s="32">
        <v>6.7880000000000003</v>
      </c>
      <c r="H557" s="21">
        <f t="shared" si="19"/>
        <v>-4.8380002932120192E-3</v>
      </c>
    </row>
    <row r="558" spans="2:8" x14ac:dyDescent="0.25">
      <c r="B558" s="30">
        <v>44615</v>
      </c>
      <c r="C558" s="31">
        <v>17063.25</v>
      </c>
      <c r="D558" s="21">
        <f t="shared" si="18"/>
        <v>-1.693755046161427E-3</v>
      </c>
      <c r="F558" s="30">
        <v>44637</v>
      </c>
      <c r="G558" s="32">
        <v>6.7779999999999996</v>
      </c>
      <c r="H558" s="21">
        <f t="shared" si="19"/>
        <v>-1.4731879787861502E-3</v>
      </c>
    </row>
    <row r="559" spans="2:8" x14ac:dyDescent="0.25">
      <c r="B559" s="30">
        <v>44616</v>
      </c>
      <c r="C559" s="31">
        <v>16247.95</v>
      </c>
      <c r="D559" s="21">
        <f t="shared" si="18"/>
        <v>-4.7781049917219764E-2</v>
      </c>
      <c r="F559" s="30">
        <v>44641</v>
      </c>
      <c r="G559" s="32">
        <v>6.7809999999999997</v>
      </c>
      <c r="H559" s="21">
        <f t="shared" si="19"/>
        <v>4.4260843906762659E-4</v>
      </c>
    </row>
    <row r="560" spans="2:8" x14ac:dyDescent="0.25">
      <c r="B560" s="30">
        <v>44617</v>
      </c>
      <c r="C560" s="31">
        <v>16658.400000000001</v>
      </c>
      <c r="D560" s="21">
        <f t="shared" si="18"/>
        <v>2.5261648392566505E-2</v>
      </c>
      <c r="F560" s="30">
        <v>44642</v>
      </c>
      <c r="G560" s="32">
        <v>6.8310000000000004</v>
      </c>
      <c r="H560" s="21">
        <f t="shared" si="19"/>
        <v>7.3735437251143399E-3</v>
      </c>
    </row>
    <row r="561" spans="2:8" x14ac:dyDescent="0.25">
      <c r="B561" s="30">
        <v>44620</v>
      </c>
      <c r="C561" s="31">
        <v>16793.900000000001</v>
      </c>
      <c r="D561" s="21">
        <f t="shared" si="18"/>
        <v>8.1340344811027254E-3</v>
      </c>
      <c r="F561" s="30">
        <v>44643</v>
      </c>
      <c r="G561" s="32">
        <v>6.8310000000000004</v>
      </c>
      <c r="H561" s="21">
        <f t="shared" si="19"/>
        <v>0</v>
      </c>
    </row>
    <row r="562" spans="2:8" x14ac:dyDescent="0.25">
      <c r="B562" s="30">
        <v>44622</v>
      </c>
      <c r="C562" s="31">
        <v>16605.95</v>
      </c>
      <c r="D562" s="21">
        <f t="shared" si="18"/>
        <v>-1.1191563603451304E-2</v>
      </c>
      <c r="F562" s="30">
        <v>44644</v>
      </c>
      <c r="G562" s="32">
        <v>6.8339999999999996</v>
      </c>
      <c r="H562" s="21">
        <f t="shared" si="19"/>
        <v>4.3917435221763057E-4</v>
      </c>
    </row>
    <row r="563" spans="2:8" x14ac:dyDescent="0.25">
      <c r="B563" s="30">
        <v>44623</v>
      </c>
      <c r="C563" s="31">
        <v>16498.05</v>
      </c>
      <c r="D563" s="21">
        <f t="shared" si="18"/>
        <v>-6.4976710155095763E-3</v>
      </c>
      <c r="F563" s="30">
        <v>44645</v>
      </c>
      <c r="G563" s="32">
        <v>6.8109999999999999</v>
      </c>
      <c r="H563" s="21">
        <f t="shared" si="19"/>
        <v>-3.3655253146034347E-3</v>
      </c>
    </row>
    <row r="564" spans="2:8" x14ac:dyDescent="0.25">
      <c r="B564" s="30">
        <v>44624</v>
      </c>
      <c r="C564" s="31">
        <v>16245.35</v>
      </c>
      <c r="D564" s="21">
        <f t="shared" si="18"/>
        <v>-1.5316961701534404E-2</v>
      </c>
      <c r="F564" s="30">
        <v>44648</v>
      </c>
      <c r="G564" s="32">
        <v>6.8360000000000003</v>
      </c>
      <c r="H564" s="21">
        <f t="shared" si="19"/>
        <v>3.670532961385975E-3</v>
      </c>
    </row>
    <row r="565" spans="2:8" x14ac:dyDescent="0.25">
      <c r="B565" s="30">
        <v>44627</v>
      </c>
      <c r="C565" s="31">
        <v>15863.15</v>
      </c>
      <c r="D565" s="21">
        <f t="shared" si="18"/>
        <v>-2.3526732264925077E-2</v>
      </c>
      <c r="F565" s="30">
        <v>44649</v>
      </c>
      <c r="G565" s="32">
        <v>6.8209999999999997</v>
      </c>
      <c r="H565" s="21">
        <f t="shared" si="19"/>
        <v>-2.1942656524284176E-3</v>
      </c>
    </row>
    <row r="566" spans="2:8" x14ac:dyDescent="0.25">
      <c r="B566" s="30">
        <v>44628</v>
      </c>
      <c r="C566" s="31">
        <v>16013.45</v>
      </c>
      <c r="D566" s="21">
        <f t="shared" si="18"/>
        <v>9.4747890551372116E-3</v>
      </c>
      <c r="F566" s="30">
        <v>44650</v>
      </c>
      <c r="G566" s="32">
        <v>6.7839999999999998</v>
      </c>
      <c r="H566" s="21">
        <f t="shared" si="19"/>
        <v>-5.4244245711771999E-3</v>
      </c>
    </row>
    <row r="567" spans="2:8" x14ac:dyDescent="0.25">
      <c r="B567" s="30">
        <v>44629</v>
      </c>
      <c r="C567" s="31">
        <v>16345.35</v>
      </c>
      <c r="D567" s="21">
        <f t="shared" si="18"/>
        <v>2.0726326931423289E-2</v>
      </c>
      <c r="F567" s="30">
        <v>44651</v>
      </c>
      <c r="G567" s="32">
        <v>6.843</v>
      </c>
      <c r="H567" s="21">
        <f t="shared" si="19"/>
        <v>8.6969339622642305E-3</v>
      </c>
    </row>
    <row r="568" spans="2:8" x14ac:dyDescent="0.25">
      <c r="B568" s="30">
        <v>44630</v>
      </c>
      <c r="C568" s="31">
        <v>16594.900000000001</v>
      </c>
      <c r="D568" s="21">
        <f t="shared" si="18"/>
        <v>1.5267339029142901E-2</v>
      </c>
      <c r="F568" s="30">
        <v>44655</v>
      </c>
      <c r="G568" s="32">
        <v>6.8979999999999997</v>
      </c>
      <c r="H568" s="21">
        <f t="shared" si="19"/>
        <v>8.0374104924740841E-3</v>
      </c>
    </row>
    <row r="569" spans="2:8" x14ac:dyDescent="0.25">
      <c r="B569" s="30">
        <v>44631</v>
      </c>
      <c r="C569" s="31">
        <v>16630.45</v>
      </c>
      <c r="D569" s="21">
        <f t="shared" si="18"/>
        <v>2.1422244183453287E-3</v>
      </c>
      <c r="F569" s="30">
        <v>44656</v>
      </c>
      <c r="G569" s="32">
        <v>6.899</v>
      </c>
      <c r="H569" s="21">
        <f t="shared" si="19"/>
        <v>1.449695563933151E-4</v>
      </c>
    </row>
    <row r="570" spans="2:8" x14ac:dyDescent="0.25">
      <c r="B570" s="30">
        <v>44634</v>
      </c>
      <c r="C570" s="31">
        <v>16871.3</v>
      </c>
      <c r="D570" s="21">
        <f t="shared" si="18"/>
        <v>1.4482470408196946E-2</v>
      </c>
      <c r="F570" s="30">
        <v>44657</v>
      </c>
      <c r="G570" s="32">
        <v>6.9169999999999998</v>
      </c>
      <c r="H570" s="21">
        <f t="shared" si="19"/>
        <v>2.6090737788084795E-3</v>
      </c>
    </row>
    <row r="571" spans="2:8" x14ac:dyDescent="0.25">
      <c r="B571" s="30">
        <v>44635</v>
      </c>
      <c r="C571" s="31">
        <v>16663</v>
      </c>
      <c r="D571" s="21">
        <f t="shared" si="18"/>
        <v>-1.2346410768583338E-2</v>
      </c>
      <c r="F571" s="30">
        <v>44658</v>
      </c>
      <c r="G571" s="32">
        <v>6.9139999999999997</v>
      </c>
      <c r="H571" s="21">
        <f t="shared" si="19"/>
        <v>-4.3371403787773044E-4</v>
      </c>
    </row>
    <row r="572" spans="2:8" x14ac:dyDescent="0.25">
      <c r="B572" s="30">
        <v>44636</v>
      </c>
      <c r="C572" s="31">
        <v>16975.349999999999</v>
      </c>
      <c r="D572" s="21">
        <f t="shared" si="18"/>
        <v>1.8745123927264018E-2</v>
      </c>
      <c r="F572" s="30">
        <v>44659</v>
      </c>
      <c r="G572" s="32">
        <v>7.1189999999999998</v>
      </c>
      <c r="H572" s="21">
        <f t="shared" si="19"/>
        <v>2.9649985536592371E-2</v>
      </c>
    </row>
    <row r="573" spans="2:8" x14ac:dyDescent="0.25">
      <c r="B573" s="30">
        <v>44637</v>
      </c>
      <c r="C573" s="31">
        <v>17287.05</v>
      </c>
      <c r="D573" s="21">
        <f t="shared" si="18"/>
        <v>1.8361918900052121E-2</v>
      </c>
      <c r="F573" s="30">
        <v>44662</v>
      </c>
      <c r="G573" s="32">
        <v>7.149</v>
      </c>
      <c r="H573" s="21">
        <f t="shared" si="19"/>
        <v>4.2140750105352787E-3</v>
      </c>
    </row>
    <row r="574" spans="2:8" x14ac:dyDescent="0.25">
      <c r="B574" s="30">
        <v>44641</v>
      </c>
      <c r="C574" s="31">
        <v>17117.599999999999</v>
      </c>
      <c r="D574" s="21">
        <f t="shared" si="18"/>
        <v>-9.8021351242694177E-3</v>
      </c>
      <c r="F574" s="30">
        <v>44663</v>
      </c>
      <c r="G574" s="32">
        <v>7.1890000000000001</v>
      </c>
      <c r="H574" s="21">
        <f t="shared" si="19"/>
        <v>5.5951881382012569E-3</v>
      </c>
    </row>
    <row r="575" spans="2:8" x14ac:dyDescent="0.25">
      <c r="B575" s="30">
        <v>44642</v>
      </c>
      <c r="C575" s="31">
        <v>17315.5</v>
      </c>
      <c r="D575" s="21">
        <f t="shared" si="18"/>
        <v>1.1561200168247909E-2</v>
      </c>
      <c r="F575" s="30">
        <v>44664</v>
      </c>
      <c r="G575" s="32">
        <v>7.2149999999999999</v>
      </c>
      <c r="H575" s="21">
        <f t="shared" si="19"/>
        <v>3.6166365280290158E-3</v>
      </c>
    </row>
    <row r="576" spans="2:8" x14ac:dyDescent="0.25">
      <c r="B576" s="30">
        <v>44643</v>
      </c>
      <c r="C576" s="31">
        <v>17245.650000000001</v>
      </c>
      <c r="D576" s="21">
        <f t="shared" si="18"/>
        <v>-4.0339580144955756E-3</v>
      </c>
      <c r="F576" s="30">
        <v>44669</v>
      </c>
      <c r="G576" s="32">
        <v>7.1529999999999996</v>
      </c>
      <c r="H576" s="21">
        <f t="shared" si="19"/>
        <v>-8.5932085932086677E-3</v>
      </c>
    </row>
    <row r="577" spans="2:8" x14ac:dyDescent="0.25">
      <c r="B577" s="30">
        <v>44644</v>
      </c>
      <c r="C577" s="31">
        <v>17222.75</v>
      </c>
      <c r="D577" s="21">
        <f t="shared" si="18"/>
        <v>-1.3278710863320331E-3</v>
      </c>
      <c r="F577" s="30">
        <v>44670</v>
      </c>
      <c r="G577" s="32">
        <v>7.1509999999999998</v>
      </c>
      <c r="H577" s="21">
        <f t="shared" si="19"/>
        <v>-2.7960296379136995E-4</v>
      </c>
    </row>
    <row r="578" spans="2:8" x14ac:dyDescent="0.25">
      <c r="B578" s="30">
        <v>44645</v>
      </c>
      <c r="C578" s="31">
        <v>17153</v>
      </c>
      <c r="D578" s="21">
        <f t="shared" si="18"/>
        <v>-4.049875890900112E-3</v>
      </c>
      <c r="F578" s="30">
        <v>44671</v>
      </c>
      <c r="G578" s="32">
        <v>7.1050000000000004</v>
      </c>
      <c r="H578" s="21">
        <f t="shared" si="19"/>
        <v>-6.4326667598936238E-3</v>
      </c>
    </row>
    <row r="579" spans="2:8" x14ac:dyDescent="0.25">
      <c r="B579" s="30">
        <v>44648</v>
      </c>
      <c r="C579" s="31">
        <v>17222</v>
      </c>
      <c r="D579" s="21">
        <f t="shared" si="18"/>
        <v>4.0226199498629711E-3</v>
      </c>
      <c r="F579" s="30">
        <v>44672</v>
      </c>
      <c r="G579" s="32">
        <v>7.1440000000000001</v>
      </c>
      <c r="H579" s="21">
        <f t="shared" si="19"/>
        <v>5.4890921885994981E-3</v>
      </c>
    </row>
    <row r="580" spans="2:8" x14ac:dyDescent="0.25">
      <c r="B580" s="30">
        <v>44649</v>
      </c>
      <c r="C580" s="31">
        <v>17325.3</v>
      </c>
      <c r="D580" s="21">
        <f t="shared" si="18"/>
        <v>5.9981419115084922E-3</v>
      </c>
      <c r="F580" s="30">
        <v>44673</v>
      </c>
      <c r="G580" s="32">
        <v>7.1669999999999998</v>
      </c>
      <c r="H580" s="21">
        <f t="shared" si="19"/>
        <v>3.2194848824187439E-3</v>
      </c>
    </row>
    <row r="581" spans="2:8" x14ac:dyDescent="0.25">
      <c r="B581" s="30">
        <v>44650</v>
      </c>
      <c r="C581" s="31">
        <v>17498.25</v>
      </c>
      <c r="D581" s="21">
        <f t="shared" si="18"/>
        <v>9.9825111253484256E-3</v>
      </c>
      <c r="F581" s="30">
        <v>44676</v>
      </c>
      <c r="G581" s="32">
        <v>7.0430000000000001</v>
      </c>
      <c r="H581" s="21">
        <f t="shared" si="19"/>
        <v>-1.7301520859494879E-2</v>
      </c>
    </row>
    <row r="582" spans="2:8" x14ac:dyDescent="0.25">
      <c r="B582" s="30">
        <v>44651</v>
      </c>
      <c r="C582" s="31">
        <v>17464.75</v>
      </c>
      <c r="D582" s="21">
        <f t="shared" si="18"/>
        <v>-1.9144771620018819E-3</v>
      </c>
      <c r="F582" s="30">
        <v>44677</v>
      </c>
      <c r="G582" s="32">
        <v>7.0529999999999999</v>
      </c>
      <c r="H582" s="21">
        <f t="shared" si="19"/>
        <v>1.419849495953418E-3</v>
      </c>
    </row>
    <row r="583" spans="2:8" x14ac:dyDescent="0.25">
      <c r="B583" s="30">
        <v>44652</v>
      </c>
      <c r="C583" s="31">
        <v>17670.45</v>
      </c>
      <c r="D583" s="21">
        <f t="shared" si="18"/>
        <v>1.1778009991554539E-2</v>
      </c>
      <c r="F583" s="30">
        <v>44678</v>
      </c>
      <c r="G583" s="32">
        <v>7.0830000000000002</v>
      </c>
      <c r="H583" s="21">
        <f t="shared" si="19"/>
        <v>4.2535091450446316E-3</v>
      </c>
    </row>
    <row r="584" spans="2:8" x14ac:dyDescent="0.25">
      <c r="B584" s="30">
        <v>44655</v>
      </c>
      <c r="C584" s="31">
        <v>18053.400000000001</v>
      </c>
      <c r="D584" s="21">
        <f t="shared" si="18"/>
        <v>2.1671774063478866E-2</v>
      </c>
      <c r="F584" s="30">
        <v>44679</v>
      </c>
      <c r="G584" s="32">
        <v>7.1550000000000002</v>
      </c>
      <c r="H584" s="21">
        <f t="shared" si="19"/>
        <v>1.0165184243964509E-2</v>
      </c>
    </row>
    <row r="585" spans="2:8" x14ac:dyDescent="0.25">
      <c r="B585" s="30">
        <v>44656</v>
      </c>
      <c r="C585" s="31">
        <v>17957.400000000001</v>
      </c>
      <c r="D585" s="21">
        <f t="shared" si="18"/>
        <v>-5.3175579115291027E-3</v>
      </c>
      <c r="F585" s="30">
        <v>44680</v>
      </c>
      <c r="G585" s="32">
        <v>7.1390000000000002</v>
      </c>
      <c r="H585" s="21">
        <f t="shared" si="19"/>
        <v>-2.2361984626135811E-3</v>
      </c>
    </row>
    <row r="586" spans="2:8" x14ac:dyDescent="0.25">
      <c r="B586" s="30">
        <v>44657</v>
      </c>
      <c r="C586" s="31">
        <v>17807.650000000001</v>
      </c>
      <c r="D586" s="21">
        <f t="shared" si="18"/>
        <v>-8.3391805049728429E-3</v>
      </c>
      <c r="F586" s="30">
        <v>44683</v>
      </c>
      <c r="G586" s="32">
        <v>7.1189999999999998</v>
      </c>
      <c r="H586" s="21">
        <f t="shared" si="19"/>
        <v>-2.8015128169212034E-3</v>
      </c>
    </row>
    <row r="587" spans="2:8" x14ac:dyDescent="0.25">
      <c r="B587" s="30">
        <v>44658</v>
      </c>
      <c r="C587" s="31">
        <v>17639.55</v>
      </c>
      <c r="D587" s="21">
        <f t="shared" si="18"/>
        <v>-9.4397632478178117E-3</v>
      </c>
      <c r="F587" s="30">
        <v>44685</v>
      </c>
      <c r="G587" s="32">
        <v>7.3780000000000001</v>
      </c>
      <c r="H587" s="21">
        <f t="shared" si="19"/>
        <v>3.6381514257620484E-2</v>
      </c>
    </row>
    <row r="588" spans="2:8" x14ac:dyDescent="0.25">
      <c r="B588" s="30">
        <v>44659</v>
      </c>
      <c r="C588" s="31">
        <v>17784.349999999999</v>
      </c>
      <c r="D588" s="21">
        <f t="shared" si="18"/>
        <v>8.208826188876639E-3</v>
      </c>
      <c r="F588" s="30">
        <v>44686</v>
      </c>
      <c r="G588" s="32">
        <v>7.4029999999999996</v>
      </c>
      <c r="H588" s="21">
        <f t="shared" si="19"/>
        <v>3.3884521550555657E-3</v>
      </c>
    </row>
    <row r="589" spans="2:8" x14ac:dyDescent="0.25">
      <c r="B589" s="30">
        <v>44662</v>
      </c>
      <c r="C589" s="31">
        <v>17674.95</v>
      </c>
      <c r="D589" s="21">
        <f t="shared" si="18"/>
        <v>-6.1514758762618582E-3</v>
      </c>
      <c r="F589" s="30">
        <v>44687</v>
      </c>
      <c r="G589" s="32">
        <v>7.4509999999999996</v>
      </c>
      <c r="H589" s="21">
        <f t="shared" si="19"/>
        <v>6.4838578954478088E-3</v>
      </c>
    </row>
    <row r="590" spans="2:8" x14ac:dyDescent="0.25">
      <c r="B590" s="30">
        <v>44663</v>
      </c>
      <c r="C590" s="31">
        <v>17530.3</v>
      </c>
      <c r="D590" s="21">
        <f t="shared" si="18"/>
        <v>-8.1838986814674053E-3</v>
      </c>
      <c r="F590" s="30">
        <v>44690</v>
      </c>
      <c r="G590" s="32">
        <v>7.4649999999999999</v>
      </c>
      <c r="H590" s="21">
        <f t="shared" si="19"/>
        <v>1.8789424238356833E-3</v>
      </c>
    </row>
    <row r="591" spans="2:8" x14ac:dyDescent="0.25">
      <c r="B591" s="30">
        <v>44664</v>
      </c>
      <c r="C591" s="31">
        <v>17475.650000000001</v>
      </c>
      <c r="D591" s="21">
        <f t="shared" si="18"/>
        <v>-3.1174594844354253E-3</v>
      </c>
      <c r="F591" s="30">
        <v>44691</v>
      </c>
      <c r="G591" s="32">
        <v>7.3010000000000002</v>
      </c>
      <c r="H591" s="21">
        <f t="shared" si="19"/>
        <v>-2.1969189551239054E-2</v>
      </c>
    </row>
    <row r="592" spans="2:8" x14ac:dyDescent="0.25">
      <c r="B592" s="30">
        <v>44669</v>
      </c>
      <c r="C592" s="31">
        <v>17173.650000000001</v>
      </c>
      <c r="D592" s="21">
        <f t="shared" si="18"/>
        <v>-1.7281188396425895E-2</v>
      </c>
      <c r="F592" s="30">
        <v>44692</v>
      </c>
      <c r="G592" s="32">
        <v>7.2149999999999999</v>
      </c>
      <c r="H592" s="21">
        <f t="shared" si="19"/>
        <v>-1.1779208327626356E-2</v>
      </c>
    </row>
    <row r="593" spans="2:8" x14ac:dyDescent="0.25">
      <c r="B593" s="30">
        <v>44670</v>
      </c>
      <c r="C593" s="31">
        <v>16958.650000000001</v>
      </c>
      <c r="D593" s="21">
        <f t="shared" si="18"/>
        <v>-1.251917909122402E-2</v>
      </c>
      <c r="F593" s="30">
        <v>44693</v>
      </c>
      <c r="G593" s="32">
        <v>7.2439999999999998</v>
      </c>
      <c r="H593" s="21">
        <f t="shared" si="19"/>
        <v>4.0194040194039271E-3</v>
      </c>
    </row>
    <row r="594" spans="2:8" x14ac:dyDescent="0.25">
      <c r="B594" s="30">
        <v>44671</v>
      </c>
      <c r="C594" s="31">
        <v>17136.55</v>
      </c>
      <c r="D594" s="21">
        <f t="shared" si="18"/>
        <v>1.0490221804211775E-2</v>
      </c>
      <c r="F594" s="30">
        <v>44694</v>
      </c>
      <c r="G594" s="32">
        <v>7.3179999999999996</v>
      </c>
      <c r="H594" s="21">
        <f t="shared" si="19"/>
        <v>1.0215350635008225E-2</v>
      </c>
    </row>
    <row r="595" spans="2:8" x14ac:dyDescent="0.25">
      <c r="B595" s="30">
        <v>44672</v>
      </c>
      <c r="C595" s="31">
        <v>17392.599999999999</v>
      </c>
      <c r="D595" s="21">
        <f t="shared" si="18"/>
        <v>1.4941747317867238E-2</v>
      </c>
      <c r="F595" s="30">
        <v>44698</v>
      </c>
      <c r="G595" s="32">
        <v>7.3659999999999997</v>
      </c>
      <c r="H595" s="21">
        <f t="shared" si="19"/>
        <v>6.5591691719049106E-3</v>
      </c>
    </row>
    <row r="596" spans="2:8" x14ac:dyDescent="0.25">
      <c r="B596" s="30">
        <v>44673</v>
      </c>
      <c r="C596" s="31">
        <v>17171.95</v>
      </c>
      <c r="D596" s="21">
        <f t="shared" si="18"/>
        <v>-1.2686429860975235E-2</v>
      </c>
      <c r="F596" s="30">
        <v>44699</v>
      </c>
      <c r="G596" s="32">
        <v>7.3550000000000004</v>
      </c>
      <c r="H596" s="21">
        <f t="shared" si="19"/>
        <v>-1.4933478142817869E-3</v>
      </c>
    </row>
    <row r="597" spans="2:8" x14ac:dyDescent="0.25">
      <c r="B597" s="30">
        <v>44676</v>
      </c>
      <c r="C597" s="31">
        <v>16953.95</v>
      </c>
      <c r="D597" s="21">
        <f t="shared" si="18"/>
        <v>-1.2695121986728397E-2</v>
      </c>
      <c r="F597" s="30">
        <v>44700</v>
      </c>
      <c r="G597" s="32">
        <v>7.32</v>
      </c>
      <c r="H597" s="21">
        <f t="shared" si="19"/>
        <v>-4.7586675730795225E-3</v>
      </c>
    </row>
    <row r="598" spans="2:8" x14ac:dyDescent="0.25">
      <c r="B598" s="30">
        <v>44677</v>
      </c>
      <c r="C598" s="31">
        <v>17200.8</v>
      </c>
      <c r="D598" s="21">
        <f t="shared" si="18"/>
        <v>1.4560028783852541E-2</v>
      </c>
      <c r="F598" s="30">
        <v>44701</v>
      </c>
      <c r="G598" s="32">
        <v>7.359</v>
      </c>
      <c r="H598" s="21">
        <f t="shared" si="19"/>
        <v>5.3278688524589501E-3</v>
      </c>
    </row>
    <row r="599" spans="2:8" x14ac:dyDescent="0.25">
      <c r="B599" s="30">
        <v>44678</v>
      </c>
      <c r="C599" s="31">
        <v>17038.400000000001</v>
      </c>
      <c r="D599" s="21">
        <f t="shared" ref="D599:D662" si="20">C599/C598-1</f>
        <v>-9.4414213292404181E-3</v>
      </c>
      <c r="F599" s="30">
        <v>44704</v>
      </c>
      <c r="G599" s="32">
        <v>7.3860000000000001</v>
      </c>
      <c r="H599" s="21">
        <f t="shared" ref="H599:H662" si="21">G599/G598-1</f>
        <v>3.6689767631472581E-3</v>
      </c>
    </row>
    <row r="600" spans="2:8" x14ac:dyDescent="0.25">
      <c r="B600" s="30">
        <v>44679</v>
      </c>
      <c r="C600" s="31">
        <v>17245.05</v>
      </c>
      <c r="D600" s="21">
        <f t="shared" si="20"/>
        <v>1.2128486242839465E-2</v>
      </c>
      <c r="F600" s="30">
        <v>44705</v>
      </c>
      <c r="G600" s="32">
        <v>7.359</v>
      </c>
      <c r="H600" s="21">
        <f t="shared" si="21"/>
        <v>-3.6555645816409577E-3</v>
      </c>
    </row>
    <row r="601" spans="2:8" x14ac:dyDescent="0.25">
      <c r="B601" s="30">
        <v>44680</v>
      </c>
      <c r="C601" s="31">
        <v>17102.55</v>
      </c>
      <c r="D601" s="21">
        <f t="shared" si="20"/>
        <v>-8.263240756043011E-3</v>
      </c>
      <c r="F601" s="30">
        <v>44706</v>
      </c>
      <c r="G601" s="32">
        <v>7.3049999999999997</v>
      </c>
      <c r="H601" s="21">
        <f t="shared" si="21"/>
        <v>-7.3379535262944051E-3</v>
      </c>
    </row>
    <row r="602" spans="2:8" x14ac:dyDescent="0.25">
      <c r="B602" s="30">
        <v>44683</v>
      </c>
      <c r="C602" s="31">
        <v>17069.099999999999</v>
      </c>
      <c r="D602" s="21">
        <f t="shared" si="20"/>
        <v>-1.9558486892305993E-3</v>
      </c>
      <c r="F602" s="30">
        <v>44707</v>
      </c>
      <c r="G602" s="32">
        <v>7.2939999999999996</v>
      </c>
      <c r="H602" s="21">
        <f t="shared" si="21"/>
        <v>-1.5058179329227039E-3</v>
      </c>
    </row>
    <row r="603" spans="2:8" x14ac:dyDescent="0.25">
      <c r="B603" s="30">
        <v>44685</v>
      </c>
      <c r="C603" s="31">
        <v>16677.599999999999</v>
      </c>
      <c r="D603" s="21">
        <f t="shared" si="20"/>
        <v>-2.293618292704358E-2</v>
      </c>
      <c r="F603" s="30">
        <v>44708</v>
      </c>
      <c r="G603" s="32">
        <v>7.35</v>
      </c>
      <c r="H603" s="21">
        <f t="shared" si="21"/>
        <v>7.6775431861804133E-3</v>
      </c>
    </row>
    <row r="604" spans="2:8" x14ac:dyDescent="0.25">
      <c r="B604" s="30">
        <v>44686</v>
      </c>
      <c r="C604" s="31">
        <v>16682.650000000001</v>
      </c>
      <c r="D604" s="21">
        <f t="shared" si="20"/>
        <v>3.0280136230653731E-4</v>
      </c>
      <c r="F604" s="30">
        <v>44711</v>
      </c>
      <c r="G604" s="32">
        <v>7.4089999999999998</v>
      </c>
      <c r="H604" s="21">
        <f t="shared" si="21"/>
        <v>8.0272108843537637E-3</v>
      </c>
    </row>
    <row r="605" spans="2:8" x14ac:dyDescent="0.25">
      <c r="B605" s="30">
        <v>44687</v>
      </c>
      <c r="C605" s="31">
        <v>16411.25</v>
      </c>
      <c r="D605" s="21">
        <f t="shared" si="20"/>
        <v>-1.6268398605737144E-2</v>
      </c>
      <c r="F605" s="30">
        <v>44712</v>
      </c>
      <c r="G605" s="32">
        <v>7.415</v>
      </c>
      <c r="H605" s="21">
        <f t="shared" si="21"/>
        <v>8.0982588743427897E-4</v>
      </c>
    </row>
    <row r="606" spans="2:8" x14ac:dyDescent="0.25">
      <c r="B606" s="30">
        <v>44690</v>
      </c>
      <c r="C606" s="31">
        <v>16301.85</v>
      </c>
      <c r="D606" s="21">
        <f t="shared" si="20"/>
        <v>-6.6661588849112885E-3</v>
      </c>
      <c r="F606" s="30">
        <v>44713</v>
      </c>
      <c r="G606" s="32">
        <v>7.4139999999999997</v>
      </c>
      <c r="H606" s="21">
        <f t="shared" si="21"/>
        <v>-1.3486176668919825E-4</v>
      </c>
    </row>
    <row r="607" spans="2:8" x14ac:dyDescent="0.25">
      <c r="B607" s="30">
        <v>44691</v>
      </c>
      <c r="C607" s="31">
        <v>16240.05</v>
      </c>
      <c r="D607" s="21">
        <f t="shared" si="20"/>
        <v>-3.7909807782553484E-3</v>
      </c>
      <c r="F607" s="30">
        <v>44714</v>
      </c>
      <c r="G607" s="32">
        <v>7.4340000000000002</v>
      </c>
      <c r="H607" s="21">
        <f t="shared" si="21"/>
        <v>2.6975991367683694E-3</v>
      </c>
    </row>
    <row r="608" spans="2:8" x14ac:dyDescent="0.25">
      <c r="B608" s="30">
        <v>44692</v>
      </c>
      <c r="C608" s="31">
        <v>16167.1</v>
      </c>
      <c r="D608" s="21">
        <f t="shared" si="20"/>
        <v>-4.4919812439000451E-3</v>
      </c>
      <c r="F608" s="30">
        <v>44715</v>
      </c>
      <c r="G608" s="32">
        <v>7.4560000000000004</v>
      </c>
      <c r="H608" s="21">
        <f t="shared" si="21"/>
        <v>2.9593758407318038E-3</v>
      </c>
    </row>
    <row r="609" spans="2:8" x14ac:dyDescent="0.25">
      <c r="B609" s="30">
        <v>44693</v>
      </c>
      <c r="C609" s="31">
        <v>15808</v>
      </c>
      <c r="D609" s="21">
        <f t="shared" si="20"/>
        <v>-2.2211775766835085E-2</v>
      </c>
      <c r="F609" s="30">
        <v>44718</v>
      </c>
      <c r="G609" s="32">
        <v>7.5</v>
      </c>
      <c r="H609" s="21">
        <f t="shared" si="21"/>
        <v>5.9012875536479381E-3</v>
      </c>
    </row>
    <row r="610" spans="2:8" x14ac:dyDescent="0.25">
      <c r="B610" s="30">
        <v>44694</v>
      </c>
      <c r="C610" s="31">
        <v>15782.15</v>
      </c>
      <c r="D610" s="21">
        <f t="shared" si="20"/>
        <v>-1.6352479757085758E-3</v>
      </c>
      <c r="F610" s="30">
        <v>44719</v>
      </c>
      <c r="G610" s="32">
        <v>7.5179999999999998</v>
      </c>
      <c r="H610" s="21">
        <f t="shared" si="21"/>
        <v>2.3999999999999577E-3</v>
      </c>
    </row>
    <row r="611" spans="2:8" x14ac:dyDescent="0.25">
      <c r="B611" s="30">
        <v>44697</v>
      </c>
      <c r="C611" s="31">
        <v>15842.3</v>
      </c>
      <c r="D611" s="21">
        <f t="shared" si="20"/>
        <v>3.811267793044637E-3</v>
      </c>
      <c r="F611" s="30">
        <v>44720</v>
      </c>
      <c r="G611" s="32">
        <v>7.4939999999999998</v>
      </c>
      <c r="H611" s="21">
        <f t="shared" si="21"/>
        <v>-3.1923383878691425E-3</v>
      </c>
    </row>
    <row r="612" spans="2:8" x14ac:dyDescent="0.25">
      <c r="B612" s="30">
        <v>44698</v>
      </c>
      <c r="C612" s="31">
        <v>16259.3</v>
      </c>
      <c r="D612" s="21">
        <f t="shared" si="20"/>
        <v>2.6321935577536149E-2</v>
      </c>
      <c r="F612" s="30">
        <v>44721</v>
      </c>
      <c r="G612" s="32">
        <v>7.4960000000000004</v>
      </c>
      <c r="H612" s="21">
        <f t="shared" si="21"/>
        <v>2.6688017080345183E-4</v>
      </c>
    </row>
    <row r="613" spans="2:8" x14ac:dyDescent="0.25">
      <c r="B613" s="30">
        <v>44699</v>
      </c>
      <c r="C613" s="31">
        <v>16240.3</v>
      </c>
      <c r="D613" s="21">
        <f t="shared" si="20"/>
        <v>-1.1685619922137125E-3</v>
      </c>
      <c r="F613" s="30">
        <v>44722</v>
      </c>
      <c r="G613" s="32">
        <v>7.5190000000000001</v>
      </c>
      <c r="H613" s="21">
        <f t="shared" si="21"/>
        <v>3.0683030949838486E-3</v>
      </c>
    </row>
    <row r="614" spans="2:8" x14ac:dyDescent="0.25">
      <c r="B614" s="30">
        <v>44700</v>
      </c>
      <c r="C614" s="31">
        <v>15809.4</v>
      </c>
      <c r="D614" s="21">
        <f t="shared" si="20"/>
        <v>-2.6532761094314794E-2</v>
      </c>
      <c r="F614" s="30">
        <v>44725</v>
      </c>
      <c r="G614" s="32">
        <v>7.6040000000000001</v>
      </c>
      <c r="H614" s="21">
        <f t="shared" si="21"/>
        <v>1.1304694773241142E-2</v>
      </c>
    </row>
    <row r="615" spans="2:8" x14ac:dyDescent="0.25">
      <c r="B615" s="30">
        <v>44701</v>
      </c>
      <c r="C615" s="31">
        <v>16266.15</v>
      </c>
      <c r="D615" s="21">
        <f t="shared" si="20"/>
        <v>2.8891039508140759E-2</v>
      </c>
      <c r="F615" s="30">
        <v>44726</v>
      </c>
      <c r="G615" s="32">
        <v>7.5810000000000004</v>
      </c>
      <c r="H615" s="21">
        <f t="shared" si="21"/>
        <v>-3.0247238295633139E-3</v>
      </c>
    </row>
    <row r="616" spans="2:8" x14ac:dyDescent="0.25">
      <c r="B616" s="30">
        <v>44704</v>
      </c>
      <c r="C616" s="31">
        <v>16214.7</v>
      </c>
      <c r="D616" s="21">
        <f t="shared" si="20"/>
        <v>-3.1630103005320098E-3</v>
      </c>
      <c r="F616" s="30">
        <v>44727</v>
      </c>
      <c r="G616" s="32">
        <v>7.5919999999999996</v>
      </c>
      <c r="H616" s="21">
        <f t="shared" si="21"/>
        <v>1.4509959108295334E-3</v>
      </c>
    </row>
    <row r="617" spans="2:8" x14ac:dyDescent="0.25">
      <c r="B617" s="30">
        <v>44705</v>
      </c>
      <c r="C617" s="31">
        <v>16125.15</v>
      </c>
      <c r="D617" s="21">
        <f t="shared" si="20"/>
        <v>-5.5227663786564518E-3</v>
      </c>
      <c r="F617" s="30">
        <v>44728</v>
      </c>
      <c r="G617" s="32">
        <v>7.617</v>
      </c>
      <c r="H617" s="21">
        <f t="shared" si="21"/>
        <v>3.2929399367755963E-3</v>
      </c>
    </row>
    <row r="618" spans="2:8" x14ac:dyDescent="0.25">
      <c r="B618" s="30">
        <v>44706</v>
      </c>
      <c r="C618" s="31">
        <v>16025.8</v>
      </c>
      <c r="D618" s="21">
        <f t="shared" si="20"/>
        <v>-6.1611829967473941E-3</v>
      </c>
      <c r="F618" s="30">
        <v>44729</v>
      </c>
      <c r="G618" s="32">
        <v>7.5460000000000003</v>
      </c>
      <c r="H618" s="21">
        <f t="shared" si="21"/>
        <v>-9.3212550873046363E-3</v>
      </c>
    </row>
    <row r="619" spans="2:8" x14ac:dyDescent="0.25">
      <c r="B619" s="30">
        <v>44707</v>
      </c>
      <c r="C619" s="31">
        <v>16170.15</v>
      </c>
      <c r="D619" s="21">
        <f t="shared" si="20"/>
        <v>9.0073506470815801E-3</v>
      </c>
      <c r="F619" s="30">
        <v>44732</v>
      </c>
      <c r="G619" s="32">
        <v>7.4269999999999996</v>
      </c>
      <c r="H619" s="21">
        <f t="shared" si="21"/>
        <v>-1.5769944341373021E-2</v>
      </c>
    </row>
    <row r="620" spans="2:8" x14ac:dyDescent="0.25">
      <c r="B620" s="30">
        <v>44708</v>
      </c>
      <c r="C620" s="31">
        <v>16352.45</v>
      </c>
      <c r="D620" s="21">
        <f t="shared" si="20"/>
        <v>1.1273859549849607E-2</v>
      </c>
      <c r="F620" s="30">
        <v>44733</v>
      </c>
      <c r="G620" s="32">
        <v>7.4820000000000002</v>
      </c>
      <c r="H620" s="21">
        <f t="shared" si="21"/>
        <v>7.4054126834524059E-3</v>
      </c>
    </row>
    <row r="621" spans="2:8" x14ac:dyDescent="0.25">
      <c r="B621" s="30">
        <v>44711</v>
      </c>
      <c r="C621" s="31">
        <v>16661.400000000001</v>
      </c>
      <c r="D621" s="21">
        <f t="shared" si="20"/>
        <v>1.8893193374693196E-2</v>
      </c>
      <c r="F621" s="30">
        <v>44734</v>
      </c>
      <c r="G621" s="32">
        <v>7.3959999999999999</v>
      </c>
      <c r="H621" s="21">
        <f t="shared" si="21"/>
        <v>-1.1494252873563204E-2</v>
      </c>
    </row>
    <row r="622" spans="2:8" x14ac:dyDescent="0.25">
      <c r="B622" s="30">
        <v>44712</v>
      </c>
      <c r="C622" s="31">
        <v>16584.55</v>
      </c>
      <c r="D622" s="21">
        <f t="shared" si="20"/>
        <v>-4.6124575365816822E-3</v>
      </c>
      <c r="F622" s="30">
        <v>44735</v>
      </c>
      <c r="G622" s="32">
        <v>7.4189999999999996</v>
      </c>
      <c r="H622" s="21">
        <f t="shared" si="21"/>
        <v>3.1097890751756729E-3</v>
      </c>
    </row>
    <row r="623" spans="2:8" x14ac:dyDescent="0.25">
      <c r="B623" s="30">
        <v>44713</v>
      </c>
      <c r="C623" s="31">
        <v>16522.75</v>
      </c>
      <c r="D623" s="21">
        <f t="shared" si="20"/>
        <v>-3.7263597746094446E-3</v>
      </c>
      <c r="F623" s="30">
        <v>44736</v>
      </c>
      <c r="G623" s="32">
        <v>7.444</v>
      </c>
      <c r="H623" s="21">
        <f t="shared" si="21"/>
        <v>3.3697263782181963E-3</v>
      </c>
    </row>
    <row r="624" spans="2:8" x14ac:dyDescent="0.25">
      <c r="B624" s="30">
        <v>44714</v>
      </c>
      <c r="C624" s="31">
        <v>16628</v>
      </c>
      <c r="D624" s="21">
        <f t="shared" si="20"/>
        <v>6.3700049931154634E-3</v>
      </c>
      <c r="F624" s="30">
        <v>44739</v>
      </c>
      <c r="G624" s="32">
        <v>7.407</v>
      </c>
      <c r="H624" s="21">
        <f t="shared" si="21"/>
        <v>-4.9704459967758741E-3</v>
      </c>
    </row>
    <row r="625" spans="2:8" x14ac:dyDescent="0.25">
      <c r="B625" s="30">
        <v>44715</v>
      </c>
      <c r="C625" s="31">
        <v>16584.3</v>
      </c>
      <c r="D625" s="21">
        <f t="shared" si="20"/>
        <v>-2.6280971854703017E-3</v>
      </c>
      <c r="F625" s="30">
        <v>44740</v>
      </c>
      <c r="G625" s="32">
        <v>7.4660000000000002</v>
      </c>
      <c r="H625" s="21">
        <f t="shared" si="21"/>
        <v>7.9654380990954454E-3</v>
      </c>
    </row>
    <row r="626" spans="2:8" x14ac:dyDescent="0.25">
      <c r="B626" s="30">
        <v>44718</v>
      </c>
      <c r="C626" s="31">
        <v>16569.55</v>
      </c>
      <c r="D626" s="21">
        <f t="shared" si="20"/>
        <v>-8.8939539202737006E-4</v>
      </c>
      <c r="F626" s="30">
        <v>44741</v>
      </c>
      <c r="G626" s="32">
        <v>7.4589999999999996</v>
      </c>
      <c r="H626" s="21">
        <f t="shared" si="21"/>
        <v>-9.3758371283159114E-4</v>
      </c>
    </row>
    <row r="627" spans="2:8" x14ac:dyDescent="0.25">
      <c r="B627" s="30">
        <v>44719</v>
      </c>
      <c r="C627" s="31">
        <v>16416.349999999999</v>
      </c>
      <c r="D627" s="21">
        <f t="shared" si="20"/>
        <v>-9.2458757178076612E-3</v>
      </c>
      <c r="F627" s="30">
        <v>44742</v>
      </c>
      <c r="G627" s="32">
        <v>7.45</v>
      </c>
      <c r="H627" s="21">
        <f t="shared" si="21"/>
        <v>-1.2065960584528579E-3</v>
      </c>
    </row>
    <row r="628" spans="2:8" x14ac:dyDescent="0.25">
      <c r="B628" s="30">
        <v>44720</v>
      </c>
      <c r="C628" s="31">
        <v>16356.25</v>
      </c>
      <c r="D628" s="21">
        <f t="shared" si="20"/>
        <v>-3.6609843235554385E-3</v>
      </c>
      <c r="F628" s="30">
        <v>44743</v>
      </c>
      <c r="G628" s="32">
        <v>7.4240000000000004</v>
      </c>
      <c r="H628" s="21">
        <f t="shared" si="21"/>
        <v>-3.4899328859060441E-3</v>
      </c>
    </row>
    <row r="629" spans="2:8" x14ac:dyDescent="0.25">
      <c r="B629" s="30">
        <v>44721</v>
      </c>
      <c r="C629" s="31">
        <v>16478.099999999999</v>
      </c>
      <c r="D629" s="21">
        <f t="shared" si="20"/>
        <v>7.4497516239968586E-3</v>
      </c>
      <c r="F629" s="30">
        <v>44746</v>
      </c>
      <c r="G629" s="32">
        <v>7.3739999999999997</v>
      </c>
      <c r="H629" s="21">
        <f t="shared" si="21"/>
        <v>-6.7349137931035363E-3</v>
      </c>
    </row>
    <row r="630" spans="2:8" x14ac:dyDescent="0.25">
      <c r="B630" s="30">
        <v>44722</v>
      </c>
      <c r="C630" s="31">
        <v>16201.8</v>
      </c>
      <c r="D630" s="21">
        <f t="shared" si="20"/>
        <v>-1.6767709869463077E-2</v>
      </c>
      <c r="F630" s="30">
        <v>44747</v>
      </c>
      <c r="G630" s="32">
        <v>7.391</v>
      </c>
      <c r="H630" s="21">
        <f t="shared" si="21"/>
        <v>2.3053973420126272E-3</v>
      </c>
    </row>
    <row r="631" spans="2:8" x14ac:dyDescent="0.25">
      <c r="B631" s="30">
        <v>44725</v>
      </c>
      <c r="C631" s="31">
        <v>15774.4</v>
      </c>
      <c r="D631" s="21">
        <f t="shared" si="20"/>
        <v>-2.6379784962164643E-2</v>
      </c>
      <c r="F631" s="30">
        <v>44748</v>
      </c>
      <c r="G631" s="32">
        <v>7.2939999999999996</v>
      </c>
      <c r="H631" s="21">
        <f t="shared" si="21"/>
        <v>-1.3124069814639538E-2</v>
      </c>
    </row>
    <row r="632" spans="2:8" x14ac:dyDescent="0.25">
      <c r="B632" s="30">
        <v>44726</v>
      </c>
      <c r="C632" s="31">
        <v>15732.1</v>
      </c>
      <c r="D632" s="21">
        <f t="shared" si="20"/>
        <v>-2.6815599959427727E-3</v>
      </c>
      <c r="F632" s="30">
        <v>44749</v>
      </c>
      <c r="G632" s="32">
        <v>7.3540000000000001</v>
      </c>
      <c r="H632" s="21">
        <f t="shared" si="21"/>
        <v>8.2259391280505856E-3</v>
      </c>
    </row>
    <row r="633" spans="2:8" x14ac:dyDescent="0.25">
      <c r="B633" s="30">
        <v>44727</v>
      </c>
      <c r="C633" s="31">
        <v>15692.15</v>
      </c>
      <c r="D633" s="21">
        <f t="shared" si="20"/>
        <v>-2.5393939779178032E-3</v>
      </c>
      <c r="F633" s="30">
        <v>44750</v>
      </c>
      <c r="G633" s="32">
        <v>7.415</v>
      </c>
      <c r="H633" s="21">
        <f t="shared" si="21"/>
        <v>8.2948055480009941E-3</v>
      </c>
    </row>
    <row r="634" spans="2:8" x14ac:dyDescent="0.25">
      <c r="B634" s="30">
        <v>44728</v>
      </c>
      <c r="C634" s="31">
        <v>15360.6</v>
      </c>
      <c r="D634" s="21">
        <f t="shared" si="20"/>
        <v>-2.1128398594201458E-2</v>
      </c>
      <c r="F634" s="30">
        <v>44753</v>
      </c>
      <c r="G634" s="32">
        <v>7.4269999999999996</v>
      </c>
      <c r="H634" s="21">
        <f t="shared" si="21"/>
        <v>1.6183412002697128E-3</v>
      </c>
    </row>
    <row r="635" spans="2:8" x14ac:dyDescent="0.25">
      <c r="B635" s="30">
        <v>44729</v>
      </c>
      <c r="C635" s="31">
        <v>15293.5</v>
      </c>
      <c r="D635" s="21">
        <f t="shared" si="20"/>
        <v>-4.3683189458745275E-3</v>
      </c>
      <c r="F635" s="30">
        <v>44754</v>
      </c>
      <c r="G635" s="32">
        <v>7.391</v>
      </c>
      <c r="H635" s="21">
        <f t="shared" si="21"/>
        <v>-4.8471792109868739E-3</v>
      </c>
    </row>
    <row r="636" spans="2:8" x14ac:dyDescent="0.25">
      <c r="B636" s="30">
        <v>44732</v>
      </c>
      <c r="C636" s="31">
        <v>15350.15</v>
      </c>
      <c r="D636" s="21">
        <f t="shared" si="20"/>
        <v>3.7041880537482808E-3</v>
      </c>
      <c r="F636" s="30">
        <v>44755</v>
      </c>
      <c r="G636" s="32">
        <v>7.3369999999999997</v>
      </c>
      <c r="H636" s="21">
        <f t="shared" si="21"/>
        <v>-7.3061831957786927E-3</v>
      </c>
    </row>
    <row r="637" spans="2:8" x14ac:dyDescent="0.25">
      <c r="B637" s="30">
        <v>44733</v>
      </c>
      <c r="C637" s="31">
        <v>15638.8</v>
      </c>
      <c r="D637" s="21">
        <f t="shared" si="20"/>
        <v>1.8804376504464093E-2</v>
      </c>
      <c r="F637" s="30">
        <v>44756</v>
      </c>
      <c r="G637" s="32">
        <v>7.3840000000000003</v>
      </c>
      <c r="H637" s="21">
        <f t="shared" si="21"/>
        <v>6.4058879651083256E-3</v>
      </c>
    </row>
    <row r="638" spans="2:8" x14ac:dyDescent="0.25">
      <c r="B638" s="30">
        <v>44734</v>
      </c>
      <c r="C638" s="31">
        <v>15413.3</v>
      </c>
      <c r="D638" s="21">
        <f t="shared" si="20"/>
        <v>-1.4419264905235707E-2</v>
      </c>
      <c r="F638" s="30">
        <v>44757</v>
      </c>
      <c r="G638" s="32">
        <v>7.4379999999999997</v>
      </c>
      <c r="H638" s="21">
        <f t="shared" si="21"/>
        <v>7.3131094257854468E-3</v>
      </c>
    </row>
    <row r="639" spans="2:8" x14ac:dyDescent="0.25">
      <c r="B639" s="30">
        <v>44735</v>
      </c>
      <c r="C639" s="31">
        <v>15556.65</v>
      </c>
      <c r="D639" s="21">
        <f t="shared" si="20"/>
        <v>9.300409386698627E-3</v>
      </c>
      <c r="F639" s="30">
        <v>44760</v>
      </c>
      <c r="G639" s="32">
        <v>7.4370000000000003</v>
      </c>
      <c r="H639" s="21">
        <f t="shared" si="21"/>
        <v>-1.3444474321044897E-4</v>
      </c>
    </row>
    <row r="640" spans="2:8" x14ac:dyDescent="0.25">
      <c r="B640" s="30">
        <v>44736</v>
      </c>
      <c r="C640" s="31">
        <v>15699.25</v>
      </c>
      <c r="D640" s="21">
        <f t="shared" si="20"/>
        <v>9.1664979285386305E-3</v>
      </c>
      <c r="F640" s="30">
        <v>44761</v>
      </c>
      <c r="G640" s="32">
        <v>7.4340000000000002</v>
      </c>
      <c r="H640" s="21">
        <f t="shared" si="21"/>
        <v>-4.0338846308995979E-4</v>
      </c>
    </row>
    <row r="641" spans="2:8" x14ac:dyDescent="0.25">
      <c r="B641" s="30">
        <v>44739</v>
      </c>
      <c r="C641" s="31">
        <v>15832.05</v>
      </c>
      <c r="D641" s="21">
        <f t="shared" si="20"/>
        <v>8.4590028186060096E-3</v>
      </c>
      <c r="F641" s="30">
        <v>44762</v>
      </c>
      <c r="G641" s="32">
        <v>7.4489999999999998</v>
      </c>
      <c r="H641" s="21">
        <f t="shared" si="21"/>
        <v>2.0177562550443007E-3</v>
      </c>
    </row>
    <row r="642" spans="2:8" x14ac:dyDescent="0.25">
      <c r="B642" s="30">
        <v>44740</v>
      </c>
      <c r="C642" s="31">
        <v>15850.2</v>
      </c>
      <c r="D642" s="21">
        <f t="shared" si="20"/>
        <v>1.1464087089165798E-3</v>
      </c>
      <c r="F642" s="30">
        <v>44763</v>
      </c>
      <c r="G642" s="32">
        <v>7.44</v>
      </c>
      <c r="H642" s="21">
        <f t="shared" si="21"/>
        <v>-1.2082158679016519E-3</v>
      </c>
    </row>
    <row r="643" spans="2:8" x14ac:dyDescent="0.25">
      <c r="B643" s="30">
        <v>44741</v>
      </c>
      <c r="C643" s="31">
        <v>15799.1</v>
      </c>
      <c r="D643" s="21">
        <f t="shared" si="20"/>
        <v>-3.2239340828507101E-3</v>
      </c>
      <c r="F643" s="30">
        <v>44764</v>
      </c>
      <c r="G643" s="32">
        <v>7.4139999999999997</v>
      </c>
      <c r="H643" s="21">
        <f t="shared" si="21"/>
        <v>-3.4946236559140198E-3</v>
      </c>
    </row>
    <row r="644" spans="2:8" x14ac:dyDescent="0.25">
      <c r="B644" s="30">
        <v>44742</v>
      </c>
      <c r="C644" s="31">
        <v>15780.25</v>
      </c>
      <c r="D644" s="21">
        <f t="shared" si="20"/>
        <v>-1.193105936414085E-3</v>
      </c>
      <c r="F644" s="30">
        <v>44767</v>
      </c>
      <c r="G644" s="32">
        <v>7.391</v>
      </c>
      <c r="H644" s="21">
        <f t="shared" si="21"/>
        <v>-3.1022390072834582E-3</v>
      </c>
    </row>
    <row r="645" spans="2:8" x14ac:dyDescent="0.25">
      <c r="B645" s="30">
        <v>44743</v>
      </c>
      <c r="C645" s="31">
        <v>15752.05</v>
      </c>
      <c r="D645" s="21">
        <f t="shared" si="20"/>
        <v>-1.7870439314966458E-3</v>
      </c>
      <c r="F645" s="30">
        <v>44768</v>
      </c>
      <c r="G645" s="32">
        <v>7.367</v>
      </c>
      <c r="H645" s="21">
        <f t="shared" si="21"/>
        <v>-3.2471925314572214E-3</v>
      </c>
    </row>
    <row r="646" spans="2:8" x14ac:dyDescent="0.25">
      <c r="B646" s="30">
        <v>44746</v>
      </c>
      <c r="C646" s="31">
        <v>15835.35</v>
      </c>
      <c r="D646" s="21">
        <f t="shared" si="20"/>
        <v>5.2882005834162804E-3</v>
      </c>
      <c r="F646" s="30">
        <v>44769</v>
      </c>
      <c r="G646" s="32">
        <v>7.3380000000000001</v>
      </c>
      <c r="H646" s="21">
        <f t="shared" si="21"/>
        <v>-3.9364734627391762E-3</v>
      </c>
    </row>
    <row r="647" spans="2:8" x14ac:dyDescent="0.25">
      <c r="B647" s="30">
        <v>44747</v>
      </c>
      <c r="C647" s="31">
        <v>15810.85</v>
      </c>
      <c r="D647" s="21">
        <f t="shared" si="20"/>
        <v>-1.5471713602793757E-3</v>
      </c>
      <c r="F647" s="30">
        <v>44770</v>
      </c>
      <c r="G647" s="32">
        <v>7.3319999999999999</v>
      </c>
      <c r="H647" s="21">
        <f t="shared" si="21"/>
        <v>-8.1766148814399475E-4</v>
      </c>
    </row>
    <row r="648" spans="2:8" x14ac:dyDescent="0.25">
      <c r="B648" s="30">
        <v>44748</v>
      </c>
      <c r="C648" s="31">
        <v>15989.8</v>
      </c>
      <c r="D648" s="21">
        <f t="shared" si="20"/>
        <v>1.1318177074603808E-2</v>
      </c>
      <c r="F648" s="30">
        <v>44771</v>
      </c>
      <c r="G648" s="32">
        <v>7.32</v>
      </c>
      <c r="H648" s="21">
        <f t="shared" si="21"/>
        <v>-1.6366612111292644E-3</v>
      </c>
    </row>
    <row r="649" spans="2:8" x14ac:dyDescent="0.25">
      <c r="B649" s="30">
        <v>44749</v>
      </c>
      <c r="C649" s="31">
        <v>16132.9</v>
      </c>
      <c r="D649" s="21">
        <f t="shared" si="20"/>
        <v>8.9494552777396041E-3</v>
      </c>
      <c r="F649" s="30">
        <v>44774</v>
      </c>
      <c r="G649" s="32">
        <v>7.24</v>
      </c>
      <c r="H649" s="21">
        <f t="shared" si="21"/>
        <v>-1.0928961748633892E-2</v>
      </c>
    </row>
    <row r="650" spans="2:8" x14ac:dyDescent="0.25">
      <c r="B650" s="30">
        <v>44750</v>
      </c>
      <c r="C650" s="31">
        <v>16220.6</v>
      </c>
      <c r="D650" s="21">
        <f t="shared" si="20"/>
        <v>5.4360964240776077E-3</v>
      </c>
      <c r="F650" s="30">
        <v>44775</v>
      </c>
      <c r="G650" s="32">
        <v>7.1959999999999997</v>
      </c>
      <c r="H650" s="21">
        <f t="shared" si="21"/>
        <v>-6.0773480662984491E-3</v>
      </c>
    </row>
    <row r="651" spans="2:8" x14ac:dyDescent="0.25">
      <c r="B651" s="30">
        <v>44753</v>
      </c>
      <c r="C651" s="31">
        <v>16216</v>
      </c>
      <c r="D651" s="21">
        <f t="shared" si="20"/>
        <v>-2.8359000283595392E-4</v>
      </c>
      <c r="F651" s="30">
        <v>44776</v>
      </c>
      <c r="G651" s="32">
        <v>7.242</v>
      </c>
      <c r="H651" s="21">
        <f t="shared" si="21"/>
        <v>6.3924402445802997E-3</v>
      </c>
    </row>
    <row r="652" spans="2:8" x14ac:dyDescent="0.25">
      <c r="B652" s="30">
        <v>44754</v>
      </c>
      <c r="C652" s="31">
        <v>16058.3</v>
      </c>
      <c r="D652" s="21">
        <f t="shared" si="20"/>
        <v>-9.7249629995067588E-3</v>
      </c>
      <c r="F652" s="30">
        <v>44777</v>
      </c>
      <c r="G652" s="32">
        <v>7.157</v>
      </c>
      <c r="H652" s="21">
        <f t="shared" si="21"/>
        <v>-1.1737089201877882E-2</v>
      </c>
    </row>
    <row r="653" spans="2:8" x14ac:dyDescent="0.25">
      <c r="B653" s="30">
        <v>44755</v>
      </c>
      <c r="C653" s="31">
        <v>15966.65</v>
      </c>
      <c r="D653" s="21">
        <f t="shared" si="20"/>
        <v>-5.7073289202468347E-3</v>
      </c>
      <c r="F653" s="30">
        <v>44778</v>
      </c>
      <c r="G653" s="32">
        <v>7.3</v>
      </c>
      <c r="H653" s="21">
        <f t="shared" si="21"/>
        <v>1.9980438731312056E-2</v>
      </c>
    </row>
    <row r="654" spans="2:8" x14ac:dyDescent="0.25">
      <c r="B654" s="30">
        <v>44756</v>
      </c>
      <c r="C654" s="31">
        <v>15938.65</v>
      </c>
      <c r="D654" s="21">
        <f t="shared" si="20"/>
        <v>-1.7536552752143164E-3</v>
      </c>
      <c r="F654" s="30">
        <v>44781</v>
      </c>
      <c r="G654" s="32">
        <v>7.3479999999999999</v>
      </c>
      <c r="H654" s="21">
        <f t="shared" si="21"/>
        <v>6.5753424657535309E-3</v>
      </c>
    </row>
    <row r="655" spans="2:8" x14ac:dyDescent="0.25">
      <c r="B655" s="30">
        <v>44757</v>
      </c>
      <c r="C655" s="31">
        <v>16049.2</v>
      </c>
      <c r="D655" s="21">
        <f t="shared" si="20"/>
        <v>6.9359701103921534E-3</v>
      </c>
      <c r="F655" s="30">
        <v>44783</v>
      </c>
      <c r="G655" s="32">
        <v>7.31</v>
      </c>
      <c r="H655" s="21">
        <f t="shared" si="21"/>
        <v>-5.1714752313555268E-3</v>
      </c>
    </row>
    <row r="656" spans="2:8" x14ac:dyDescent="0.25">
      <c r="B656" s="30">
        <v>44760</v>
      </c>
      <c r="C656" s="31">
        <v>16278.5</v>
      </c>
      <c r="D656" s="21">
        <f t="shared" si="20"/>
        <v>1.4287316501756964E-2</v>
      </c>
      <c r="F656" s="30">
        <v>44784</v>
      </c>
      <c r="G656" s="32">
        <v>7.2670000000000003</v>
      </c>
      <c r="H656" s="21">
        <f t="shared" si="21"/>
        <v>-5.8823529411763387E-3</v>
      </c>
    </row>
    <row r="657" spans="2:8" x14ac:dyDescent="0.25">
      <c r="B657" s="30">
        <v>44761</v>
      </c>
      <c r="C657" s="31">
        <v>16340.55</v>
      </c>
      <c r="D657" s="21">
        <f t="shared" si="20"/>
        <v>3.8117762693121726E-3</v>
      </c>
      <c r="F657" s="30">
        <v>44785</v>
      </c>
      <c r="G657" s="32">
        <v>7.2889999999999997</v>
      </c>
      <c r="H657" s="21">
        <f t="shared" si="21"/>
        <v>3.0273840649510664E-3</v>
      </c>
    </row>
    <row r="658" spans="2:8" x14ac:dyDescent="0.25">
      <c r="B658" s="30">
        <v>44762</v>
      </c>
      <c r="C658" s="31">
        <v>16520.849999999999</v>
      </c>
      <c r="D658" s="21">
        <f t="shared" si="20"/>
        <v>1.1033900327712232E-2</v>
      </c>
      <c r="F658" s="30">
        <v>44790</v>
      </c>
      <c r="G658" s="32">
        <v>7.1820000000000004</v>
      </c>
      <c r="H658" s="21">
        <f t="shared" si="21"/>
        <v>-1.467965427356277E-2</v>
      </c>
    </row>
    <row r="659" spans="2:8" x14ac:dyDescent="0.25">
      <c r="B659" s="30">
        <v>44763</v>
      </c>
      <c r="C659" s="31">
        <v>16605.25</v>
      </c>
      <c r="D659" s="21">
        <f t="shared" si="20"/>
        <v>5.1086959811390553E-3</v>
      </c>
      <c r="F659" s="30">
        <v>44791</v>
      </c>
      <c r="G659" s="32">
        <v>7.242</v>
      </c>
      <c r="H659" s="21">
        <f t="shared" si="21"/>
        <v>8.3542188805345585E-3</v>
      </c>
    </row>
    <row r="660" spans="2:8" x14ac:dyDescent="0.25">
      <c r="B660" s="30">
        <v>44764</v>
      </c>
      <c r="C660" s="31">
        <v>16719.45</v>
      </c>
      <c r="D660" s="21">
        <f t="shared" si="20"/>
        <v>6.8773430089881238E-3</v>
      </c>
      <c r="F660" s="30">
        <v>44792</v>
      </c>
      <c r="G660" s="32">
        <v>7.2640000000000002</v>
      </c>
      <c r="H660" s="21">
        <f t="shared" si="21"/>
        <v>3.0378348522508425E-3</v>
      </c>
    </row>
    <row r="661" spans="2:8" x14ac:dyDescent="0.25">
      <c r="B661" s="30">
        <v>44767</v>
      </c>
      <c r="C661" s="31">
        <v>16631</v>
      </c>
      <c r="D661" s="21">
        <f t="shared" si="20"/>
        <v>-5.2902457915781076E-3</v>
      </c>
      <c r="F661" s="30">
        <v>44795</v>
      </c>
      <c r="G661" s="32">
        <v>7.27</v>
      </c>
      <c r="H661" s="21">
        <f t="shared" si="21"/>
        <v>8.2599118942727756E-4</v>
      </c>
    </row>
    <row r="662" spans="2:8" x14ac:dyDescent="0.25">
      <c r="B662" s="30">
        <v>44768</v>
      </c>
      <c r="C662" s="31">
        <v>16483.849999999999</v>
      </c>
      <c r="D662" s="21">
        <f t="shared" si="20"/>
        <v>-8.8479345800013265E-3</v>
      </c>
      <c r="F662" s="30">
        <v>44796</v>
      </c>
      <c r="G662" s="32">
        <v>7.2809999999999997</v>
      </c>
      <c r="H662" s="21">
        <f t="shared" si="21"/>
        <v>1.5130674002750144E-3</v>
      </c>
    </row>
    <row r="663" spans="2:8" x14ac:dyDescent="0.25">
      <c r="B663" s="30">
        <v>44769</v>
      </c>
      <c r="C663" s="31">
        <v>16641.8</v>
      </c>
      <c r="D663" s="21">
        <f t="shared" ref="D663:D726" si="22">C663/C662-1</f>
        <v>9.5821061220529025E-3</v>
      </c>
      <c r="F663" s="30">
        <v>44797</v>
      </c>
      <c r="G663" s="32">
        <v>7.2859999999999996</v>
      </c>
      <c r="H663" s="21">
        <f t="shared" ref="H663:H726" si="23">G663/G662-1</f>
        <v>6.8671885729987281E-4</v>
      </c>
    </row>
    <row r="664" spans="2:8" x14ac:dyDescent="0.25">
      <c r="B664" s="30">
        <v>44770</v>
      </c>
      <c r="C664" s="31">
        <v>16929.599999999999</v>
      </c>
      <c r="D664" s="21">
        <f t="shared" si="22"/>
        <v>1.7293802353110843E-2</v>
      </c>
      <c r="F664" s="30">
        <v>44798</v>
      </c>
      <c r="G664" s="32">
        <v>7.2919999999999998</v>
      </c>
      <c r="H664" s="21">
        <f t="shared" si="23"/>
        <v>8.2349711776008583E-4</v>
      </c>
    </row>
    <row r="665" spans="2:8" x14ac:dyDescent="0.25">
      <c r="B665" s="30">
        <v>44771</v>
      </c>
      <c r="C665" s="31">
        <v>17158.25</v>
      </c>
      <c r="D665" s="21">
        <f t="shared" si="22"/>
        <v>1.3505930441357172E-2</v>
      </c>
      <c r="F665" s="30">
        <v>44799</v>
      </c>
      <c r="G665" s="32">
        <v>7.2169999999999996</v>
      </c>
      <c r="H665" s="21">
        <f t="shared" si="23"/>
        <v>-1.0285244103126701E-2</v>
      </c>
    </row>
    <row r="666" spans="2:8" x14ac:dyDescent="0.25">
      <c r="B666" s="30">
        <v>44774</v>
      </c>
      <c r="C666" s="31">
        <v>17340.05</v>
      </c>
      <c r="D666" s="21">
        <f t="shared" si="22"/>
        <v>1.0595486136406596E-2</v>
      </c>
      <c r="F666" s="30">
        <v>44802</v>
      </c>
      <c r="G666" s="32">
        <v>7.2530000000000001</v>
      </c>
      <c r="H666" s="21">
        <f t="shared" si="23"/>
        <v>4.9882222530137632E-3</v>
      </c>
    </row>
    <row r="667" spans="2:8" x14ac:dyDescent="0.25">
      <c r="B667" s="30">
        <v>44775</v>
      </c>
      <c r="C667" s="31">
        <v>17345.45</v>
      </c>
      <c r="D667" s="21">
        <f t="shared" si="22"/>
        <v>3.1141778714594004E-4</v>
      </c>
      <c r="F667" s="30">
        <v>44803</v>
      </c>
      <c r="G667" s="32">
        <v>7.1879999999999997</v>
      </c>
      <c r="H667" s="21">
        <f t="shared" si="23"/>
        <v>-8.9618089066593187E-3</v>
      </c>
    </row>
    <row r="668" spans="2:8" x14ac:dyDescent="0.25">
      <c r="B668" s="30">
        <v>44776</v>
      </c>
      <c r="C668" s="31">
        <v>17388.150000000001</v>
      </c>
      <c r="D668" s="21">
        <f t="shared" si="22"/>
        <v>2.4617406870390823E-3</v>
      </c>
      <c r="F668" s="30">
        <v>44805</v>
      </c>
      <c r="G668" s="32">
        <v>7.2149999999999999</v>
      </c>
      <c r="H668" s="21">
        <f t="shared" si="23"/>
        <v>3.7562604340568573E-3</v>
      </c>
    </row>
    <row r="669" spans="2:8" x14ac:dyDescent="0.25">
      <c r="B669" s="30">
        <v>44777</v>
      </c>
      <c r="C669" s="31">
        <v>17382</v>
      </c>
      <c r="D669" s="21">
        <f t="shared" si="22"/>
        <v>-3.5368915036970705E-4</v>
      </c>
      <c r="F669" s="30">
        <v>44806</v>
      </c>
      <c r="G669" s="32">
        <v>7.2320000000000002</v>
      </c>
      <c r="H669" s="21">
        <f t="shared" si="23"/>
        <v>2.3562023562024859E-3</v>
      </c>
    </row>
    <row r="670" spans="2:8" x14ac:dyDescent="0.25">
      <c r="B670" s="30">
        <v>44778</v>
      </c>
      <c r="C670" s="31">
        <v>17397.5</v>
      </c>
      <c r="D670" s="21">
        <f t="shared" si="22"/>
        <v>8.9172707398454953E-4</v>
      </c>
      <c r="F670" s="30">
        <v>44809</v>
      </c>
      <c r="G670" s="32">
        <v>7.218</v>
      </c>
      <c r="H670" s="21">
        <f t="shared" si="23"/>
        <v>-1.9358407079645978E-3</v>
      </c>
    </row>
    <row r="671" spans="2:8" x14ac:dyDescent="0.25">
      <c r="B671" s="30">
        <v>44781</v>
      </c>
      <c r="C671" s="31">
        <v>17525.099999999999</v>
      </c>
      <c r="D671" s="21">
        <f t="shared" si="22"/>
        <v>7.3343871245867831E-3</v>
      </c>
      <c r="F671" s="30">
        <v>44810</v>
      </c>
      <c r="G671" s="32">
        <v>7.1790000000000003</v>
      </c>
      <c r="H671" s="21">
        <f t="shared" si="23"/>
        <v>-5.4031587697422889E-3</v>
      </c>
    </row>
    <row r="672" spans="2:8" x14ac:dyDescent="0.25">
      <c r="B672" s="30">
        <v>44783</v>
      </c>
      <c r="C672" s="31">
        <v>17534.75</v>
      </c>
      <c r="D672" s="21">
        <f t="shared" si="22"/>
        <v>5.5063879806693805E-4</v>
      </c>
      <c r="F672" s="30">
        <v>44811</v>
      </c>
      <c r="G672" s="32">
        <v>7.1849999999999996</v>
      </c>
      <c r="H672" s="21">
        <f t="shared" si="23"/>
        <v>8.3577099874632133E-4</v>
      </c>
    </row>
    <row r="673" spans="2:8" x14ac:dyDescent="0.25">
      <c r="B673" s="30">
        <v>44784</v>
      </c>
      <c r="C673" s="31">
        <v>17659</v>
      </c>
      <c r="D673" s="21">
        <f t="shared" si="22"/>
        <v>7.0859293688247948E-3</v>
      </c>
      <c r="F673" s="30">
        <v>44812</v>
      </c>
      <c r="G673" s="32">
        <v>7.1349999999999998</v>
      </c>
      <c r="H673" s="21">
        <f t="shared" si="23"/>
        <v>-6.9589422407794199E-3</v>
      </c>
    </row>
    <row r="674" spans="2:8" x14ac:dyDescent="0.25">
      <c r="B674" s="30">
        <v>44785</v>
      </c>
      <c r="C674" s="31">
        <v>17698.150000000001</v>
      </c>
      <c r="D674" s="21">
        <f t="shared" si="22"/>
        <v>2.2169998301151406E-3</v>
      </c>
      <c r="F674" s="30">
        <v>44813</v>
      </c>
      <c r="G674" s="32">
        <v>7.1669999999999998</v>
      </c>
      <c r="H674" s="21">
        <f t="shared" si="23"/>
        <v>4.4849334267693663E-3</v>
      </c>
    </row>
    <row r="675" spans="2:8" x14ac:dyDescent="0.25">
      <c r="B675" s="30">
        <v>44789</v>
      </c>
      <c r="C675" s="31">
        <v>17825.25</v>
      </c>
      <c r="D675" s="21">
        <f t="shared" si="22"/>
        <v>7.1815415735541066E-3</v>
      </c>
      <c r="F675" s="30">
        <v>44816</v>
      </c>
      <c r="G675" s="32">
        <v>7.181</v>
      </c>
      <c r="H675" s="21">
        <f t="shared" si="23"/>
        <v>1.9533975163945616E-3</v>
      </c>
    </row>
    <row r="676" spans="2:8" x14ac:dyDescent="0.25">
      <c r="B676" s="30">
        <v>44790</v>
      </c>
      <c r="C676" s="31">
        <v>17944.25</v>
      </c>
      <c r="D676" s="21">
        <f t="shared" si="22"/>
        <v>6.6759231988331447E-3</v>
      </c>
      <c r="F676" s="30">
        <v>44817</v>
      </c>
      <c r="G676" s="32">
        <v>7.1079999999999997</v>
      </c>
      <c r="H676" s="21">
        <f t="shared" si="23"/>
        <v>-1.0165715081465021E-2</v>
      </c>
    </row>
    <row r="677" spans="2:8" x14ac:dyDescent="0.25">
      <c r="B677" s="30">
        <v>44791</v>
      </c>
      <c r="C677" s="31">
        <v>17956.5</v>
      </c>
      <c r="D677" s="21">
        <f t="shared" si="22"/>
        <v>6.826699360520383E-4</v>
      </c>
      <c r="F677" s="30">
        <v>44818</v>
      </c>
      <c r="G677" s="32">
        <v>7.1550000000000002</v>
      </c>
      <c r="H677" s="21">
        <f t="shared" si="23"/>
        <v>6.6122678671920454E-3</v>
      </c>
    </row>
    <row r="678" spans="2:8" x14ac:dyDescent="0.25">
      <c r="B678" s="30">
        <v>44792</v>
      </c>
      <c r="C678" s="31">
        <v>17758.45</v>
      </c>
      <c r="D678" s="21">
        <f t="shared" si="22"/>
        <v>-1.1029432239022086E-2</v>
      </c>
      <c r="F678" s="30">
        <v>44819</v>
      </c>
      <c r="G678" s="32">
        <v>7.2380000000000004</v>
      </c>
      <c r="H678" s="21">
        <f t="shared" si="23"/>
        <v>1.1600279524807799E-2</v>
      </c>
    </row>
    <row r="679" spans="2:8" x14ac:dyDescent="0.25">
      <c r="B679" s="30">
        <v>44795</v>
      </c>
      <c r="C679" s="31">
        <v>17490.7</v>
      </c>
      <c r="D679" s="21">
        <f t="shared" si="22"/>
        <v>-1.5077329384039717E-2</v>
      </c>
      <c r="F679" s="30">
        <v>44820</v>
      </c>
      <c r="G679" s="32">
        <v>7.266</v>
      </c>
      <c r="H679" s="21">
        <f t="shared" si="23"/>
        <v>3.8684719535782008E-3</v>
      </c>
    </row>
    <row r="680" spans="2:8" x14ac:dyDescent="0.25">
      <c r="B680" s="30">
        <v>44796</v>
      </c>
      <c r="C680" s="31">
        <v>17577.5</v>
      </c>
      <c r="D680" s="21">
        <f t="shared" si="22"/>
        <v>4.9626372872439983E-3</v>
      </c>
      <c r="F680" s="30">
        <v>44823</v>
      </c>
      <c r="G680" s="32">
        <v>7.2770000000000001</v>
      </c>
      <c r="H680" s="21">
        <f t="shared" si="23"/>
        <v>1.513900357831055E-3</v>
      </c>
    </row>
    <row r="681" spans="2:8" x14ac:dyDescent="0.25">
      <c r="B681" s="30">
        <v>44797</v>
      </c>
      <c r="C681" s="31">
        <v>17604.95</v>
      </c>
      <c r="D681" s="21">
        <f t="shared" si="22"/>
        <v>1.5616555255297815E-3</v>
      </c>
      <c r="F681" s="30">
        <v>44824</v>
      </c>
      <c r="G681" s="32">
        <v>7.2939999999999996</v>
      </c>
      <c r="H681" s="21">
        <f t="shared" si="23"/>
        <v>2.3361275250788349E-3</v>
      </c>
    </row>
    <row r="682" spans="2:8" x14ac:dyDescent="0.25">
      <c r="B682" s="30">
        <v>44798</v>
      </c>
      <c r="C682" s="31">
        <v>17522.45</v>
      </c>
      <c r="D682" s="21">
        <f t="shared" si="22"/>
        <v>-4.6861820113093255E-3</v>
      </c>
      <c r="F682" s="30">
        <v>44825</v>
      </c>
      <c r="G682" s="32">
        <v>7.2329999999999997</v>
      </c>
      <c r="H682" s="21">
        <f t="shared" si="23"/>
        <v>-8.3630381135179066E-3</v>
      </c>
    </row>
    <row r="683" spans="2:8" x14ac:dyDescent="0.25">
      <c r="B683" s="30">
        <v>44799</v>
      </c>
      <c r="C683" s="31">
        <v>17558.900000000001</v>
      </c>
      <c r="D683" s="21">
        <f t="shared" si="22"/>
        <v>2.0801885581069879E-3</v>
      </c>
      <c r="F683" s="30">
        <v>44826</v>
      </c>
      <c r="G683" s="32">
        <v>7.3120000000000003</v>
      </c>
      <c r="H683" s="21">
        <f t="shared" si="23"/>
        <v>1.0922162311627348E-2</v>
      </c>
    </row>
    <row r="684" spans="2:8" x14ac:dyDescent="0.25">
      <c r="B684" s="30">
        <v>44802</v>
      </c>
      <c r="C684" s="31">
        <v>17312.900000000001</v>
      </c>
      <c r="D684" s="21">
        <f t="shared" si="22"/>
        <v>-1.400998923622776E-2</v>
      </c>
      <c r="F684" s="30">
        <v>44827</v>
      </c>
      <c r="G684" s="32">
        <v>7.3929999999999998</v>
      </c>
      <c r="H684" s="21">
        <f t="shared" si="23"/>
        <v>1.1077680525164002E-2</v>
      </c>
    </row>
    <row r="685" spans="2:8" x14ac:dyDescent="0.25">
      <c r="B685" s="30">
        <v>44803</v>
      </c>
      <c r="C685" s="31">
        <v>17759.3</v>
      </c>
      <c r="D685" s="21">
        <f t="shared" si="22"/>
        <v>2.5784241808131325E-2</v>
      </c>
      <c r="F685" s="30">
        <v>44830</v>
      </c>
      <c r="G685" s="32">
        <v>7.359</v>
      </c>
      <c r="H685" s="21">
        <f t="shared" si="23"/>
        <v>-4.5989449479236777E-3</v>
      </c>
    </row>
    <row r="686" spans="2:8" x14ac:dyDescent="0.25">
      <c r="B686" s="30">
        <v>44805</v>
      </c>
      <c r="C686" s="31">
        <v>17542.8</v>
      </c>
      <c r="D686" s="21">
        <f t="shared" si="22"/>
        <v>-1.2190795808393329E-2</v>
      </c>
      <c r="F686" s="30">
        <v>44831</v>
      </c>
      <c r="G686" s="32">
        <v>7.2919999999999998</v>
      </c>
      <c r="H686" s="21">
        <f t="shared" si="23"/>
        <v>-9.1044978937355747E-3</v>
      </c>
    </row>
    <row r="687" spans="2:8" x14ac:dyDescent="0.25">
      <c r="B687" s="30">
        <v>44806</v>
      </c>
      <c r="C687" s="31">
        <v>17539.45</v>
      </c>
      <c r="D687" s="21">
        <f t="shared" si="22"/>
        <v>-1.9096153407660577E-4</v>
      </c>
      <c r="F687" s="30">
        <v>44832</v>
      </c>
      <c r="G687" s="32">
        <v>7.3330000000000002</v>
      </c>
      <c r="H687" s="21">
        <f t="shared" si="23"/>
        <v>5.6226001097092748E-3</v>
      </c>
    </row>
    <row r="688" spans="2:8" x14ac:dyDescent="0.25">
      <c r="B688" s="30">
        <v>44809</v>
      </c>
      <c r="C688" s="31">
        <v>17665.8</v>
      </c>
      <c r="D688" s="21">
        <f t="shared" si="22"/>
        <v>7.2037606652430863E-3</v>
      </c>
      <c r="F688" s="30">
        <v>44833</v>
      </c>
      <c r="G688" s="32">
        <v>7.34</v>
      </c>
      <c r="H688" s="21">
        <f t="shared" si="23"/>
        <v>9.5458884494736829E-4</v>
      </c>
    </row>
    <row r="689" spans="2:8" x14ac:dyDescent="0.25">
      <c r="B689" s="30">
        <v>44810</v>
      </c>
      <c r="C689" s="31">
        <v>17655.599999999999</v>
      </c>
      <c r="D689" s="21">
        <f t="shared" si="22"/>
        <v>-5.773868152022521E-4</v>
      </c>
      <c r="F689" s="30">
        <v>44834</v>
      </c>
      <c r="G689" s="32">
        <v>7.3979999999999997</v>
      </c>
      <c r="H689" s="21">
        <f t="shared" si="23"/>
        <v>7.901907356948179E-3</v>
      </c>
    </row>
    <row r="690" spans="2:8" x14ac:dyDescent="0.25">
      <c r="B690" s="30">
        <v>44811</v>
      </c>
      <c r="C690" s="31">
        <v>17624.400000000001</v>
      </c>
      <c r="D690" s="21">
        <f t="shared" si="22"/>
        <v>-1.7671447019640407E-3</v>
      </c>
      <c r="F690" s="30">
        <v>44837</v>
      </c>
      <c r="G690" s="32">
        <v>7.468</v>
      </c>
      <c r="H690" s="21">
        <f t="shared" si="23"/>
        <v>9.4620167612868844E-3</v>
      </c>
    </row>
    <row r="691" spans="2:8" x14ac:dyDescent="0.25">
      <c r="B691" s="30">
        <v>44812</v>
      </c>
      <c r="C691" s="31">
        <v>17798.75</v>
      </c>
      <c r="D691" s="21">
        <f t="shared" si="22"/>
        <v>9.8925353487209211E-3</v>
      </c>
      <c r="F691" s="30">
        <v>44838</v>
      </c>
      <c r="G691" s="32">
        <v>7.3620000000000001</v>
      </c>
      <c r="H691" s="21">
        <f t="shared" si="23"/>
        <v>-1.4193893947509362E-2</v>
      </c>
    </row>
    <row r="692" spans="2:8" x14ac:dyDescent="0.25">
      <c r="B692" s="30">
        <v>44813</v>
      </c>
      <c r="C692" s="31">
        <v>17833.349999999999</v>
      </c>
      <c r="D692" s="21">
        <f t="shared" si="22"/>
        <v>1.9439567385348688E-3</v>
      </c>
      <c r="F692" s="30">
        <v>44840</v>
      </c>
      <c r="G692" s="32">
        <v>7.4539999999999997</v>
      </c>
      <c r="H692" s="21">
        <f t="shared" si="23"/>
        <v>1.2496604183645621E-2</v>
      </c>
    </row>
    <row r="693" spans="2:8" x14ac:dyDescent="0.25">
      <c r="B693" s="30">
        <v>44816</v>
      </c>
      <c r="C693" s="31">
        <v>17936.349999999999</v>
      </c>
      <c r="D693" s="21">
        <f t="shared" si="22"/>
        <v>5.775695536733183E-3</v>
      </c>
      <c r="F693" s="30">
        <v>44841</v>
      </c>
      <c r="G693" s="32">
        <v>7.46</v>
      </c>
      <c r="H693" s="21">
        <f t="shared" si="23"/>
        <v>8.0493694660588311E-4</v>
      </c>
    </row>
    <row r="694" spans="2:8" x14ac:dyDescent="0.25">
      <c r="B694" s="30">
        <v>44817</v>
      </c>
      <c r="C694" s="31">
        <v>18070.05</v>
      </c>
      <c r="D694" s="21">
        <f t="shared" si="22"/>
        <v>7.4541364324403059E-3</v>
      </c>
      <c r="F694" s="30">
        <v>44844</v>
      </c>
      <c r="G694" s="32">
        <v>7.476</v>
      </c>
      <c r="H694" s="21">
        <f t="shared" si="23"/>
        <v>2.1447721179623791E-3</v>
      </c>
    </row>
    <row r="695" spans="2:8" x14ac:dyDescent="0.25">
      <c r="B695" s="30">
        <v>44818</v>
      </c>
      <c r="C695" s="31">
        <v>18003.75</v>
      </c>
      <c r="D695" s="21">
        <f t="shared" si="22"/>
        <v>-3.6690545958644183E-3</v>
      </c>
      <c r="F695" s="30">
        <v>44845</v>
      </c>
      <c r="G695" s="32">
        <v>7.4260000000000002</v>
      </c>
      <c r="H695" s="21">
        <f t="shared" si="23"/>
        <v>-6.6880684858212636E-3</v>
      </c>
    </row>
    <row r="696" spans="2:8" x14ac:dyDescent="0.25">
      <c r="B696" s="30">
        <v>44819</v>
      </c>
      <c r="C696" s="31">
        <v>17877.400000000001</v>
      </c>
      <c r="D696" s="21">
        <f t="shared" si="22"/>
        <v>-7.0179823647850137E-3</v>
      </c>
      <c r="F696" s="30">
        <v>44846</v>
      </c>
      <c r="G696" s="32">
        <v>7.4349999999999996</v>
      </c>
      <c r="H696" s="21">
        <f t="shared" si="23"/>
        <v>1.2119579854563689E-3</v>
      </c>
    </row>
    <row r="697" spans="2:8" x14ac:dyDescent="0.25">
      <c r="B697" s="30">
        <v>44820</v>
      </c>
      <c r="C697" s="31">
        <v>17530.849999999999</v>
      </c>
      <c r="D697" s="21">
        <f t="shared" si="22"/>
        <v>-1.9384809871681674E-2</v>
      </c>
      <c r="F697" s="30">
        <v>44847</v>
      </c>
      <c r="G697" s="32">
        <v>7.4219999999999997</v>
      </c>
      <c r="H697" s="21">
        <f t="shared" si="23"/>
        <v>-1.7484868863483216E-3</v>
      </c>
    </row>
    <row r="698" spans="2:8" x14ac:dyDescent="0.25">
      <c r="B698" s="30">
        <v>44823</v>
      </c>
      <c r="C698" s="31">
        <v>17622.25</v>
      </c>
      <c r="D698" s="21">
        <f t="shared" si="22"/>
        <v>5.2136661941664109E-3</v>
      </c>
      <c r="F698" s="30">
        <v>44848</v>
      </c>
      <c r="G698" s="32">
        <v>7.47</v>
      </c>
      <c r="H698" s="21">
        <f t="shared" si="23"/>
        <v>6.4672594987873477E-3</v>
      </c>
    </row>
    <row r="699" spans="2:8" x14ac:dyDescent="0.25">
      <c r="B699" s="30">
        <v>44824</v>
      </c>
      <c r="C699" s="31">
        <v>17816.25</v>
      </c>
      <c r="D699" s="21">
        <f t="shared" si="22"/>
        <v>1.1008809885230342E-2</v>
      </c>
      <c r="F699" s="30">
        <v>44851</v>
      </c>
      <c r="G699" s="32">
        <v>7.407</v>
      </c>
      <c r="H699" s="21">
        <f t="shared" si="23"/>
        <v>-8.4337349397589634E-3</v>
      </c>
    </row>
    <row r="700" spans="2:8" x14ac:dyDescent="0.25">
      <c r="B700" s="30">
        <v>44825</v>
      </c>
      <c r="C700" s="31">
        <v>17718.349999999999</v>
      </c>
      <c r="D700" s="21">
        <f t="shared" si="22"/>
        <v>-5.4949835122430901E-3</v>
      </c>
      <c r="F700" s="30">
        <v>44852</v>
      </c>
      <c r="G700" s="32">
        <v>7.4260000000000002</v>
      </c>
      <c r="H700" s="21">
        <f t="shared" si="23"/>
        <v>2.5651410827596255E-3</v>
      </c>
    </row>
    <row r="701" spans="2:8" x14ac:dyDescent="0.25">
      <c r="B701" s="30">
        <v>44826</v>
      </c>
      <c r="C701" s="31">
        <v>17629.8</v>
      </c>
      <c r="D701" s="21">
        <f t="shared" si="22"/>
        <v>-4.9976436857833706E-3</v>
      </c>
      <c r="F701" s="30">
        <v>44853</v>
      </c>
      <c r="G701" s="32">
        <v>7.4509999999999996</v>
      </c>
      <c r="H701" s="21">
        <f t="shared" si="23"/>
        <v>3.3665499596013948E-3</v>
      </c>
    </row>
    <row r="702" spans="2:8" x14ac:dyDescent="0.25">
      <c r="B702" s="30">
        <v>44827</v>
      </c>
      <c r="C702" s="31">
        <v>17327.349999999999</v>
      </c>
      <c r="D702" s="21">
        <f t="shared" si="22"/>
        <v>-1.7155611521401326E-2</v>
      </c>
      <c r="F702" s="30">
        <v>44854</v>
      </c>
      <c r="G702" s="32">
        <v>7.476</v>
      </c>
      <c r="H702" s="21">
        <f t="shared" si="23"/>
        <v>3.3552543282782121E-3</v>
      </c>
    </row>
    <row r="703" spans="2:8" x14ac:dyDescent="0.25">
      <c r="B703" s="30">
        <v>44830</v>
      </c>
      <c r="C703" s="31">
        <v>17016.3</v>
      </c>
      <c r="D703" s="21">
        <f t="shared" si="22"/>
        <v>-1.7951388989083661E-2</v>
      </c>
      <c r="F703" s="30">
        <v>44855</v>
      </c>
      <c r="G703" s="32">
        <v>7.5110000000000001</v>
      </c>
      <c r="H703" s="21">
        <f t="shared" si="23"/>
        <v>4.6816479400748623E-3</v>
      </c>
    </row>
    <row r="704" spans="2:8" x14ac:dyDescent="0.25">
      <c r="B704" s="30">
        <v>44831</v>
      </c>
      <c r="C704" s="31">
        <v>17007.400000000001</v>
      </c>
      <c r="D704" s="21">
        <f t="shared" si="22"/>
        <v>-5.230279202880217E-4</v>
      </c>
      <c r="F704" s="30">
        <v>44859</v>
      </c>
      <c r="G704" s="32">
        <v>7.4420000000000002</v>
      </c>
      <c r="H704" s="21">
        <f t="shared" si="23"/>
        <v>-9.186526427905739E-3</v>
      </c>
    </row>
    <row r="705" spans="2:8" x14ac:dyDescent="0.25">
      <c r="B705" s="30">
        <v>44832</v>
      </c>
      <c r="C705" s="31">
        <v>16858.599999999999</v>
      </c>
      <c r="D705" s="21">
        <f t="shared" si="22"/>
        <v>-8.7491327304586308E-3</v>
      </c>
      <c r="F705" s="30">
        <v>44861</v>
      </c>
      <c r="G705" s="32">
        <v>7.4119999999999999</v>
      </c>
      <c r="H705" s="21">
        <f t="shared" si="23"/>
        <v>-4.0311744154797324E-3</v>
      </c>
    </row>
    <row r="706" spans="2:8" x14ac:dyDescent="0.25">
      <c r="B706" s="30">
        <v>44833</v>
      </c>
      <c r="C706" s="31">
        <v>16818.099999999999</v>
      </c>
      <c r="D706" s="21">
        <f t="shared" si="22"/>
        <v>-2.4023347134399797E-3</v>
      </c>
      <c r="F706" s="30">
        <v>44862</v>
      </c>
      <c r="G706" s="32">
        <v>7.4160000000000004</v>
      </c>
      <c r="H706" s="21">
        <f t="shared" si="23"/>
        <v>5.3966540744743163E-4</v>
      </c>
    </row>
    <row r="707" spans="2:8" x14ac:dyDescent="0.25">
      <c r="B707" s="30">
        <v>44834</v>
      </c>
      <c r="C707" s="31">
        <v>17094.349999999999</v>
      </c>
      <c r="D707" s="21">
        <f t="shared" si="22"/>
        <v>1.6425755584756896E-2</v>
      </c>
      <c r="F707" s="30">
        <v>44865</v>
      </c>
      <c r="G707" s="32">
        <v>7.4450000000000003</v>
      </c>
      <c r="H707" s="21">
        <f t="shared" si="23"/>
        <v>3.910463861920066E-3</v>
      </c>
    </row>
    <row r="708" spans="2:8" x14ac:dyDescent="0.25">
      <c r="B708" s="30">
        <v>44837</v>
      </c>
      <c r="C708" s="31">
        <v>16887.349999999999</v>
      </c>
      <c r="D708" s="21">
        <f t="shared" si="22"/>
        <v>-1.2109264172080247E-2</v>
      </c>
      <c r="F708" s="30">
        <v>44866</v>
      </c>
      <c r="G708" s="32">
        <v>7.3959999999999999</v>
      </c>
      <c r="H708" s="21">
        <f t="shared" si="23"/>
        <v>-6.5815983881800655E-3</v>
      </c>
    </row>
    <row r="709" spans="2:8" x14ac:dyDescent="0.25">
      <c r="B709" s="30">
        <v>44838</v>
      </c>
      <c r="C709" s="31">
        <v>17274.3</v>
      </c>
      <c r="D709" s="21">
        <f t="shared" si="22"/>
        <v>2.2913601009039386E-2</v>
      </c>
      <c r="F709" s="30">
        <v>44867</v>
      </c>
      <c r="G709" s="32">
        <v>7.4039999999999999</v>
      </c>
      <c r="H709" s="21">
        <f t="shared" si="23"/>
        <v>1.0816657652785722E-3</v>
      </c>
    </row>
    <row r="710" spans="2:8" x14ac:dyDescent="0.25">
      <c r="B710" s="30">
        <v>44840</v>
      </c>
      <c r="C710" s="31">
        <v>17331.8</v>
      </c>
      <c r="D710" s="21">
        <f t="shared" si="22"/>
        <v>3.3286442865991805E-3</v>
      </c>
      <c r="F710" s="30">
        <v>44868</v>
      </c>
      <c r="G710" s="32">
        <v>7.4820000000000002</v>
      </c>
      <c r="H710" s="21">
        <f t="shared" si="23"/>
        <v>1.0534846029173428E-2</v>
      </c>
    </row>
    <row r="711" spans="2:8" x14ac:dyDescent="0.25">
      <c r="B711" s="30">
        <v>44841</v>
      </c>
      <c r="C711" s="31">
        <v>17314.650000000001</v>
      </c>
      <c r="D711" s="21">
        <f t="shared" si="22"/>
        <v>-9.8951061055385647E-4</v>
      </c>
      <c r="F711" s="30">
        <v>44869</v>
      </c>
      <c r="G711" s="32">
        <v>7.4690000000000003</v>
      </c>
      <c r="H711" s="21">
        <f t="shared" si="23"/>
        <v>-1.7375033413525864E-3</v>
      </c>
    </row>
    <row r="712" spans="2:8" x14ac:dyDescent="0.25">
      <c r="B712" s="30">
        <v>44844</v>
      </c>
      <c r="C712" s="31">
        <v>17241</v>
      </c>
      <c r="D712" s="21">
        <f t="shared" si="22"/>
        <v>-4.2536233767359599E-3</v>
      </c>
      <c r="F712" s="30">
        <v>44872</v>
      </c>
      <c r="G712" s="32">
        <v>7.4340000000000002</v>
      </c>
      <c r="H712" s="21">
        <f t="shared" si="23"/>
        <v>-4.6860356138707093E-3</v>
      </c>
    </row>
    <row r="713" spans="2:8" x14ac:dyDescent="0.25">
      <c r="B713" s="30">
        <v>44845</v>
      </c>
      <c r="C713" s="31">
        <v>16983.55</v>
      </c>
      <c r="D713" s="21">
        <f t="shared" si="22"/>
        <v>-1.4932428513427354E-2</v>
      </c>
      <c r="F713" s="30">
        <v>44874</v>
      </c>
      <c r="G713" s="32">
        <v>7.3869999999999996</v>
      </c>
      <c r="H713" s="21">
        <f t="shared" si="23"/>
        <v>-6.32230293247249E-3</v>
      </c>
    </row>
    <row r="714" spans="2:8" x14ac:dyDescent="0.25">
      <c r="B714" s="30">
        <v>44846</v>
      </c>
      <c r="C714" s="31">
        <v>17123.599999999999</v>
      </c>
      <c r="D714" s="21">
        <f t="shared" si="22"/>
        <v>8.2462147195374591E-3</v>
      </c>
      <c r="F714" s="30">
        <v>44875</v>
      </c>
      <c r="G714" s="32">
        <v>7.3460000000000001</v>
      </c>
      <c r="H714" s="21">
        <f t="shared" si="23"/>
        <v>-5.5502910518477888E-3</v>
      </c>
    </row>
    <row r="715" spans="2:8" x14ac:dyDescent="0.25">
      <c r="B715" s="30">
        <v>44847</v>
      </c>
      <c r="C715" s="31">
        <v>17014.349999999999</v>
      </c>
      <c r="D715" s="21">
        <f t="shared" si="22"/>
        <v>-6.380083627274602E-3</v>
      </c>
      <c r="F715" s="30">
        <v>44876</v>
      </c>
      <c r="G715" s="32">
        <v>7.3070000000000004</v>
      </c>
      <c r="H715" s="21">
        <f t="shared" si="23"/>
        <v>-5.3090117070514475E-3</v>
      </c>
    </row>
    <row r="716" spans="2:8" x14ac:dyDescent="0.25">
      <c r="B716" s="30">
        <v>44848</v>
      </c>
      <c r="C716" s="31">
        <v>17185.7</v>
      </c>
      <c r="D716" s="21">
        <f t="shared" si="22"/>
        <v>1.0070910731235783E-2</v>
      </c>
      <c r="F716" s="30">
        <v>44879</v>
      </c>
      <c r="G716" s="32">
        <v>7.2869999999999999</v>
      </c>
      <c r="H716" s="21">
        <f t="shared" si="23"/>
        <v>-2.7371014096072566E-3</v>
      </c>
    </row>
    <row r="717" spans="2:8" x14ac:dyDescent="0.25">
      <c r="B717" s="30">
        <v>44851</v>
      </c>
      <c r="C717" s="31">
        <v>17311.8</v>
      </c>
      <c r="D717" s="21">
        <f t="shared" si="22"/>
        <v>7.337495708641395E-3</v>
      </c>
      <c r="F717" s="30">
        <v>44880</v>
      </c>
      <c r="G717" s="32">
        <v>7.2610000000000001</v>
      </c>
      <c r="H717" s="21">
        <f t="shared" si="23"/>
        <v>-3.5679978043090532E-3</v>
      </c>
    </row>
    <row r="718" spans="2:8" x14ac:dyDescent="0.25">
      <c r="B718" s="30">
        <v>44852</v>
      </c>
      <c r="C718" s="31">
        <v>17486.95</v>
      </c>
      <c r="D718" s="21">
        <f t="shared" si="22"/>
        <v>1.0117376587067906E-2</v>
      </c>
      <c r="F718" s="30">
        <v>44881</v>
      </c>
      <c r="G718" s="32">
        <v>7.274</v>
      </c>
      <c r="H718" s="21">
        <f t="shared" si="23"/>
        <v>1.7903869990358867E-3</v>
      </c>
    </row>
    <row r="719" spans="2:8" x14ac:dyDescent="0.25">
      <c r="B719" s="30">
        <v>44853</v>
      </c>
      <c r="C719" s="31">
        <v>17512.25</v>
      </c>
      <c r="D719" s="21">
        <f t="shared" si="22"/>
        <v>1.4467931800570266E-3</v>
      </c>
      <c r="F719" s="30">
        <v>44882</v>
      </c>
      <c r="G719" s="32">
        <v>7.2809999999999997</v>
      </c>
      <c r="H719" s="21">
        <f t="shared" si="23"/>
        <v>9.6233159197134377E-4</v>
      </c>
    </row>
    <row r="720" spans="2:8" x14ac:dyDescent="0.25">
      <c r="B720" s="30">
        <v>44854</v>
      </c>
      <c r="C720" s="31">
        <v>17563.95</v>
      </c>
      <c r="D720" s="21">
        <f t="shared" si="22"/>
        <v>2.9522191608730708E-3</v>
      </c>
      <c r="F720" s="30">
        <v>44883</v>
      </c>
      <c r="G720" s="32">
        <v>7.3070000000000004</v>
      </c>
      <c r="H720" s="21">
        <f t="shared" si="23"/>
        <v>3.570938057959161E-3</v>
      </c>
    </row>
    <row r="721" spans="2:8" x14ac:dyDescent="0.25">
      <c r="B721" s="30">
        <v>44855</v>
      </c>
      <c r="C721" s="31">
        <v>17576.3</v>
      </c>
      <c r="D721" s="21">
        <f t="shared" si="22"/>
        <v>7.0314479373934091E-4</v>
      </c>
      <c r="F721" s="30">
        <v>44886</v>
      </c>
      <c r="G721" s="32">
        <v>7.32</v>
      </c>
      <c r="H721" s="21">
        <f t="shared" si="23"/>
        <v>1.779115916244578E-3</v>
      </c>
    </row>
    <row r="722" spans="2:8" x14ac:dyDescent="0.25">
      <c r="B722" s="30">
        <v>44858</v>
      </c>
      <c r="C722" s="31">
        <v>17730.75</v>
      </c>
      <c r="D722" s="21">
        <f t="shared" si="22"/>
        <v>8.7874012164108617E-3</v>
      </c>
      <c r="F722" s="30">
        <v>44887</v>
      </c>
      <c r="G722" s="32">
        <v>7.2850000000000001</v>
      </c>
      <c r="H722" s="21">
        <f t="shared" si="23"/>
        <v>-4.7814207650273E-3</v>
      </c>
    </row>
    <row r="723" spans="2:8" x14ac:dyDescent="0.25">
      <c r="B723" s="30">
        <v>44859</v>
      </c>
      <c r="C723" s="31">
        <v>17656.349999999999</v>
      </c>
      <c r="D723" s="21">
        <f t="shared" si="22"/>
        <v>-4.1960999957701972E-3</v>
      </c>
      <c r="F723" s="30">
        <v>44888</v>
      </c>
      <c r="G723" s="32">
        <v>7.2910000000000004</v>
      </c>
      <c r="H723" s="21">
        <f t="shared" si="23"/>
        <v>8.2361015785870073E-4</v>
      </c>
    </row>
    <row r="724" spans="2:8" x14ac:dyDescent="0.25">
      <c r="B724" s="30">
        <v>44861</v>
      </c>
      <c r="C724" s="31">
        <v>17736.95</v>
      </c>
      <c r="D724" s="21">
        <f t="shared" si="22"/>
        <v>4.5649298977423758E-3</v>
      </c>
      <c r="F724" s="30">
        <v>44889</v>
      </c>
      <c r="G724" s="32">
        <v>7.2549999999999999</v>
      </c>
      <c r="H724" s="21">
        <f t="shared" si="23"/>
        <v>-4.937594294335601E-3</v>
      </c>
    </row>
    <row r="725" spans="2:8" x14ac:dyDescent="0.25">
      <c r="B725" s="30">
        <v>44862</v>
      </c>
      <c r="C725" s="31">
        <v>17786.8</v>
      </c>
      <c r="D725" s="21">
        <f t="shared" si="22"/>
        <v>2.8105170280121605E-3</v>
      </c>
      <c r="F725" s="30">
        <v>44890</v>
      </c>
      <c r="G725" s="32">
        <v>7.3010000000000002</v>
      </c>
      <c r="H725" s="21">
        <f t="shared" si="23"/>
        <v>6.3404548587182585E-3</v>
      </c>
    </row>
    <row r="726" spans="2:8" x14ac:dyDescent="0.25">
      <c r="B726" s="30">
        <v>44865</v>
      </c>
      <c r="C726" s="31">
        <v>18012.2</v>
      </c>
      <c r="D726" s="21">
        <f t="shared" si="22"/>
        <v>1.2672318798210069E-2</v>
      </c>
      <c r="F726" s="30">
        <v>44893</v>
      </c>
      <c r="G726" s="32">
        <v>7.274</v>
      </c>
      <c r="H726" s="21">
        <f t="shared" si="23"/>
        <v>-3.6981235447198779E-3</v>
      </c>
    </row>
    <row r="727" spans="2:8" x14ac:dyDescent="0.25">
      <c r="B727" s="30">
        <v>44866</v>
      </c>
      <c r="C727" s="31">
        <v>18145.400000000001</v>
      </c>
      <c r="D727" s="21">
        <f t="shared" ref="D727:D791" si="24">C727/C726-1</f>
        <v>7.3949878415739967E-3</v>
      </c>
      <c r="F727" s="30">
        <v>44894</v>
      </c>
      <c r="G727" s="32">
        <v>7.2789999999999999</v>
      </c>
      <c r="H727" s="21">
        <f t="shared" ref="H727:H791" si="25">G727/G726-1</f>
        <v>6.8737970855092811E-4</v>
      </c>
    </row>
    <row r="728" spans="2:8" x14ac:dyDescent="0.25">
      <c r="B728" s="30">
        <v>44867</v>
      </c>
      <c r="C728" s="31">
        <v>18082.849999999999</v>
      </c>
      <c r="D728" s="21">
        <f t="shared" si="24"/>
        <v>-3.4471546507656159E-3</v>
      </c>
      <c r="F728" s="30">
        <v>44895</v>
      </c>
      <c r="G728" s="32">
        <v>7.28</v>
      </c>
      <c r="H728" s="21">
        <f t="shared" si="25"/>
        <v>1.3738150844910813E-4</v>
      </c>
    </row>
    <row r="729" spans="2:8" x14ac:dyDescent="0.25">
      <c r="B729" s="30">
        <v>44868</v>
      </c>
      <c r="C729" s="31">
        <v>18052.7</v>
      </c>
      <c r="D729" s="21">
        <f t="shared" si="24"/>
        <v>-1.6673256704555772E-3</v>
      </c>
      <c r="F729" s="30">
        <v>44896</v>
      </c>
      <c r="G729" s="32">
        <v>7.21</v>
      </c>
      <c r="H729" s="21">
        <f t="shared" si="25"/>
        <v>-9.6153846153846922E-3</v>
      </c>
    </row>
    <row r="730" spans="2:8" x14ac:dyDescent="0.25">
      <c r="B730" s="30">
        <v>44869</v>
      </c>
      <c r="C730" s="31">
        <v>18117.150000000001</v>
      </c>
      <c r="D730" s="21">
        <f t="shared" si="24"/>
        <v>3.5701030870729511E-3</v>
      </c>
      <c r="F730" s="30">
        <v>44897</v>
      </c>
      <c r="G730" s="32">
        <v>7.2210000000000001</v>
      </c>
      <c r="H730" s="21">
        <f t="shared" si="25"/>
        <v>1.5256588072121158E-3</v>
      </c>
    </row>
    <row r="731" spans="2:8" x14ac:dyDescent="0.25">
      <c r="B731" s="30">
        <v>44872</v>
      </c>
      <c r="C731" s="31">
        <v>18202.8</v>
      </c>
      <c r="D731" s="21">
        <f t="shared" si="24"/>
        <v>4.7275647659812403E-3</v>
      </c>
      <c r="F731" s="30">
        <v>44900</v>
      </c>
      <c r="G731" s="32">
        <v>7.226</v>
      </c>
      <c r="H731" s="21">
        <f t="shared" si="25"/>
        <v>6.9242487190135371E-4</v>
      </c>
    </row>
    <row r="732" spans="2:8" x14ac:dyDescent="0.25">
      <c r="B732" s="30">
        <v>44874</v>
      </c>
      <c r="C732" s="31">
        <v>18157</v>
      </c>
      <c r="D732" s="21">
        <f t="shared" si="24"/>
        <v>-2.5160964247258333E-3</v>
      </c>
      <c r="F732" s="30">
        <v>44901</v>
      </c>
      <c r="G732" s="32">
        <v>7.2489999999999997</v>
      </c>
      <c r="H732" s="21">
        <f t="shared" si="25"/>
        <v>3.1829504566842637E-3</v>
      </c>
    </row>
    <row r="733" spans="2:8" x14ac:dyDescent="0.25">
      <c r="B733" s="30">
        <v>44875</v>
      </c>
      <c r="C733" s="31">
        <v>18028.2</v>
      </c>
      <c r="D733" s="21">
        <f t="shared" si="24"/>
        <v>-7.0936828771271943E-3</v>
      </c>
      <c r="F733" s="30">
        <v>44902</v>
      </c>
      <c r="G733" s="32">
        <v>7.2690000000000001</v>
      </c>
      <c r="H733" s="21">
        <f t="shared" si="25"/>
        <v>2.759001241550596E-3</v>
      </c>
    </row>
    <row r="734" spans="2:8" x14ac:dyDescent="0.25">
      <c r="B734" s="30">
        <v>44876</v>
      </c>
      <c r="C734" s="31">
        <v>18349.7</v>
      </c>
      <c r="D734" s="21">
        <f t="shared" si="24"/>
        <v>1.7833172474234882E-2</v>
      </c>
      <c r="F734" s="30">
        <v>44903</v>
      </c>
      <c r="G734" s="32">
        <v>7.2880000000000003</v>
      </c>
      <c r="H734" s="21">
        <f t="shared" si="25"/>
        <v>2.6138395927912672E-3</v>
      </c>
    </row>
    <row r="735" spans="2:8" x14ac:dyDescent="0.25">
      <c r="B735" s="30">
        <v>44879</v>
      </c>
      <c r="C735" s="31">
        <v>18329.150000000001</v>
      </c>
      <c r="D735" s="21">
        <f t="shared" si="24"/>
        <v>-1.1199093173185348E-3</v>
      </c>
      <c r="F735" s="30">
        <v>44904</v>
      </c>
      <c r="G735" s="32">
        <v>7.2990000000000004</v>
      </c>
      <c r="H735" s="21">
        <f t="shared" si="25"/>
        <v>1.5093304061470914E-3</v>
      </c>
    </row>
    <row r="736" spans="2:8" x14ac:dyDescent="0.25">
      <c r="B736" s="30">
        <v>44880</v>
      </c>
      <c r="C736" s="31">
        <v>18403.400000000001</v>
      </c>
      <c r="D736" s="21">
        <f t="shared" si="24"/>
        <v>4.0509243472828249E-3</v>
      </c>
      <c r="F736" s="30">
        <v>44907</v>
      </c>
      <c r="G736" s="32">
        <v>7.2939999999999996</v>
      </c>
      <c r="H736" s="21">
        <f t="shared" si="25"/>
        <v>-6.8502534593795072E-4</v>
      </c>
    </row>
    <row r="737" spans="2:8" x14ac:dyDescent="0.25">
      <c r="B737" s="30">
        <v>44881</v>
      </c>
      <c r="C737" s="31">
        <v>18409.650000000001</v>
      </c>
      <c r="D737" s="21">
        <f t="shared" si="24"/>
        <v>3.3961115880765114E-4</v>
      </c>
      <c r="F737" s="30">
        <v>44908</v>
      </c>
      <c r="G737" s="32">
        <v>7.2649999999999997</v>
      </c>
      <c r="H737" s="21">
        <f t="shared" si="25"/>
        <v>-3.9758705785577497E-3</v>
      </c>
    </row>
    <row r="738" spans="2:8" x14ac:dyDescent="0.25">
      <c r="B738" s="30">
        <v>44882</v>
      </c>
      <c r="C738" s="31">
        <v>18343.900000000001</v>
      </c>
      <c r="D738" s="21">
        <f t="shared" si="24"/>
        <v>-3.5714964706010655E-3</v>
      </c>
      <c r="F738" s="30">
        <v>44909</v>
      </c>
      <c r="G738" s="32">
        <v>7.2210000000000001</v>
      </c>
      <c r="H738" s="21">
        <f t="shared" si="25"/>
        <v>-6.0564349621472502E-3</v>
      </c>
    </row>
    <row r="739" spans="2:8" x14ac:dyDescent="0.25">
      <c r="B739" s="30">
        <v>44883</v>
      </c>
      <c r="C739" s="31">
        <v>18307.650000000001</v>
      </c>
      <c r="D739" s="21">
        <f t="shared" si="24"/>
        <v>-1.9761337556354341E-3</v>
      </c>
      <c r="F739" s="30">
        <v>44910</v>
      </c>
      <c r="G739" s="32">
        <v>7.2679999999999998</v>
      </c>
      <c r="H739" s="21">
        <f t="shared" si="25"/>
        <v>6.5087937958732134E-3</v>
      </c>
    </row>
    <row r="740" spans="2:8" x14ac:dyDescent="0.25">
      <c r="B740" s="30">
        <v>44886</v>
      </c>
      <c r="C740" s="31">
        <v>18159.95</v>
      </c>
      <c r="D740" s="21">
        <f t="shared" si="24"/>
        <v>-8.0676657025888776E-3</v>
      </c>
      <c r="F740" s="30">
        <v>44911</v>
      </c>
      <c r="G740" s="32">
        <v>7.2809999999999997</v>
      </c>
      <c r="H740" s="21">
        <f t="shared" si="25"/>
        <v>1.7886626307099807E-3</v>
      </c>
    </row>
    <row r="741" spans="2:8" x14ac:dyDescent="0.25">
      <c r="B741" s="30">
        <v>44887</v>
      </c>
      <c r="C741" s="31">
        <v>18244.2</v>
      </c>
      <c r="D741" s="21">
        <f t="shared" si="24"/>
        <v>4.6393299541023225E-3</v>
      </c>
      <c r="F741" s="30">
        <v>44914</v>
      </c>
      <c r="G741" s="32">
        <v>7.2969999999999997</v>
      </c>
      <c r="H741" s="21">
        <f t="shared" si="25"/>
        <v>2.1975003433594154E-3</v>
      </c>
    </row>
    <row r="742" spans="2:8" x14ac:dyDescent="0.25">
      <c r="B742" s="30">
        <v>44888</v>
      </c>
      <c r="C742" s="31">
        <v>18267.25</v>
      </c>
      <c r="D742" s="21">
        <f t="shared" si="24"/>
        <v>1.2634152223720552E-3</v>
      </c>
      <c r="F742" s="30">
        <v>44915</v>
      </c>
      <c r="G742" s="32">
        <v>7.2990000000000004</v>
      </c>
      <c r="H742" s="21">
        <f t="shared" si="25"/>
        <v>2.7408524050986927E-4</v>
      </c>
    </row>
    <row r="743" spans="2:8" x14ac:dyDescent="0.25">
      <c r="B743" s="30">
        <v>44889</v>
      </c>
      <c r="C743" s="31">
        <v>18484.099999999999</v>
      </c>
      <c r="D743" s="21">
        <f t="shared" si="24"/>
        <v>1.1870971273727493E-2</v>
      </c>
      <c r="F743" s="30">
        <v>44916</v>
      </c>
      <c r="G743" s="32">
        <v>7.2869999999999999</v>
      </c>
      <c r="H743" s="21">
        <f t="shared" si="25"/>
        <v>-1.6440608302508153E-3</v>
      </c>
    </row>
    <row r="744" spans="2:8" x14ac:dyDescent="0.25">
      <c r="B744" s="30">
        <v>44890</v>
      </c>
      <c r="C744" s="31">
        <v>18512.75</v>
      </c>
      <c r="D744" s="21">
        <f t="shared" si="24"/>
        <v>1.5499807943044619E-3</v>
      </c>
      <c r="F744" s="30">
        <v>44917</v>
      </c>
      <c r="G744" s="32">
        <v>7.3159999999999998</v>
      </c>
      <c r="H744" s="21">
        <f t="shared" si="25"/>
        <v>3.9796898586523799E-3</v>
      </c>
    </row>
    <row r="745" spans="2:8" x14ac:dyDescent="0.25">
      <c r="B745" s="30">
        <v>44893</v>
      </c>
      <c r="C745" s="31">
        <v>18562.75</v>
      </c>
      <c r="D745" s="21">
        <f t="shared" si="24"/>
        <v>2.7008413120686026E-3</v>
      </c>
      <c r="F745" s="30">
        <v>44918</v>
      </c>
      <c r="G745" s="32">
        <v>7.3179999999999996</v>
      </c>
      <c r="H745" s="21">
        <f t="shared" si="25"/>
        <v>2.7337342810285215E-4</v>
      </c>
    </row>
    <row r="746" spans="2:8" x14ac:dyDescent="0.25">
      <c r="B746" s="30">
        <v>44894</v>
      </c>
      <c r="C746" s="31">
        <v>18618.05</v>
      </c>
      <c r="D746" s="21">
        <f t="shared" si="24"/>
        <v>2.9790844567749719E-3</v>
      </c>
      <c r="F746" s="30">
        <v>44921</v>
      </c>
      <c r="G746" s="32">
        <v>7.319</v>
      </c>
      <c r="H746" s="21">
        <f t="shared" si="25"/>
        <v>1.3664935774815312E-4</v>
      </c>
    </row>
    <row r="747" spans="2:8" x14ac:dyDescent="0.25">
      <c r="B747" s="30">
        <v>44895</v>
      </c>
      <c r="C747" s="31">
        <v>18758.349999999999</v>
      </c>
      <c r="D747" s="21">
        <f t="shared" si="24"/>
        <v>7.5356978845797506E-3</v>
      </c>
      <c r="F747" s="30">
        <v>44922</v>
      </c>
      <c r="G747" s="32">
        <v>7.3079999999999998</v>
      </c>
      <c r="H747" s="21">
        <f t="shared" si="25"/>
        <v>-1.5029375597759298E-3</v>
      </c>
    </row>
    <row r="748" spans="2:8" x14ac:dyDescent="0.25">
      <c r="B748" s="30">
        <v>44896</v>
      </c>
      <c r="C748" s="31">
        <v>18812.5</v>
      </c>
      <c r="D748" s="21">
        <f t="shared" si="24"/>
        <v>2.8867144498316843E-3</v>
      </c>
      <c r="F748" s="30">
        <v>44923</v>
      </c>
      <c r="G748" s="32">
        <v>7.3140000000000001</v>
      </c>
      <c r="H748" s="21">
        <f t="shared" si="25"/>
        <v>8.2101806239731623E-4</v>
      </c>
    </row>
    <row r="749" spans="2:8" x14ac:dyDescent="0.25">
      <c r="B749" s="30">
        <v>44897</v>
      </c>
      <c r="C749" s="31">
        <v>18696.099999999999</v>
      </c>
      <c r="D749" s="21">
        <f t="shared" si="24"/>
        <v>-6.18737541528247E-3</v>
      </c>
      <c r="F749" s="30">
        <v>44924</v>
      </c>
      <c r="G749" s="32">
        <v>7.3109999999999999</v>
      </c>
      <c r="H749" s="21">
        <f t="shared" si="25"/>
        <v>-4.1017227235440323E-4</v>
      </c>
    </row>
    <row r="750" spans="2:8" x14ac:dyDescent="0.25">
      <c r="B750" s="30">
        <v>44900</v>
      </c>
      <c r="C750" s="31">
        <v>18701.05</v>
      </c>
      <c r="D750" s="21">
        <f t="shared" si="24"/>
        <v>2.6476109990847263E-4</v>
      </c>
      <c r="F750" s="30">
        <v>44925</v>
      </c>
      <c r="G750" s="32">
        <v>7.327</v>
      </c>
      <c r="H750" s="21">
        <f t="shared" si="25"/>
        <v>2.1884831076459665E-3</v>
      </c>
    </row>
    <row r="751" spans="2:8" x14ac:dyDescent="0.25">
      <c r="B751" s="30">
        <v>44901</v>
      </c>
      <c r="C751" s="31">
        <v>18642.75</v>
      </c>
      <c r="D751" s="21">
        <f t="shared" si="24"/>
        <v>-3.1174720136034617E-3</v>
      </c>
      <c r="F751" s="30"/>
      <c r="G751" s="32"/>
      <c r="H751" s="21"/>
    </row>
    <row r="752" spans="2:8" x14ac:dyDescent="0.25">
      <c r="B752" s="30">
        <v>44902</v>
      </c>
      <c r="C752" s="31">
        <v>18560.5</v>
      </c>
      <c r="D752" s="21">
        <f t="shared" si="24"/>
        <v>-4.4119027503989328E-3</v>
      </c>
      <c r="F752" s="30">
        <v>44928</v>
      </c>
      <c r="G752" s="32">
        <v>7.34</v>
      </c>
      <c r="H752" s="21">
        <f>G752/G750-1</f>
        <v>1.7742595878258438E-3</v>
      </c>
    </row>
    <row r="753" spans="2:8" x14ac:dyDescent="0.25">
      <c r="B753" s="30">
        <v>44903</v>
      </c>
      <c r="C753" s="31">
        <v>18609.349999999999</v>
      </c>
      <c r="D753" s="21">
        <f t="shared" si="24"/>
        <v>2.6319334069664357E-3</v>
      </c>
      <c r="F753" s="30">
        <v>44929</v>
      </c>
      <c r="G753" s="32">
        <v>7.3209999999999997</v>
      </c>
      <c r="H753" s="21">
        <f t="shared" si="25"/>
        <v>-2.5885558583106372E-3</v>
      </c>
    </row>
    <row r="754" spans="2:8" x14ac:dyDescent="0.25">
      <c r="B754" s="30">
        <v>44904</v>
      </c>
      <c r="C754" s="31">
        <v>18496.599999999999</v>
      </c>
      <c r="D754" s="21">
        <f t="shared" si="24"/>
        <v>-6.058782278800745E-3</v>
      </c>
      <c r="F754" s="30">
        <v>44930</v>
      </c>
      <c r="G754" s="32">
        <v>7.3209999999999997</v>
      </c>
      <c r="H754" s="21">
        <f t="shared" si="25"/>
        <v>0</v>
      </c>
    </row>
    <row r="755" spans="2:8" x14ac:dyDescent="0.25">
      <c r="B755" s="30">
        <v>44907</v>
      </c>
      <c r="C755" s="31">
        <v>18497.150000000001</v>
      </c>
      <c r="D755" s="21">
        <f t="shared" si="24"/>
        <v>2.9735194576385737E-5</v>
      </c>
      <c r="F755" s="30">
        <v>44931</v>
      </c>
      <c r="G755" s="32">
        <v>7.327</v>
      </c>
      <c r="H755" s="21">
        <f t="shared" si="25"/>
        <v>8.1956016937589915E-4</v>
      </c>
    </row>
    <row r="756" spans="2:8" x14ac:dyDescent="0.25">
      <c r="B756" s="30">
        <v>44908</v>
      </c>
      <c r="C756" s="31">
        <v>18608</v>
      </c>
      <c r="D756" s="21">
        <f t="shared" si="24"/>
        <v>5.9928151093546767E-3</v>
      </c>
      <c r="F756" s="30">
        <v>44932</v>
      </c>
      <c r="G756" s="32">
        <v>7.3730000000000002</v>
      </c>
      <c r="H756" s="21">
        <f t="shared" si="25"/>
        <v>6.2781493107684216E-3</v>
      </c>
    </row>
    <row r="757" spans="2:8" x14ac:dyDescent="0.25">
      <c r="B757" s="30">
        <v>44909</v>
      </c>
      <c r="C757" s="31">
        <v>18660.3</v>
      </c>
      <c r="D757" s="21">
        <f t="shared" si="24"/>
        <v>2.8106190885639482E-3</v>
      </c>
      <c r="F757" s="30">
        <v>44935</v>
      </c>
      <c r="G757" s="32">
        <v>7.3419999999999996</v>
      </c>
      <c r="H757" s="21">
        <f t="shared" si="25"/>
        <v>-4.2045300420453513E-3</v>
      </c>
    </row>
    <row r="758" spans="2:8" x14ac:dyDescent="0.25">
      <c r="B758" s="30">
        <v>44910</v>
      </c>
      <c r="C758" s="31">
        <v>18414.900000000001</v>
      </c>
      <c r="D758" s="21">
        <f t="shared" si="24"/>
        <v>-1.3150913972444056E-2</v>
      </c>
      <c r="F758" s="30">
        <v>44936</v>
      </c>
      <c r="G758" s="32">
        <v>7.3129999999999997</v>
      </c>
      <c r="H758" s="21">
        <f t="shared" si="25"/>
        <v>-3.9498774175973361E-3</v>
      </c>
    </row>
    <row r="759" spans="2:8" x14ac:dyDescent="0.25">
      <c r="B759" s="30">
        <v>44911</v>
      </c>
      <c r="C759" s="31">
        <v>18269</v>
      </c>
      <c r="D759" s="21">
        <f t="shared" si="24"/>
        <v>-7.9229319735649728E-3</v>
      </c>
      <c r="F759" s="30">
        <v>44937</v>
      </c>
      <c r="G759" s="32">
        <v>7.2910000000000004</v>
      </c>
      <c r="H759" s="21">
        <f t="shared" si="25"/>
        <v>-3.0083413099958323E-3</v>
      </c>
    </row>
    <row r="760" spans="2:8" x14ac:dyDescent="0.25">
      <c r="B760" s="30">
        <v>44914</v>
      </c>
      <c r="C760" s="31">
        <v>18420.45</v>
      </c>
      <c r="D760" s="21">
        <f t="shared" si="24"/>
        <v>8.2899994526246523E-3</v>
      </c>
      <c r="F760" s="30">
        <v>44938</v>
      </c>
      <c r="G760" s="32">
        <v>7.2859999999999996</v>
      </c>
      <c r="H760" s="21">
        <f t="shared" si="25"/>
        <v>-6.8577698532445996E-4</v>
      </c>
    </row>
    <row r="761" spans="2:8" x14ac:dyDescent="0.25">
      <c r="B761" s="30">
        <v>44915</v>
      </c>
      <c r="C761" s="31">
        <v>18385.3</v>
      </c>
      <c r="D761" s="21">
        <f t="shared" si="24"/>
        <v>-1.9082052827157359E-3</v>
      </c>
      <c r="F761" s="30">
        <v>44939</v>
      </c>
      <c r="G761" s="32">
        <v>7.2990000000000004</v>
      </c>
      <c r="H761" s="21">
        <f t="shared" si="25"/>
        <v>1.7842437551469637E-3</v>
      </c>
    </row>
    <row r="762" spans="2:8" x14ac:dyDescent="0.25">
      <c r="B762" s="30">
        <v>44916</v>
      </c>
      <c r="C762" s="31">
        <v>18199.099999999999</v>
      </c>
      <c r="D762" s="21">
        <f t="shared" si="24"/>
        <v>-1.0127656334136592E-2</v>
      </c>
      <c r="F762" s="30">
        <v>44942</v>
      </c>
      <c r="G762" s="32">
        <v>7.327</v>
      </c>
      <c r="H762" s="21">
        <f t="shared" si="25"/>
        <v>3.8361419372516803E-3</v>
      </c>
    </row>
    <row r="763" spans="2:8" x14ac:dyDescent="0.25">
      <c r="B763" s="30">
        <v>44917</v>
      </c>
      <c r="C763" s="31">
        <v>18127.349999999999</v>
      </c>
      <c r="D763" s="21">
        <f t="shared" si="24"/>
        <v>-3.9425026512299732E-3</v>
      </c>
      <c r="F763" s="30">
        <v>44943</v>
      </c>
      <c r="G763" s="32">
        <v>7.3330000000000002</v>
      </c>
      <c r="H763" s="21">
        <f t="shared" si="25"/>
        <v>8.1888904053495359E-4</v>
      </c>
    </row>
    <row r="764" spans="2:8" x14ac:dyDescent="0.25">
      <c r="B764" s="30">
        <v>44918</v>
      </c>
      <c r="C764" s="31">
        <v>17806.8</v>
      </c>
      <c r="D764" s="21">
        <f t="shared" si="24"/>
        <v>-1.7683224519855267E-2</v>
      </c>
      <c r="F764" s="30">
        <v>44944</v>
      </c>
      <c r="G764" s="32">
        <v>7.3250000000000002</v>
      </c>
      <c r="H764" s="21">
        <f t="shared" si="25"/>
        <v>-1.0909586799400239E-3</v>
      </c>
    </row>
    <row r="765" spans="2:8" x14ac:dyDescent="0.25">
      <c r="B765" s="30">
        <v>44921</v>
      </c>
      <c r="C765" s="31">
        <v>18014.599999999999</v>
      </c>
      <c r="D765" s="21">
        <f t="shared" si="24"/>
        <v>1.1669699216029894E-2</v>
      </c>
      <c r="F765" s="30">
        <v>44945</v>
      </c>
      <c r="G765" s="32">
        <v>7.3129999999999997</v>
      </c>
      <c r="H765" s="21">
        <f t="shared" si="25"/>
        <v>-1.6382252559727917E-3</v>
      </c>
    </row>
    <row r="766" spans="2:8" x14ac:dyDescent="0.25">
      <c r="B766" s="30">
        <v>44922</v>
      </c>
      <c r="C766" s="31">
        <v>18132.3</v>
      </c>
      <c r="D766" s="21">
        <f t="shared" si="24"/>
        <v>6.5335894219133994E-3</v>
      </c>
      <c r="F766" s="30">
        <v>44946</v>
      </c>
      <c r="G766" s="32">
        <v>7.3470000000000004</v>
      </c>
      <c r="H766" s="21">
        <f t="shared" si="25"/>
        <v>4.6492547518119931E-3</v>
      </c>
    </row>
    <row r="767" spans="2:8" x14ac:dyDescent="0.25">
      <c r="B767" s="30">
        <v>44923</v>
      </c>
      <c r="C767" s="31">
        <v>18122.5</v>
      </c>
      <c r="D767" s="21">
        <f t="shared" si="24"/>
        <v>-5.4047197542506087E-4</v>
      </c>
      <c r="F767" s="30">
        <v>44949</v>
      </c>
      <c r="G767" s="32">
        <v>7.3520000000000003</v>
      </c>
      <c r="H767" s="21">
        <f t="shared" si="25"/>
        <v>6.8054988430654717E-4</v>
      </c>
    </row>
    <row r="768" spans="2:8" x14ac:dyDescent="0.25">
      <c r="B768" s="30">
        <v>44924</v>
      </c>
      <c r="C768" s="31">
        <v>18191</v>
      </c>
      <c r="D768" s="21">
        <f t="shared" si="24"/>
        <v>3.7798317009243299E-3</v>
      </c>
      <c r="F768" s="30">
        <v>44950</v>
      </c>
      <c r="G768" s="32">
        <v>7.3460000000000001</v>
      </c>
      <c r="H768" s="21">
        <f t="shared" si="25"/>
        <v>-8.1610446137103665E-4</v>
      </c>
    </row>
    <row r="769" spans="2:8" x14ac:dyDescent="0.25">
      <c r="B769" s="30">
        <v>44925</v>
      </c>
      <c r="C769" s="31">
        <v>18105.3</v>
      </c>
      <c r="D769" s="21">
        <f t="shared" si="24"/>
        <v>-4.7111208839536456E-3</v>
      </c>
      <c r="F769" s="30">
        <v>44951</v>
      </c>
      <c r="G769" s="32">
        <v>7.3470000000000004</v>
      </c>
      <c r="H769" s="21">
        <f t="shared" si="25"/>
        <v>1.3612850530897447E-4</v>
      </c>
    </row>
    <row r="770" spans="2:8" x14ac:dyDescent="0.25">
      <c r="B770" s="30"/>
      <c r="C770" s="31"/>
      <c r="D770" s="21"/>
      <c r="F770" s="30">
        <v>44953</v>
      </c>
      <c r="G770" s="32">
        <v>7.3869999999999996</v>
      </c>
      <c r="H770" s="21">
        <f t="shared" si="25"/>
        <v>5.4443990744519333E-3</v>
      </c>
    </row>
    <row r="771" spans="2:8" x14ac:dyDescent="0.25">
      <c r="B771" s="30">
        <v>44928</v>
      </c>
      <c r="C771" s="31">
        <v>18197.45</v>
      </c>
      <c r="D771" s="21">
        <f>C771/C769-1</f>
        <v>5.0896698756719427E-3</v>
      </c>
      <c r="F771" s="30">
        <v>44956</v>
      </c>
      <c r="G771" s="32">
        <v>7.4009999999999998</v>
      </c>
      <c r="H771" s="21">
        <f t="shared" si="25"/>
        <v>1.895221334777375E-3</v>
      </c>
    </row>
    <row r="772" spans="2:8" x14ac:dyDescent="0.25">
      <c r="B772" s="30">
        <v>44929</v>
      </c>
      <c r="C772" s="31">
        <v>18232.55</v>
      </c>
      <c r="D772" s="21">
        <f t="shared" si="24"/>
        <v>1.9288416783669327E-3</v>
      </c>
      <c r="F772" s="30">
        <v>44957</v>
      </c>
      <c r="G772" s="32">
        <v>7.343</v>
      </c>
      <c r="H772" s="21">
        <f t="shared" si="25"/>
        <v>-7.8367788136738392E-3</v>
      </c>
    </row>
    <row r="773" spans="2:8" x14ac:dyDescent="0.25">
      <c r="B773" s="30">
        <v>44930</v>
      </c>
      <c r="C773" s="31">
        <v>18042.95</v>
      </c>
      <c r="D773" s="21">
        <f t="shared" si="24"/>
        <v>-1.0398984234240349E-2</v>
      </c>
      <c r="F773" s="30">
        <v>44958</v>
      </c>
      <c r="G773" s="32">
        <v>7.2770000000000001</v>
      </c>
      <c r="H773" s="21">
        <f t="shared" si="25"/>
        <v>-8.9881519814789534E-3</v>
      </c>
    </row>
    <row r="774" spans="2:8" x14ac:dyDescent="0.25">
      <c r="B774" s="30">
        <v>44931</v>
      </c>
      <c r="C774" s="31">
        <v>17992.150000000001</v>
      </c>
      <c r="D774" s="21">
        <f t="shared" si="24"/>
        <v>-2.8155041165662809E-3</v>
      </c>
      <c r="F774" s="30">
        <v>44959</v>
      </c>
      <c r="G774" s="32">
        <v>7.2960000000000003</v>
      </c>
      <c r="H774" s="21">
        <f t="shared" si="25"/>
        <v>2.6109660574413773E-3</v>
      </c>
    </row>
    <row r="775" spans="2:8" x14ac:dyDescent="0.25">
      <c r="B775" s="30">
        <v>44932</v>
      </c>
      <c r="C775" s="31">
        <v>17859.45</v>
      </c>
      <c r="D775" s="21">
        <f t="shared" si="24"/>
        <v>-7.3754387330030591E-3</v>
      </c>
      <c r="F775" s="30">
        <v>44960</v>
      </c>
      <c r="G775" s="32">
        <v>7.2770000000000001</v>
      </c>
      <c r="H775" s="21">
        <f t="shared" si="25"/>
        <v>-2.6041666666666297E-3</v>
      </c>
    </row>
    <row r="776" spans="2:8" x14ac:dyDescent="0.25">
      <c r="B776" s="30">
        <v>44935</v>
      </c>
      <c r="C776" s="31">
        <v>18101.2</v>
      </c>
      <c r="D776" s="21">
        <f t="shared" si="24"/>
        <v>1.3536251116355702E-2</v>
      </c>
      <c r="F776" s="30">
        <v>44961</v>
      </c>
      <c r="G776" s="32">
        <v>7.2770000000000001</v>
      </c>
      <c r="H776" s="21">
        <f t="shared" si="25"/>
        <v>0</v>
      </c>
    </row>
    <row r="777" spans="2:8" x14ac:dyDescent="0.25">
      <c r="B777" s="30">
        <v>44936</v>
      </c>
      <c r="C777" s="31">
        <v>17914.150000000001</v>
      </c>
      <c r="D777" s="21">
        <f t="shared" si="24"/>
        <v>-1.0333569045146151E-2</v>
      </c>
      <c r="F777" s="30">
        <v>44963</v>
      </c>
      <c r="G777" s="32">
        <v>7.32</v>
      </c>
      <c r="H777" s="21">
        <f t="shared" si="25"/>
        <v>5.9090284457881115E-3</v>
      </c>
    </row>
    <row r="778" spans="2:8" x14ac:dyDescent="0.25">
      <c r="B778" s="30">
        <v>44937</v>
      </c>
      <c r="C778" s="31">
        <v>17895.7</v>
      </c>
      <c r="D778" s="21">
        <f t="shared" si="24"/>
        <v>-1.0299121085846075E-3</v>
      </c>
      <c r="F778" s="30">
        <v>44964</v>
      </c>
      <c r="G778" s="32">
        <v>7.3090000000000002</v>
      </c>
      <c r="H778" s="21">
        <f t="shared" si="25"/>
        <v>-1.5027322404371768E-3</v>
      </c>
    </row>
    <row r="779" spans="2:8" x14ac:dyDescent="0.25">
      <c r="B779" s="30">
        <v>44938</v>
      </c>
      <c r="C779" s="31">
        <v>17858.2</v>
      </c>
      <c r="D779" s="21">
        <f t="shared" si="24"/>
        <v>-2.0954754494096894E-3</v>
      </c>
      <c r="F779" s="30">
        <v>44965</v>
      </c>
      <c r="G779" s="32">
        <v>7.3440000000000003</v>
      </c>
      <c r="H779" s="21">
        <f t="shared" si="25"/>
        <v>4.7886167738404595E-3</v>
      </c>
    </row>
    <row r="780" spans="2:8" x14ac:dyDescent="0.25">
      <c r="B780" s="30">
        <v>44939</v>
      </c>
      <c r="C780" s="31">
        <v>17956.599999999999</v>
      </c>
      <c r="D780" s="21">
        <f t="shared" si="24"/>
        <v>5.5100738036306662E-3</v>
      </c>
      <c r="F780" s="30">
        <v>44966</v>
      </c>
      <c r="G780" s="32">
        <v>7.3440000000000003</v>
      </c>
      <c r="H780" s="21">
        <f t="shared" si="25"/>
        <v>0</v>
      </c>
    </row>
    <row r="781" spans="2:8" x14ac:dyDescent="0.25">
      <c r="B781" s="30">
        <v>44942</v>
      </c>
      <c r="C781" s="31">
        <v>17894.849999999999</v>
      </c>
      <c r="D781" s="21">
        <f t="shared" si="24"/>
        <v>-3.4388469977613134E-3</v>
      </c>
      <c r="F781" s="30">
        <v>44967</v>
      </c>
      <c r="G781" s="32">
        <v>7.3630000000000004</v>
      </c>
      <c r="H781" s="21">
        <f t="shared" si="25"/>
        <v>2.5871459694988275E-3</v>
      </c>
    </row>
    <row r="782" spans="2:8" x14ac:dyDescent="0.25">
      <c r="B782" s="30">
        <v>44943</v>
      </c>
      <c r="C782" s="31">
        <v>18053.3</v>
      </c>
      <c r="D782" s="21">
        <f t="shared" si="24"/>
        <v>8.8545028318203212E-3</v>
      </c>
      <c r="F782" s="30">
        <v>44970</v>
      </c>
      <c r="G782" s="32">
        <v>7.3659999999999997</v>
      </c>
      <c r="H782" s="21">
        <f t="shared" si="25"/>
        <v>4.0744261849789964E-4</v>
      </c>
    </row>
    <row r="783" spans="2:8" x14ac:dyDescent="0.25">
      <c r="B783" s="30">
        <v>44944</v>
      </c>
      <c r="C783" s="31">
        <v>18165.349999999999</v>
      </c>
      <c r="D783" s="21">
        <f t="shared" si="24"/>
        <v>6.2066215041016726E-3</v>
      </c>
      <c r="F783" s="30">
        <v>44971</v>
      </c>
      <c r="G783" s="32">
        <v>7.3710000000000004</v>
      </c>
      <c r="H783" s="21">
        <f t="shared" si="25"/>
        <v>6.7879446103735752E-4</v>
      </c>
    </row>
    <row r="784" spans="2:8" x14ac:dyDescent="0.25">
      <c r="B784" s="30">
        <v>44945</v>
      </c>
      <c r="C784" s="31">
        <v>18107.849999999999</v>
      </c>
      <c r="D784" s="21">
        <f t="shared" si="24"/>
        <v>-3.1653670311885262E-3</v>
      </c>
      <c r="F784" s="30">
        <v>44972</v>
      </c>
      <c r="G784" s="32">
        <v>7.3470000000000004</v>
      </c>
      <c r="H784" s="21">
        <f t="shared" si="25"/>
        <v>-3.2560032560032814E-3</v>
      </c>
    </row>
    <row r="785" spans="2:8" x14ac:dyDescent="0.25">
      <c r="B785" s="30">
        <v>44946</v>
      </c>
      <c r="C785" s="31">
        <v>18027.650000000001</v>
      </c>
      <c r="D785" s="21">
        <f t="shared" si="24"/>
        <v>-4.4290183539181793E-3</v>
      </c>
      <c r="F785" s="30">
        <v>44973</v>
      </c>
      <c r="G785" s="32">
        <v>7.3419999999999996</v>
      </c>
      <c r="H785" s="21">
        <f t="shared" si="25"/>
        <v>-6.8054988430665819E-4</v>
      </c>
    </row>
    <row r="786" spans="2:8" x14ac:dyDescent="0.25">
      <c r="B786" s="30">
        <v>44949</v>
      </c>
      <c r="C786" s="31">
        <v>18118.55</v>
      </c>
      <c r="D786" s="21">
        <f t="shared" si="24"/>
        <v>5.0422545367809768E-3</v>
      </c>
      <c r="F786" s="30">
        <v>44974</v>
      </c>
      <c r="G786" s="32">
        <v>7.3879999999999999</v>
      </c>
      <c r="H786" s="21">
        <f t="shared" si="25"/>
        <v>6.2653228003268779E-3</v>
      </c>
    </row>
    <row r="787" spans="2:8" x14ac:dyDescent="0.25">
      <c r="B787" s="30">
        <v>44950</v>
      </c>
      <c r="C787" s="31">
        <v>18118.3</v>
      </c>
      <c r="D787" s="21">
        <f t="shared" si="24"/>
        <v>-1.3798013637988937E-5</v>
      </c>
      <c r="F787" s="30">
        <v>44977</v>
      </c>
      <c r="G787" s="32">
        <v>7.37</v>
      </c>
      <c r="H787" s="21">
        <f t="shared" si="25"/>
        <v>-2.4363833243096211E-3</v>
      </c>
    </row>
    <row r="788" spans="2:8" x14ac:dyDescent="0.25">
      <c r="B788" s="30">
        <v>44951</v>
      </c>
      <c r="C788" s="31">
        <v>17891.95</v>
      </c>
      <c r="D788" s="21">
        <f t="shared" si="24"/>
        <v>-1.2492893924926696E-2</v>
      </c>
      <c r="F788" s="30">
        <v>44978</v>
      </c>
      <c r="G788" s="32">
        <v>7.391</v>
      </c>
      <c r="H788" s="21">
        <f t="shared" si="25"/>
        <v>2.8493894165535494E-3</v>
      </c>
    </row>
    <row r="789" spans="2:8" x14ac:dyDescent="0.25">
      <c r="B789" s="30">
        <v>44953</v>
      </c>
      <c r="C789" s="31">
        <v>17604.349999999999</v>
      </c>
      <c r="D789" s="21">
        <f t="shared" si="24"/>
        <v>-1.6074268036742945E-2</v>
      </c>
      <c r="F789" s="30">
        <v>44979</v>
      </c>
      <c r="G789" s="32">
        <v>7.4290000000000003</v>
      </c>
      <c r="H789" s="21">
        <f t="shared" si="25"/>
        <v>5.1413881748072487E-3</v>
      </c>
    </row>
    <row r="790" spans="2:8" x14ac:dyDescent="0.25">
      <c r="B790" s="30">
        <v>44956</v>
      </c>
      <c r="C790" s="31">
        <v>17648.95</v>
      </c>
      <c r="D790" s="21">
        <f t="shared" si="24"/>
        <v>2.5334647402490695E-3</v>
      </c>
      <c r="F790" s="30">
        <v>44980</v>
      </c>
      <c r="G790" s="32">
        <v>7.391</v>
      </c>
      <c r="H790" s="21">
        <f t="shared" si="25"/>
        <v>-5.1150895140665842E-3</v>
      </c>
    </row>
    <row r="791" spans="2:8" x14ac:dyDescent="0.25">
      <c r="B791" s="30">
        <v>44957</v>
      </c>
      <c r="C791" s="31">
        <v>17662.150000000001</v>
      </c>
      <c r="D791" s="21">
        <f t="shared" si="24"/>
        <v>7.4791984792299537E-4</v>
      </c>
      <c r="F791" s="30">
        <v>44981</v>
      </c>
      <c r="G791" s="32">
        <v>7.4189999999999996</v>
      </c>
      <c r="H791" s="21">
        <f t="shared" si="25"/>
        <v>3.7883912867000546E-3</v>
      </c>
    </row>
    <row r="792" spans="2:8" x14ac:dyDescent="0.25">
      <c r="B792" s="30">
        <v>44958</v>
      </c>
      <c r="C792" s="31">
        <v>17616.3</v>
      </c>
      <c r="D792" s="21">
        <f t="shared" ref="D792:D855" si="26">C792/C791-1</f>
        <v>-2.5959466995808533E-3</v>
      </c>
      <c r="F792" s="30">
        <v>44984</v>
      </c>
      <c r="G792" s="32">
        <v>7.4480000000000004</v>
      </c>
      <c r="H792" s="21">
        <f t="shared" ref="H792:H855" si="27">G792/G791-1</f>
        <v>3.90888259873301E-3</v>
      </c>
    </row>
    <row r="793" spans="2:8" x14ac:dyDescent="0.25">
      <c r="B793" s="30">
        <v>44959</v>
      </c>
      <c r="C793" s="31">
        <v>17610.400000000001</v>
      </c>
      <c r="D793" s="21">
        <f t="shared" si="26"/>
        <v>-3.3491709382771351E-4</v>
      </c>
      <c r="F793" s="30">
        <v>44985</v>
      </c>
      <c r="G793" s="32">
        <v>7.4569999999999999</v>
      </c>
      <c r="H793" s="21">
        <f t="shared" si="27"/>
        <v>1.2083780880771666E-3</v>
      </c>
    </row>
    <row r="794" spans="2:8" x14ac:dyDescent="0.25">
      <c r="B794" s="30">
        <v>44960</v>
      </c>
      <c r="C794" s="31">
        <v>17854.05</v>
      </c>
      <c r="D794" s="21">
        <f t="shared" si="26"/>
        <v>1.3835574433289199E-2</v>
      </c>
      <c r="F794" s="30">
        <v>44986</v>
      </c>
      <c r="G794" s="32">
        <v>7.4340000000000002</v>
      </c>
      <c r="H794" s="21">
        <f t="shared" si="27"/>
        <v>-3.0843502749093865E-3</v>
      </c>
    </row>
    <row r="795" spans="2:8" x14ac:dyDescent="0.25">
      <c r="B795" s="30">
        <v>44963</v>
      </c>
      <c r="C795" s="31">
        <v>17764.599999999999</v>
      </c>
      <c r="D795" s="21">
        <f t="shared" si="26"/>
        <v>-5.0100677437332486E-3</v>
      </c>
      <c r="F795" s="30">
        <v>44987</v>
      </c>
      <c r="G795" s="32">
        <v>7.43</v>
      </c>
      <c r="H795" s="21">
        <f t="shared" si="27"/>
        <v>-5.3806833467850979E-4</v>
      </c>
    </row>
    <row r="796" spans="2:8" x14ac:dyDescent="0.25">
      <c r="B796" s="30">
        <v>44964</v>
      </c>
      <c r="C796" s="31">
        <v>17721.5</v>
      </c>
      <c r="D796" s="21">
        <f t="shared" si="26"/>
        <v>-2.4261734010334601E-3</v>
      </c>
      <c r="F796" s="30">
        <v>44988</v>
      </c>
      <c r="G796" s="32">
        <v>7.4160000000000004</v>
      </c>
      <c r="H796" s="21">
        <f t="shared" si="27"/>
        <v>-1.8842530282636716E-3</v>
      </c>
    </row>
    <row r="797" spans="2:8" x14ac:dyDescent="0.25">
      <c r="B797" s="30">
        <v>44965</v>
      </c>
      <c r="C797" s="31">
        <v>17871.7</v>
      </c>
      <c r="D797" s="21">
        <f t="shared" si="26"/>
        <v>8.475580509550662E-3</v>
      </c>
      <c r="F797" s="30">
        <v>44991</v>
      </c>
      <c r="G797" s="32">
        <v>7.4180000000000001</v>
      </c>
      <c r="H797" s="21">
        <f t="shared" si="27"/>
        <v>2.6968716289110795E-4</v>
      </c>
    </row>
    <row r="798" spans="2:8" x14ac:dyDescent="0.25">
      <c r="B798" s="30">
        <v>44966</v>
      </c>
      <c r="C798" s="31">
        <v>17893.45</v>
      </c>
      <c r="D798" s="21">
        <f t="shared" si="26"/>
        <v>1.2170078951638796E-3</v>
      </c>
      <c r="F798" s="30">
        <v>44993</v>
      </c>
      <c r="G798" s="32">
        <v>7.4589999999999996</v>
      </c>
      <c r="H798" s="21">
        <f t="shared" si="27"/>
        <v>5.5270962523590317E-3</v>
      </c>
    </row>
    <row r="799" spans="2:8" x14ac:dyDescent="0.25">
      <c r="B799" s="30">
        <v>44967</v>
      </c>
      <c r="C799" s="31">
        <v>17856.5</v>
      </c>
      <c r="D799" s="21">
        <f t="shared" si="26"/>
        <v>-2.0650014390740656E-3</v>
      </c>
      <c r="F799" s="30">
        <v>44994</v>
      </c>
      <c r="G799" s="32">
        <v>7.4409999999999998</v>
      </c>
      <c r="H799" s="21">
        <f t="shared" si="27"/>
        <v>-2.4131921169057158E-3</v>
      </c>
    </row>
    <row r="800" spans="2:8" x14ac:dyDescent="0.25">
      <c r="B800" s="30">
        <v>44970</v>
      </c>
      <c r="C800" s="31">
        <v>17770.900000000001</v>
      </c>
      <c r="D800" s="21">
        <f t="shared" si="26"/>
        <v>-4.7937725758125938E-3</v>
      </c>
      <c r="F800" s="30">
        <v>44995</v>
      </c>
      <c r="G800" s="32">
        <v>7.4290000000000003</v>
      </c>
      <c r="H800" s="21">
        <f t="shared" si="27"/>
        <v>-1.612686466872626E-3</v>
      </c>
    </row>
    <row r="801" spans="2:8" x14ac:dyDescent="0.25">
      <c r="B801" s="30">
        <v>44971</v>
      </c>
      <c r="C801" s="31">
        <v>17929.849999999999</v>
      </c>
      <c r="D801" s="21">
        <f t="shared" si="26"/>
        <v>8.9443978639234256E-3</v>
      </c>
      <c r="F801" s="30">
        <v>44998</v>
      </c>
      <c r="G801" s="32">
        <v>7.3650000000000002</v>
      </c>
      <c r="H801" s="21">
        <f t="shared" si="27"/>
        <v>-8.6148876026382881E-3</v>
      </c>
    </row>
    <row r="802" spans="2:8" x14ac:dyDescent="0.25">
      <c r="B802" s="30">
        <v>44972</v>
      </c>
      <c r="C802" s="31">
        <v>18015.849999999999</v>
      </c>
      <c r="D802" s="21">
        <f t="shared" si="26"/>
        <v>4.7964706899388254E-3</v>
      </c>
      <c r="F802" s="30">
        <v>44999</v>
      </c>
      <c r="G802" s="32">
        <v>7.3780000000000001</v>
      </c>
      <c r="H802" s="21">
        <f t="shared" si="27"/>
        <v>1.7651052274270107E-3</v>
      </c>
    </row>
    <row r="803" spans="2:8" x14ac:dyDescent="0.25">
      <c r="B803" s="30">
        <v>44973</v>
      </c>
      <c r="C803" s="31">
        <v>18035.849999999999</v>
      </c>
      <c r="D803" s="21">
        <f t="shared" si="26"/>
        <v>1.1101335768226583E-3</v>
      </c>
      <c r="F803" s="30">
        <v>45000</v>
      </c>
      <c r="G803" s="32">
        <v>7.3630000000000004</v>
      </c>
      <c r="H803" s="21">
        <f t="shared" si="27"/>
        <v>-2.0330712930333172E-3</v>
      </c>
    </row>
    <row r="804" spans="2:8" x14ac:dyDescent="0.25">
      <c r="B804" s="30">
        <v>44974</v>
      </c>
      <c r="C804" s="31">
        <v>17944.2</v>
      </c>
      <c r="D804" s="21">
        <f t="shared" si="26"/>
        <v>-5.0815459210404867E-3</v>
      </c>
      <c r="F804" s="30">
        <v>45001</v>
      </c>
      <c r="G804" s="32">
        <v>7.3520000000000003</v>
      </c>
      <c r="H804" s="21">
        <f t="shared" si="27"/>
        <v>-1.493956267825669E-3</v>
      </c>
    </row>
    <row r="805" spans="2:8" x14ac:dyDescent="0.25">
      <c r="B805" s="30">
        <v>44977</v>
      </c>
      <c r="C805" s="31">
        <v>17844.599999999999</v>
      </c>
      <c r="D805" s="21">
        <f t="shared" si="26"/>
        <v>-5.5505400073562194E-3</v>
      </c>
      <c r="F805" s="30">
        <v>45002</v>
      </c>
      <c r="G805" s="32">
        <v>7.3540000000000001</v>
      </c>
      <c r="H805" s="21">
        <f t="shared" si="27"/>
        <v>2.7203482045701222E-4</v>
      </c>
    </row>
    <row r="806" spans="2:8" x14ac:dyDescent="0.25">
      <c r="B806" s="30">
        <v>44978</v>
      </c>
      <c r="C806" s="31">
        <v>17826.7</v>
      </c>
      <c r="D806" s="21">
        <f t="shared" si="26"/>
        <v>-1.0031045806573324E-3</v>
      </c>
      <c r="F806" s="30">
        <v>45005</v>
      </c>
      <c r="G806" s="32">
        <v>7.3339999999999996</v>
      </c>
      <c r="H806" s="21">
        <f t="shared" si="27"/>
        <v>-2.719608376393845E-3</v>
      </c>
    </row>
    <row r="807" spans="2:8" x14ac:dyDescent="0.25">
      <c r="B807" s="30">
        <v>44979</v>
      </c>
      <c r="C807" s="31">
        <v>17554.3</v>
      </c>
      <c r="D807" s="21">
        <f t="shared" si="26"/>
        <v>-1.528045011134993E-2</v>
      </c>
      <c r="F807" s="30">
        <v>45006</v>
      </c>
      <c r="G807" s="32">
        <v>7.3540000000000001</v>
      </c>
      <c r="H807" s="21">
        <f t="shared" si="27"/>
        <v>2.7270248159259047E-3</v>
      </c>
    </row>
    <row r="808" spans="2:8" x14ac:dyDescent="0.25">
      <c r="B808" s="30">
        <v>44980</v>
      </c>
      <c r="C808" s="31">
        <v>17511.25</v>
      </c>
      <c r="D808" s="21">
        <f t="shared" si="26"/>
        <v>-2.4523905823643499E-3</v>
      </c>
      <c r="F808" s="30">
        <v>45008</v>
      </c>
      <c r="G808" s="32">
        <v>7.3449999999999998</v>
      </c>
      <c r="H808" s="21">
        <f t="shared" si="27"/>
        <v>-1.2238237693772414E-3</v>
      </c>
    </row>
    <row r="809" spans="2:8" x14ac:dyDescent="0.25">
      <c r="B809" s="30">
        <v>44981</v>
      </c>
      <c r="C809" s="31">
        <v>17465.8</v>
      </c>
      <c r="D809" s="21">
        <f t="shared" si="26"/>
        <v>-2.5954743379256184E-3</v>
      </c>
      <c r="F809" s="30">
        <v>45009</v>
      </c>
      <c r="G809" s="32">
        <v>7.3179999999999996</v>
      </c>
      <c r="H809" s="21">
        <f t="shared" si="27"/>
        <v>-3.6759700476515222E-3</v>
      </c>
    </row>
    <row r="810" spans="2:8" x14ac:dyDescent="0.25">
      <c r="B810" s="30">
        <v>44984</v>
      </c>
      <c r="C810" s="31">
        <v>17392.7</v>
      </c>
      <c r="D810" s="21">
        <f t="shared" si="26"/>
        <v>-4.1853221724741374E-3</v>
      </c>
      <c r="F810" s="30">
        <v>45012</v>
      </c>
      <c r="G810" s="32">
        <v>7.3120000000000003</v>
      </c>
      <c r="H810" s="21">
        <f t="shared" si="27"/>
        <v>-8.1989614648803055E-4</v>
      </c>
    </row>
    <row r="811" spans="2:8" x14ac:dyDescent="0.25">
      <c r="B811" s="30">
        <v>44985</v>
      </c>
      <c r="C811" s="31">
        <v>17303.95</v>
      </c>
      <c r="D811" s="21">
        <f t="shared" si="26"/>
        <v>-5.1027155070805241E-3</v>
      </c>
      <c r="F811" s="30">
        <v>45013</v>
      </c>
      <c r="G811" s="32">
        <v>7.3209999999999997</v>
      </c>
      <c r="H811" s="21">
        <f t="shared" si="27"/>
        <v>1.2308533916847164E-3</v>
      </c>
    </row>
    <row r="812" spans="2:8" x14ac:dyDescent="0.25">
      <c r="B812" s="30">
        <v>44986</v>
      </c>
      <c r="C812" s="31">
        <v>17450.900000000001</v>
      </c>
      <c r="D812" s="21">
        <f t="shared" si="26"/>
        <v>8.4922806642413473E-3</v>
      </c>
      <c r="F812" s="30">
        <v>45014</v>
      </c>
      <c r="G812" s="32">
        <v>7.2960000000000003</v>
      </c>
      <c r="H812" s="21">
        <f t="shared" si="27"/>
        <v>-3.4148340390656173E-3</v>
      </c>
    </row>
    <row r="813" spans="2:8" x14ac:dyDescent="0.25">
      <c r="B813" s="30">
        <v>44987</v>
      </c>
      <c r="C813" s="31">
        <v>17321.900000000001</v>
      </c>
      <c r="D813" s="21">
        <f t="shared" si="26"/>
        <v>-7.3921688852723877E-3</v>
      </c>
      <c r="F813" s="30">
        <v>45016</v>
      </c>
      <c r="G813" s="32">
        <v>7.3150000000000004</v>
      </c>
      <c r="H813" s="21">
        <f t="shared" si="27"/>
        <v>2.6041666666667407E-3</v>
      </c>
    </row>
    <row r="814" spans="2:8" x14ac:dyDescent="0.25">
      <c r="B814" s="30">
        <v>44988</v>
      </c>
      <c r="C814" s="31">
        <v>17594.349999999999</v>
      </c>
      <c r="D814" s="21">
        <f t="shared" si="26"/>
        <v>1.5728644086387522E-2</v>
      </c>
      <c r="F814" s="30">
        <v>45019</v>
      </c>
      <c r="G814" s="32">
        <v>7.3150000000000004</v>
      </c>
      <c r="H814" s="21">
        <f t="shared" si="27"/>
        <v>0</v>
      </c>
    </row>
    <row r="815" spans="2:8" x14ac:dyDescent="0.25">
      <c r="B815" s="30">
        <v>44991</v>
      </c>
      <c r="C815" s="31">
        <v>17711.45</v>
      </c>
      <c r="D815" s="21">
        <f t="shared" si="26"/>
        <v>6.6555456723325079E-3</v>
      </c>
      <c r="F815" s="30">
        <v>45021</v>
      </c>
      <c r="G815" s="32">
        <v>7.2729999999999997</v>
      </c>
      <c r="H815" s="21">
        <f t="shared" si="27"/>
        <v>-5.741626794258492E-3</v>
      </c>
    </row>
    <row r="816" spans="2:8" x14ac:dyDescent="0.25">
      <c r="B816" s="30">
        <v>44993</v>
      </c>
      <c r="C816" s="31">
        <v>17754.400000000001</v>
      </c>
      <c r="D816" s="21">
        <f t="shared" si="26"/>
        <v>2.4249849673516621E-3</v>
      </c>
      <c r="F816" s="30">
        <v>45022</v>
      </c>
      <c r="G816" s="32">
        <v>7.2190000000000003</v>
      </c>
      <c r="H816" s="21">
        <f t="shared" si="27"/>
        <v>-7.4247215729409399E-3</v>
      </c>
    </row>
    <row r="817" spans="2:8" x14ac:dyDescent="0.25">
      <c r="B817" s="30">
        <v>44994</v>
      </c>
      <c r="C817" s="31">
        <v>17589.599999999999</v>
      </c>
      <c r="D817" s="21">
        <f t="shared" si="26"/>
        <v>-9.2822061010230383E-3</v>
      </c>
      <c r="F817" s="30">
        <v>45026</v>
      </c>
      <c r="G817" s="32">
        <v>7.2270000000000003</v>
      </c>
      <c r="H817" s="21">
        <f t="shared" si="27"/>
        <v>1.1081867294640002E-3</v>
      </c>
    </row>
    <row r="818" spans="2:8" x14ac:dyDescent="0.25">
      <c r="B818" s="30">
        <v>44995</v>
      </c>
      <c r="C818" s="31">
        <v>17412.900000000001</v>
      </c>
      <c r="D818" s="21">
        <f t="shared" si="26"/>
        <v>-1.0045708827943645E-2</v>
      </c>
      <c r="F818" s="30">
        <v>45027</v>
      </c>
      <c r="G818" s="32">
        <v>7.2240000000000002</v>
      </c>
      <c r="H818" s="21">
        <f t="shared" si="27"/>
        <v>-4.1511000415106469E-4</v>
      </c>
    </row>
    <row r="819" spans="2:8" x14ac:dyDescent="0.25">
      <c r="B819" s="30">
        <v>44998</v>
      </c>
      <c r="C819" s="31">
        <v>17154.3</v>
      </c>
      <c r="D819" s="21">
        <f t="shared" si="26"/>
        <v>-1.4851058697862074E-2</v>
      </c>
      <c r="F819" s="30">
        <v>45028</v>
      </c>
      <c r="G819" s="32">
        <v>7.2130000000000001</v>
      </c>
      <c r="H819" s="21">
        <f t="shared" si="27"/>
        <v>-1.5227021040974398E-3</v>
      </c>
    </row>
    <row r="820" spans="2:8" x14ac:dyDescent="0.25">
      <c r="B820" s="30">
        <v>44999</v>
      </c>
      <c r="C820" s="31">
        <v>17043.3</v>
      </c>
      <c r="D820" s="21">
        <f t="shared" si="26"/>
        <v>-6.4706808205522437E-3</v>
      </c>
      <c r="F820" s="30">
        <v>45029</v>
      </c>
      <c r="G820" s="32">
        <v>7.2290000000000001</v>
      </c>
      <c r="H820" s="21">
        <f t="shared" si="27"/>
        <v>2.2182171079994095E-3</v>
      </c>
    </row>
    <row r="821" spans="2:8" x14ac:dyDescent="0.25">
      <c r="B821" s="30">
        <v>45000</v>
      </c>
      <c r="C821" s="31">
        <v>16972.150000000001</v>
      </c>
      <c r="D821" s="21">
        <f t="shared" si="26"/>
        <v>-4.1746610104849147E-3</v>
      </c>
      <c r="F821" s="30">
        <v>45033</v>
      </c>
      <c r="G821" s="32">
        <v>7.2469999999999999</v>
      </c>
      <c r="H821" s="21">
        <f t="shared" si="27"/>
        <v>2.4899709503389822E-3</v>
      </c>
    </row>
    <row r="822" spans="2:8" x14ac:dyDescent="0.25">
      <c r="B822" s="30">
        <v>45001</v>
      </c>
      <c r="C822" s="31">
        <v>16985.599999999999</v>
      </c>
      <c r="D822" s="21">
        <f t="shared" si="26"/>
        <v>7.9247473066157426E-4</v>
      </c>
      <c r="F822" s="30">
        <v>45034</v>
      </c>
      <c r="G822" s="32">
        <v>7.2210000000000001</v>
      </c>
      <c r="H822" s="21">
        <f t="shared" si="27"/>
        <v>-3.5876914585345476E-3</v>
      </c>
    </row>
    <row r="823" spans="2:8" x14ac:dyDescent="0.25">
      <c r="B823" s="30">
        <v>45002</v>
      </c>
      <c r="C823" s="31">
        <v>17100.05</v>
      </c>
      <c r="D823" s="21">
        <f t="shared" si="26"/>
        <v>6.7380604747551143E-3</v>
      </c>
      <c r="F823" s="30">
        <v>45035</v>
      </c>
      <c r="G823" s="32">
        <v>7.2270000000000003</v>
      </c>
      <c r="H823" s="21">
        <f t="shared" si="27"/>
        <v>8.3090984628175768E-4</v>
      </c>
    </row>
    <row r="824" spans="2:8" x14ac:dyDescent="0.25">
      <c r="B824" s="30">
        <v>45005</v>
      </c>
      <c r="C824" s="31">
        <v>16988.400000000001</v>
      </c>
      <c r="D824" s="21">
        <f t="shared" si="26"/>
        <v>-6.5292206747932235E-3</v>
      </c>
      <c r="F824" s="30">
        <v>45036</v>
      </c>
      <c r="G824" s="32">
        <v>7.22</v>
      </c>
      <c r="H824" s="21">
        <f t="shared" si="27"/>
        <v>-9.6859000968596565E-4</v>
      </c>
    </row>
    <row r="825" spans="2:8" x14ac:dyDescent="0.25">
      <c r="B825" s="30">
        <v>45006</v>
      </c>
      <c r="C825" s="31">
        <v>17107.5</v>
      </c>
      <c r="D825" s="21">
        <f t="shared" si="26"/>
        <v>7.0106661015751914E-3</v>
      </c>
      <c r="F825" s="30">
        <v>45037</v>
      </c>
      <c r="G825" s="32">
        <v>7.1849999999999996</v>
      </c>
      <c r="H825" s="21">
        <f t="shared" si="27"/>
        <v>-4.8476454293628901E-3</v>
      </c>
    </row>
    <row r="826" spans="2:8" x14ac:dyDescent="0.25">
      <c r="B826" s="30">
        <v>45007</v>
      </c>
      <c r="C826" s="31">
        <v>17151.900000000001</v>
      </c>
      <c r="D826" s="21">
        <f t="shared" si="26"/>
        <v>2.5953529153881494E-3</v>
      </c>
      <c r="F826" s="30">
        <v>45040</v>
      </c>
      <c r="G826" s="32">
        <v>7.1109999999999998</v>
      </c>
      <c r="H826" s="21">
        <f t="shared" si="27"/>
        <v>-1.0299234516353506E-2</v>
      </c>
    </row>
    <row r="827" spans="2:8" x14ac:dyDescent="0.25">
      <c r="B827" s="30">
        <v>45008</v>
      </c>
      <c r="C827" s="31">
        <v>17076.900000000001</v>
      </c>
      <c r="D827" s="21">
        <f t="shared" si="26"/>
        <v>-4.3726934042292998E-3</v>
      </c>
      <c r="F827" s="30">
        <v>45041</v>
      </c>
      <c r="G827" s="32">
        <v>7.11</v>
      </c>
      <c r="H827" s="21">
        <f t="shared" si="27"/>
        <v>-1.4062719729990292E-4</v>
      </c>
    </row>
    <row r="828" spans="2:8" x14ac:dyDescent="0.25">
      <c r="B828" s="30">
        <v>45009</v>
      </c>
      <c r="C828" s="31">
        <v>16945.05</v>
      </c>
      <c r="D828" s="21">
        <f t="shared" si="26"/>
        <v>-7.7209563796709624E-3</v>
      </c>
      <c r="F828" s="30">
        <v>45042</v>
      </c>
      <c r="G828" s="32">
        <v>7.1159999999999997</v>
      </c>
      <c r="H828" s="21">
        <f t="shared" si="27"/>
        <v>8.4388185653994086E-4</v>
      </c>
    </row>
    <row r="829" spans="2:8" x14ac:dyDescent="0.25">
      <c r="B829" s="30">
        <v>45012</v>
      </c>
      <c r="C829" s="31">
        <v>16985.7</v>
      </c>
      <c r="D829" s="21">
        <f t="shared" si="26"/>
        <v>2.3989306611666983E-3</v>
      </c>
      <c r="F829" s="30">
        <v>45043</v>
      </c>
      <c r="G829" s="32">
        <v>7.0970000000000004</v>
      </c>
      <c r="H829" s="21">
        <f t="shared" si="27"/>
        <v>-2.6700393479481832E-3</v>
      </c>
    </row>
    <row r="830" spans="2:8" x14ac:dyDescent="0.25">
      <c r="B830" s="30">
        <v>45013</v>
      </c>
      <c r="C830" s="31">
        <v>16951.7</v>
      </c>
      <c r="D830" s="21">
        <f t="shared" si="26"/>
        <v>-2.0016837692883316E-3</v>
      </c>
      <c r="F830" s="30">
        <v>45044</v>
      </c>
      <c r="G830" s="32">
        <v>7.1159999999999997</v>
      </c>
      <c r="H830" s="21">
        <f t="shared" si="27"/>
        <v>2.6771875440325665E-3</v>
      </c>
    </row>
    <row r="831" spans="2:8" x14ac:dyDescent="0.25">
      <c r="B831" s="30">
        <v>45014</v>
      </c>
      <c r="C831" s="31">
        <v>17080.7</v>
      </c>
      <c r="D831" s="21">
        <f t="shared" si="26"/>
        <v>7.6098562386073265E-3</v>
      </c>
      <c r="F831" s="30">
        <v>45048</v>
      </c>
      <c r="G831" s="32">
        <v>7.1059999999999999</v>
      </c>
      <c r="H831" s="21">
        <f t="shared" si="27"/>
        <v>-1.4052838673411783E-3</v>
      </c>
    </row>
    <row r="832" spans="2:8" x14ac:dyDescent="0.25">
      <c r="B832" s="30">
        <v>45016</v>
      </c>
      <c r="C832" s="31">
        <v>17359.75</v>
      </c>
      <c r="D832" s="21">
        <f t="shared" si="26"/>
        <v>1.6337152458622883E-2</v>
      </c>
      <c r="F832" s="30">
        <v>45049</v>
      </c>
      <c r="G832" s="32">
        <v>7.0110000000000001</v>
      </c>
      <c r="H832" s="21">
        <f t="shared" si="27"/>
        <v>-1.3368983957219194E-2</v>
      </c>
    </row>
    <row r="833" spans="2:8" x14ac:dyDescent="0.25">
      <c r="B833" s="30">
        <v>45019</v>
      </c>
      <c r="C833" s="31">
        <v>17398.05</v>
      </c>
      <c r="D833" s="21">
        <f t="shared" si="26"/>
        <v>2.2062529702329137E-3</v>
      </c>
      <c r="F833" s="30">
        <v>45050</v>
      </c>
      <c r="G833" s="32">
        <v>7.0140000000000002</v>
      </c>
      <c r="H833" s="21">
        <f t="shared" si="27"/>
        <v>4.2789901583217826E-4</v>
      </c>
    </row>
    <row r="834" spans="2:8" x14ac:dyDescent="0.25">
      <c r="B834" s="30">
        <v>45021</v>
      </c>
      <c r="C834" s="31">
        <v>17557.05</v>
      </c>
      <c r="D834" s="21">
        <f t="shared" si="26"/>
        <v>9.1389552277409969E-3</v>
      </c>
      <c r="F834" s="30">
        <v>45054</v>
      </c>
      <c r="G834" s="32">
        <v>7.0469999999999997</v>
      </c>
      <c r="H834" s="21">
        <f t="shared" si="27"/>
        <v>4.7048759623609104E-3</v>
      </c>
    </row>
    <row r="835" spans="2:8" x14ac:dyDescent="0.25">
      <c r="B835" s="30">
        <v>45022</v>
      </c>
      <c r="C835" s="31">
        <v>17599.150000000001</v>
      </c>
      <c r="D835" s="21">
        <f t="shared" si="26"/>
        <v>2.3978971410345551E-3</v>
      </c>
      <c r="F835" s="30">
        <v>45055</v>
      </c>
      <c r="G835" s="32">
        <v>7.0460000000000003</v>
      </c>
      <c r="H835" s="21">
        <f t="shared" si="27"/>
        <v>-1.419043564636624E-4</v>
      </c>
    </row>
    <row r="836" spans="2:8" x14ac:dyDescent="0.25">
      <c r="B836" s="30">
        <v>45026</v>
      </c>
      <c r="C836" s="31">
        <v>17624.05</v>
      </c>
      <c r="D836" s="21">
        <f t="shared" si="26"/>
        <v>1.4148410576646508E-3</v>
      </c>
      <c r="F836" s="30">
        <v>45056</v>
      </c>
      <c r="G836" s="32">
        <v>7.0359999999999996</v>
      </c>
      <c r="H836" s="21">
        <f t="shared" si="27"/>
        <v>-1.4192449616804437E-3</v>
      </c>
    </row>
    <row r="837" spans="2:8" x14ac:dyDescent="0.25">
      <c r="B837" s="30">
        <v>45027</v>
      </c>
      <c r="C837" s="31">
        <v>17722.3</v>
      </c>
      <c r="D837" s="21">
        <f t="shared" si="26"/>
        <v>5.5747685690858972E-3</v>
      </c>
      <c r="F837" s="30">
        <v>45057</v>
      </c>
      <c r="G837" s="32">
        <v>7.0229999999999997</v>
      </c>
      <c r="H837" s="21">
        <f t="shared" si="27"/>
        <v>-1.8476407049460297E-3</v>
      </c>
    </row>
    <row r="838" spans="2:8" x14ac:dyDescent="0.25">
      <c r="B838" s="30">
        <v>45028</v>
      </c>
      <c r="C838" s="31">
        <v>17812.400000000001</v>
      </c>
      <c r="D838" s="21">
        <f t="shared" si="26"/>
        <v>5.083990227002344E-3</v>
      </c>
      <c r="F838" s="30">
        <v>45058</v>
      </c>
      <c r="G838" s="32">
        <v>6.9950000000000001</v>
      </c>
      <c r="H838" s="21">
        <f t="shared" si="27"/>
        <v>-3.986900185106057E-3</v>
      </c>
    </row>
    <row r="839" spans="2:8" x14ac:dyDescent="0.25">
      <c r="B839" s="30">
        <v>45029</v>
      </c>
      <c r="C839" s="31">
        <v>17828</v>
      </c>
      <c r="D839" s="21">
        <f t="shared" si="26"/>
        <v>8.7579439042451135E-4</v>
      </c>
      <c r="F839" s="30">
        <v>45061</v>
      </c>
      <c r="G839" s="32">
        <v>7.0010000000000003</v>
      </c>
      <c r="H839" s="21">
        <f t="shared" si="27"/>
        <v>8.577555396711567E-4</v>
      </c>
    </row>
    <row r="840" spans="2:8" x14ac:dyDescent="0.25">
      <c r="B840" s="30">
        <v>45033</v>
      </c>
      <c r="C840" s="31">
        <v>17706.849999999999</v>
      </c>
      <c r="D840" s="21">
        <f t="shared" si="26"/>
        <v>-6.7954902400718664E-3</v>
      </c>
      <c r="F840" s="30">
        <v>45062</v>
      </c>
      <c r="G840" s="32">
        <v>6.9630000000000001</v>
      </c>
      <c r="H840" s="21">
        <f t="shared" si="27"/>
        <v>-5.4277960291386762E-3</v>
      </c>
    </row>
    <row r="841" spans="2:8" x14ac:dyDescent="0.25">
      <c r="B841" s="30">
        <v>45034</v>
      </c>
      <c r="C841" s="31">
        <v>17660.150000000001</v>
      </c>
      <c r="D841" s="21">
        <f t="shared" si="26"/>
        <v>-2.6373973914048943E-3</v>
      </c>
      <c r="F841" s="30">
        <v>45063</v>
      </c>
      <c r="G841" s="32">
        <v>6.9720000000000004</v>
      </c>
      <c r="H841" s="21">
        <f t="shared" si="27"/>
        <v>1.2925463162429818E-3</v>
      </c>
    </row>
    <row r="842" spans="2:8" x14ac:dyDescent="0.25">
      <c r="B842" s="30">
        <v>45035</v>
      </c>
      <c r="C842" s="31">
        <v>17618.75</v>
      </c>
      <c r="D842" s="21">
        <f t="shared" si="26"/>
        <v>-2.3442609490860189E-3</v>
      </c>
      <c r="F842" s="30">
        <v>45064</v>
      </c>
      <c r="G842" s="32">
        <v>6.9829999999999997</v>
      </c>
      <c r="H842" s="21">
        <f t="shared" si="27"/>
        <v>1.5777395295466512E-3</v>
      </c>
    </row>
    <row r="843" spans="2:8" x14ac:dyDescent="0.25">
      <c r="B843" s="30">
        <v>45036</v>
      </c>
      <c r="C843" s="31">
        <v>17624.45</v>
      </c>
      <c r="D843" s="21">
        <f t="shared" si="26"/>
        <v>3.2351897836124799E-4</v>
      </c>
      <c r="F843" s="30">
        <v>45065</v>
      </c>
      <c r="G843" s="32">
        <v>7.0039999999999996</v>
      </c>
      <c r="H843" s="21">
        <f t="shared" si="27"/>
        <v>3.0073034512387853E-3</v>
      </c>
    </row>
    <row r="844" spans="2:8" x14ac:dyDescent="0.25">
      <c r="B844" s="30">
        <v>45037</v>
      </c>
      <c r="C844" s="31">
        <v>17624.05</v>
      </c>
      <c r="D844" s="21">
        <f t="shared" si="26"/>
        <v>-2.2695743697065396E-5</v>
      </c>
      <c r="F844" s="30">
        <v>45068</v>
      </c>
      <c r="G844" s="32">
        <v>6.9850000000000003</v>
      </c>
      <c r="H844" s="21">
        <f t="shared" si="27"/>
        <v>-2.7127355796686681E-3</v>
      </c>
    </row>
    <row r="845" spans="2:8" x14ac:dyDescent="0.25">
      <c r="B845" s="30">
        <v>45040</v>
      </c>
      <c r="C845" s="31">
        <v>17743.400000000001</v>
      </c>
      <c r="D845" s="21">
        <f t="shared" si="26"/>
        <v>6.7719962210730511E-3</v>
      </c>
      <c r="F845" s="30">
        <v>45069</v>
      </c>
      <c r="G845" s="32">
        <v>7.016</v>
      </c>
      <c r="H845" s="21">
        <f t="shared" si="27"/>
        <v>4.4380816034359505E-3</v>
      </c>
    </row>
    <row r="846" spans="2:8" x14ac:dyDescent="0.25">
      <c r="B846" s="30">
        <v>45041</v>
      </c>
      <c r="C846" s="31">
        <v>17769.25</v>
      </c>
      <c r="D846" s="21">
        <f t="shared" si="26"/>
        <v>1.4568797411995682E-3</v>
      </c>
      <c r="F846" s="30">
        <v>45070</v>
      </c>
      <c r="G846" s="32">
        <v>6.99</v>
      </c>
      <c r="H846" s="21">
        <f t="shared" si="27"/>
        <v>-3.7058152793614241E-3</v>
      </c>
    </row>
    <row r="847" spans="2:8" x14ac:dyDescent="0.25">
      <c r="B847" s="30">
        <v>45042</v>
      </c>
      <c r="C847" s="31">
        <v>17813.599999999999</v>
      </c>
      <c r="D847" s="21">
        <f t="shared" si="26"/>
        <v>2.4958847447134058E-3</v>
      </c>
      <c r="F847" s="30">
        <v>45071</v>
      </c>
      <c r="G847" s="32">
        <v>7.0069999999999997</v>
      </c>
      <c r="H847" s="21">
        <f t="shared" si="27"/>
        <v>2.4320457796851436E-3</v>
      </c>
    </row>
    <row r="848" spans="2:8" x14ac:dyDescent="0.25">
      <c r="B848" s="30">
        <v>45043</v>
      </c>
      <c r="C848" s="31">
        <v>17915.05</v>
      </c>
      <c r="D848" s="21">
        <f t="shared" si="26"/>
        <v>5.6950868998968396E-3</v>
      </c>
      <c r="F848" s="30">
        <v>45072</v>
      </c>
      <c r="G848" s="32">
        <v>7.0030000000000001</v>
      </c>
      <c r="H848" s="21">
        <f t="shared" si="27"/>
        <v>-5.7085771371478966E-4</v>
      </c>
    </row>
    <row r="849" spans="2:8" x14ac:dyDescent="0.25">
      <c r="B849" s="30">
        <v>45044</v>
      </c>
      <c r="C849" s="31">
        <v>18065</v>
      </c>
      <c r="D849" s="21">
        <f t="shared" si="26"/>
        <v>8.3700575772884811E-3</v>
      </c>
      <c r="F849" s="30">
        <v>45075</v>
      </c>
      <c r="G849" s="32">
        <v>7.024</v>
      </c>
      <c r="H849" s="21">
        <f t="shared" si="27"/>
        <v>2.9987148364987171E-3</v>
      </c>
    </row>
    <row r="850" spans="2:8" x14ac:dyDescent="0.25">
      <c r="B850" s="30">
        <v>45048</v>
      </c>
      <c r="C850" s="31">
        <v>18147.650000000001</v>
      </c>
      <c r="D850" s="21">
        <f t="shared" si="26"/>
        <v>4.5751453086078087E-3</v>
      </c>
      <c r="F850" s="30">
        <v>45076</v>
      </c>
      <c r="G850" s="32">
        <v>7.0110000000000001</v>
      </c>
      <c r="H850" s="21">
        <f t="shared" si="27"/>
        <v>-1.8507972665148253E-3</v>
      </c>
    </row>
    <row r="851" spans="2:8" x14ac:dyDescent="0.25">
      <c r="B851" s="30">
        <v>45049</v>
      </c>
      <c r="C851" s="31">
        <v>18089.849999999999</v>
      </c>
      <c r="D851" s="21">
        <f t="shared" si="26"/>
        <v>-3.1849853837826458E-3</v>
      </c>
      <c r="F851" s="30">
        <v>45077</v>
      </c>
      <c r="G851" s="32">
        <v>6.9889999999999999</v>
      </c>
      <c r="H851" s="21">
        <f t="shared" si="27"/>
        <v>-3.1379261161033067E-3</v>
      </c>
    </row>
    <row r="852" spans="2:8" x14ac:dyDescent="0.25">
      <c r="B852" s="30">
        <v>45050</v>
      </c>
      <c r="C852" s="31">
        <v>18255.8</v>
      </c>
      <c r="D852" s="21">
        <f t="shared" si="26"/>
        <v>9.1736526284076358E-3</v>
      </c>
      <c r="F852" s="30">
        <v>45078</v>
      </c>
      <c r="G852" s="32">
        <v>6.9790000000000001</v>
      </c>
      <c r="H852" s="21">
        <f t="shared" si="27"/>
        <v>-1.430819859779664E-3</v>
      </c>
    </row>
    <row r="853" spans="2:8" x14ac:dyDescent="0.25">
      <c r="B853" s="30">
        <v>45051</v>
      </c>
      <c r="C853" s="31">
        <v>18069</v>
      </c>
      <c r="D853" s="21">
        <f t="shared" si="26"/>
        <v>-1.0232364508813596E-2</v>
      </c>
      <c r="F853" s="30">
        <v>45079</v>
      </c>
      <c r="G853" s="32">
        <v>6.984</v>
      </c>
      <c r="H853" s="21">
        <f t="shared" si="27"/>
        <v>7.1643501934381959E-4</v>
      </c>
    </row>
    <row r="854" spans="2:8" x14ac:dyDescent="0.25">
      <c r="B854" s="30">
        <v>45054</v>
      </c>
      <c r="C854" s="31">
        <v>18264.400000000001</v>
      </c>
      <c r="D854" s="21">
        <f t="shared" si="26"/>
        <v>1.0814101499806439E-2</v>
      </c>
      <c r="F854" s="30">
        <v>45082</v>
      </c>
      <c r="G854" s="32">
        <v>6.9969999999999999</v>
      </c>
      <c r="H854" s="21">
        <f t="shared" si="27"/>
        <v>1.8613974799541744E-3</v>
      </c>
    </row>
    <row r="855" spans="2:8" x14ac:dyDescent="0.25">
      <c r="B855" s="30">
        <v>45055</v>
      </c>
      <c r="C855" s="31">
        <v>18265.95</v>
      </c>
      <c r="D855" s="21">
        <f t="shared" si="26"/>
        <v>8.4864545235596722E-5</v>
      </c>
      <c r="F855" s="30">
        <v>45083</v>
      </c>
      <c r="G855" s="32">
        <v>6.9770000000000003</v>
      </c>
      <c r="H855" s="21">
        <f t="shared" si="27"/>
        <v>-2.8583678719450445E-3</v>
      </c>
    </row>
    <row r="856" spans="2:8" x14ac:dyDescent="0.25">
      <c r="B856" s="30">
        <v>45056</v>
      </c>
      <c r="C856" s="31">
        <v>18315.099999999999</v>
      </c>
      <c r="D856" s="21">
        <f t="shared" ref="D856:D919" si="28">C856/C855-1</f>
        <v>2.6907990003255389E-3</v>
      </c>
      <c r="F856" s="30">
        <v>45084</v>
      </c>
      <c r="G856" s="32">
        <v>6.9820000000000002</v>
      </c>
      <c r="H856" s="21">
        <f t="shared" ref="H856:H919" si="29">G856/G855-1</f>
        <v>7.1664038985241874E-4</v>
      </c>
    </row>
    <row r="857" spans="2:8" x14ac:dyDescent="0.25">
      <c r="B857" s="30">
        <v>45057</v>
      </c>
      <c r="C857" s="31">
        <v>18297</v>
      </c>
      <c r="D857" s="21">
        <f t="shared" si="28"/>
        <v>-9.8825559238002736E-4</v>
      </c>
      <c r="F857" s="30">
        <v>45085</v>
      </c>
      <c r="G857" s="32">
        <v>7.0209999999999999</v>
      </c>
      <c r="H857" s="21">
        <f t="shared" si="29"/>
        <v>5.5857920366657599E-3</v>
      </c>
    </row>
    <row r="858" spans="2:8" x14ac:dyDescent="0.25">
      <c r="B858" s="30">
        <v>45058</v>
      </c>
      <c r="C858" s="31">
        <v>18314.8</v>
      </c>
      <c r="D858" s="21">
        <f t="shared" si="28"/>
        <v>9.7283707711648404E-4</v>
      </c>
      <c r="F858" s="30">
        <v>45086</v>
      </c>
      <c r="G858" s="32">
        <v>7.0389999999999997</v>
      </c>
      <c r="H858" s="21">
        <f t="shared" si="29"/>
        <v>2.5637373593505597E-3</v>
      </c>
    </row>
    <row r="859" spans="2:8" x14ac:dyDescent="0.25">
      <c r="B859" s="30">
        <v>45061</v>
      </c>
      <c r="C859" s="31">
        <v>18398.849999999999</v>
      </c>
      <c r="D859" s="21">
        <f t="shared" si="28"/>
        <v>4.5891847030816724E-3</v>
      </c>
      <c r="F859" s="30">
        <v>45089</v>
      </c>
      <c r="G859" s="32">
        <v>7.016</v>
      </c>
      <c r="H859" s="21">
        <f t="shared" si="29"/>
        <v>-3.2675095894302286E-3</v>
      </c>
    </row>
    <row r="860" spans="2:8" x14ac:dyDescent="0.25">
      <c r="B860" s="30">
        <v>45062</v>
      </c>
      <c r="C860" s="31">
        <v>18286.5</v>
      </c>
      <c r="D860" s="21">
        <f t="shared" si="28"/>
        <v>-6.1063599083637232E-3</v>
      </c>
      <c r="F860" s="30">
        <v>45090</v>
      </c>
      <c r="G860" s="32">
        <v>7.0019999999999998</v>
      </c>
      <c r="H860" s="21">
        <f t="shared" si="29"/>
        <v>-1.9954389965792796E-3</v>
      </c>
    </row>
    <row r="861" spans="2:8" x14ac:dyDescent="0.25">
      <c r="B861" s="30">
        <v>45063</v>
      </c>
      <c r="C861" s="31">
        <v>18181.75</v>
      </c>
      <c r="D861" s="21">
        <f t="shared" si="28"/>
        <v>-5.7282694884204233E-3</v>
      </c>
      <c r="F861" s="30">
        <v>45091</v>
      </c>
      <c r="G861" s="32">
        <v>7.0110000000000001</v>
      </c>
      <c r="H861" s="21">
        <f t="shared" si="29"/>
        <v>1.2853470437017567E-3</v>
      </c>
    </row>
    <row r="862" spans="2:8" x14ac:dyDescent="0.25">
      <c r="B862" s="30">
        <v>45064</v>
      </c>
      <c r="C862" s="31">
        <v>18129.95</v>
      </c>
      <c r="D862" s="21">
        <f t="shared" si="28"/>
        <v>-2.8490106837900653E-3</v>
      </c>
      <c r="F862" s="30">
        <v>45092</v>
      </c>
      <c r="G862" s="32">
        <v>7.0359999999999996</v>
      </c>
      <c r="H862" s="21">
        <f t="shared" si="29"/>
        <v>3.565825131935485E-3</v>
      </c>
    </row>
    <row r="863" spans="2:8" x14ac:dyDescent="0.25">
      <c r="B863" s="30">
        <v>45065</v>
      </c>
      <c r="C863" s="31">
        <v>18203.400000000001</v>
      </c>
      <c r="D863" s="21">
        <f t="shared" si="28"/>
        <v>4.0513073670915833E-3</v>
      </c>
      <c r="F863" s="30">
        <v>45093</v>
      </c>
      <c r="G863" s="32">
        <v>7.0339999999999998</v>
      </c>
      <c r="H863" s="21">
        <f t="shared" si="29"/>
        <v>-2.8425241614549179E-4</v>
      </c>
    </row>
    <row r="864" spans="2:8" x14ac:dyDescent="0.25">
      <c r="B864" s="30">
        <v>45068</v>
      </c>
      <c r="C864" s="31">
        <v>18314.400000000001</v>
      </c>
      <c r="D864" s="21">
        <f t="shared" si="28"/>
        <v>6.0977619565576457E-3</v>
      </c>
      <c r="F864" s="30">
        <v>45096</v>
      </c>
      <c r="G864" s="32">
        <v>7.0529999999999999</v>
      </c>
      <c r="H864" s="21">
        <f t="shared" si="29"/>
        <v>2.7011657662781019E-3</v>
      </c>
    </row>
    <row r="865" spans="2:8" x14ac:dyDescent="0.25">
      <c r="B865" s="30">
        <v>45069</v>
      </c>
      <c r="C865" s="31">
        <v>18348</v>
      </c>
      <c r="D865" s="21">
        <f t="shared" si="28"/>
        <v>1.834621936836589E-3</v>
      </c>
      <c r="F865" s="30">
        <v>45097</v>
      </c>
      <c r="G865" s="32">
        <v>7.0590000000000002</v>
      </c>
      <c r="H865" s="21">
        <f t="shared" si="29"/>
        <v>8.5070182900892632E-4</v>
      </c>
    </row>
    <row r="866" spans="2:8" x14ac:dyDescent="0.25">
      <c r="B866" s="30">
        <v>45070</v>
      </c>
      <c r="C866" s="31">
        <v>18285.400000000001</v>
      </c>
      <c r="D866" s="21">
        <f t="shared" si="28"/>
        <v>-3.4118160017440058E-3</v>
      </c>
      <c r="F866" s="30">
        <v>45098</v>
      </c>
      <c r="G866" s="32">
        <v>7.0670000000000002</v>
      </c>
      <c r="H866" s="21">
        <f t="shared" si="29"/>
        <v>1.1333050007082957E-3</v>
      </c>
    </row>
    <row r="867" spans="2:8" x14ac:dyDescent="0.25">
      <c r="B867" s="30">
        <v>45071</v>
      </c>
      <c r="C867" s="31">
        <v>18321.150000000001</v>
      </c>
      <c r="D867" s="21">
        <f t="shared" si="28"/>
        <v>1.955111728482839E-3</v>
      </c>
      <c r="F867" s="30">
        <v>45099</v>
      </c>
      <c r="G867" s="32">
        <v>7.0860000000000003</v>
      </c>
      <c r="H867" s="21">
        <f t="shared" si="29"/>
        <v>2.6885524267723504E-3</v>
      </c>
    </row>
    <row r="868" spans="2:8" x14ac:dyDescent="0.25">
      <c r="B868" s="30">
        <v>45072</v>
      </c>
      <c r="C868" s="31">
        <v>18499.349999999999</v>
      </c>
      <c r="D868" s="21">
        <f t="shared" si="28"/>
        <v>9.7264636772254054E-3</v>
      </c>
      <c r="F868" s="30">
        <v>45100</v>
      </c>
      <c r="G868" s="32">
        <v>7.0739999999999998</v>
      </c>
      <c r="H868" s="21">
        <f t="shared" si="29"/>
        <v>-1.6934801016088574E-3</v>
      </c>
    </row>
    <row r="869" spans="2:8" x14ac:dyDescent="0.25">
      <c r="B869" s="30">
        <v>45075</v>
      </c>
      <c r="C869" s="31">
        <v>18598.650000000001</v>
      </c>
      <c r="D869" s="21">
        <f t="shared" si="28"/>
        <v>5.3677561644058791E-3</v>
      </c>
      <c r="F869" s="30">
        <v>45103</v>
      </c>
      <c r="G869" s="32">
        <v>7.0659999999999998</v>
      </c>
      <c r="H869" s="21">
        <f t="shared" si="29"/>
        <v>-1.130901894260683E-3</v>
      </c>
    </row>
    <row r="870" spans="2:8" x14ac:dyDescent="0.25">
      <c r="B870" s="30">
        <v>45076</v>
      </c>
      <c r="C870" s="31">
        <v>18633.849999999999</v>
      </c>
      <c r="D870" s="21">
        <f t="shared" si="28"/>
        <v>1.8926104851695325E-3</v>
      </c>
      <c r="F870" s="30">
        <v>45104</v>
      </c>
      <c r="G870" s="32">
        <v>7.0629999999999997</v>
      </c>
      <c r="H870" s="21">
        <f t="shared" si="29"/>
        <v>-4.2456835550530592E-4</v>
      </c>
    </row>
    <row r="871" spans="2:8" x14ac:dyDescent="0.25">
      <c r="B871" s="30">
        <v>45077</v>
      </c>
      <c r="C871" s="31">
        <v>18534.400000000001</v>
      </c>
      <c r="D871" s="21">
        <f t="shared" si="28"/>
        <v>-5.3370613158310043E-3</v>
      </c>
      <c r="F871" s="30">
        <v>45105</v>
      </c>
      <c r="G871" s="32">
        <v>7.056</v>
      </c>
      <c r="H871" s="21">
        <f t="shared" si="29"/>
        <v>-9.9108027750238747E-4</v>
      </c>
    </row>
    <row r="872" spans="2:8" x14ac:dyDescent="0.25">
      <c r="B872" s="30">
        <v>45078</v>
      </c>
      <c r="C872" s="31">
        <v>18487.75</v>
      </c>
      <c r="D872" s="21">
        <f t="shared" si="28"/>
        <v>-2.5169414709945714E-3</v>
      </c>
      <c r="F872" s="30">
        <v>45107</v>
      </c>
      <c r="G872" s="32">
        <v>7.11</v>
      </c>
      <c r="H872" s="21">
        <f t="shared" si="29"/>
        <v>7.6530612244898322E-3</v>
      </c>
    </row>
    <row r="873" spans="2:8" x14ac:dyDescent="0.25">
      <c r="B873" s="30">
        <v>45079</v>
      </c>
      <c r="C873" s="31">
        <v>18534.099999999999</v>
      </c>
      <c r="D873" s="21">
        <f t="shared" si="28"/>
        <v>2.507065489310456E-3</v>
      </c>
      <c r="F873" s="30">
        <v>45110</v>
      </c>
      <c r="G873" s="32">
        <v>7.117</v>
      </c>
      <c r="H873" s="21">
        <f t="shared" si="29"/>
        <v>9.8452883263000501E-4</v>
      </c>
    </row>
    <row r="874" spans="2:8" x14ac:dyDescent="0.25">
      <c r="B874" s="30">
        <v>45082</v>
      </c>
      <c r="C874" s="31">
        <v>18593.849999999999</v>
      </c>
      <c r="D874" s="21">
        <f t="shared" si="28"/>
        <v>3.223787505193032E-3</v>
      </c>
      <c r="F874" s="30">
        <v>45111</v>
      </c>
      <c r="G874" s="32">
        <v>7.1189999999999998</v>
      </c>
      <c r="H874" s="21">
        <f t="shared" si="29"/>
        <v>2.8101728256291203E-4</v>
      </c>
    </row>
    <row r="875" spans="2:8" x14ac:dyDescent="0.25">
      <c r="B875" s="30">
        <v>45083</v>
      </c>
      <c r="C875" s="31">
        <v>18599</v>
      </c>
      <c r="D875" s="21">
        <f t="shared" si="28"/>
        <v>2.7697330031184464E-4</v>
      </c>
      <c r="F875" s="30">
        <v>45112</v>
      </c>
      <c r="G875" s="32">
        <v>7.1050000000000004</v>
      </c>
      <c r="H875" s="21">
        <f t="shared" si="29"/>
        <v>-1.9665683382497079E-3</v>
      </c>
    </row>
    <row r="876" spans="2:8" x14ac:dyDescent="0.25">
      <c r="B876" s="30">
        <v>45084</v>
      </c>
      <c r="C876" s="31">
        <v>18726.400000000001</v>
      </c>
      <c r="D876" s="21">
        <f t="shared" si="28"/>
        <v>6.8498306360558203E-3</v>
      </c>
      <c r="F876" s="30">
        <v>45113</v>
      </c>
      <c r="G876" s="32">
        <v>7.1470000000000002</v>
      </c>
      <c r="H876" s="21">
        <f t="shared" si="29"/>
        <v>5.9113300492610321E-3</v>
      </c>
    </row>
    <row r="877" spans="2:8" x14ac:dyDescent="0.25">
      <c r="B877" s="30">
        <v>45085</v>
      </c>
      <c r="C877" s="31">
        <v>18634.55</v>
      </c>
      <c r="D877" s="21">
        <f t="shared" si="28"/>
        <v>-4.9048402255640333E-3</v>
      </c>
      <c r="F877" s="30">
        <v>45114</v>
      </c>
      <c r="G877" s="32">
        <v>7.1589999999999998</v>
      </c>
      <c r="H877" s="21">
        <f t="shared" si="29"/>
        <v>1.6790261648242932E-3</v>
      </c>
    </row>
    <row r="878" spans="2:8" x14ac:dyDescent="0.25">
      <c r="B878" s="30">
        <v>45086</v>
      </c>
      <c r="C878" s="31">
        <v>18563.400000000001</v>
      </c>
      <c r="D878" s="21">
        <f t="shared" si="28"/>
        <v>-3.8181764518058214E-3</v>
      </c>
      <c r="F878" s="30">
        <v>45117</v>
      </c>
      <c r="G878" s="32">
        <v>7.149</v>
      </c>
      <c r="H878" s="21">
        <f t="shared" si="29"/>
        <v>-1.3968431345159349E-3</v>
      </c>
    </row>
    <row r="879" spans="2:8" x14ac:dyDescent="0.25">
      <c r="B879" s="30">
        <v>45089</v>
      </c>
      <c r="C879" s="31">
        <v>18601.5</v>
      </c>
      <c r="D879" s="21">
        <f t="shared" si="28"/>
        <v>2.0524257409741953E-3</v>
      </c>
      <c r="F879" s="30">
        <v>45118</v>
      </c>
      <c r="G879" s="32">
        <v>7.0949999999999998</v>
      </c>
      <c r="H879" s="21">
        <f t="shared" si="29"/>
        <v>-7.5535039865716191E-3</v>
      </c>
    </row>
    <row r="880" spans="2:8" x14ac:dyDescent="0.25">
      <c r="B880" s="30">
        <v>45090</v>
      </c>
      <c r="C880" s="31">
        <v>18716.150000000001</v>
      </c>
      <c r="D880" s="21">
        <f t="shared" si="28"/>
        <v>6.1634814396689386E-3</v>
      </c>
      <c r="F880" s="30">
        <v>45119</v>
      </c>
      <c r="G880" s="32">
        <v>7.1180000000000003</v>
      </c>
      <c r="H880" s="21">
        <f t="shared" si="29"/>
        <v>3.2417195207894434E-3</v>
      </c>
    </row>
    <row r="881" spans="2:8" x14ac:dyDescent="0.25">
      <c r="B881" s="30">
        <v>45091</v>
      </c>
      <c r="C881" s="31">
        <v>18755.900000000001</v>
      </c>
      <c r="D881" s="21">
        <f t="shared" si="28"/>
        <v>2.123834228727528E-3</v>
      </c>
      <c r="F881" s="30">
        <v>45120</v>
      </c>
      <c r="G881" s="32">
        <v>7.0709999999999997</v>
      </c>
      <c r="H881" s="21">
        <f t="shared" si="29"/>
        <v>-6.6029783647092444E-3</v>
      </c>
    </row>
    <row r="882" spans="2:8" x14ac:dyDescent="0.25">
      <c r="B882" s="30">
        <v>45092</v>
      </c>
      <c r="C882" s="31">
        <v>18688.099999999999</v>
      </c>
      <c r="D882" s="21">
        <f t="shared" si="28"/>
        <v>-3.6148625232594878E-3</v>
      </c>
      <c r="F882" s="30">
        <v>45121</v>
      </c>
      <c r="G882" s="32">
        <v>7.0890000000000004</v>
      </c>
      <c r="H882" s="21">
        <f t="shared" si="29"/>
        <v>2.545608824777279E-3</v>
      </c>
    </row>
    <row r="883" spans="2:8" x14ac:dyDescent="0.25">
      <c r="B883" s="30">
        <v>45093</v>
      </c>
      <c r="C883" s="31">
        <v>18826</v>
      </c>
      <c r="D883" s="21">
        <f t="shared" si="28"/>
        <v>7.3790272954448177E-3</v>
      </c>
      <c r="F883" s="30">
        <v>45124</v>
      </c>
      <c r="G883" s="32">
        <v>7.0739999999999998</v>
      </c>
      <c r="H883" s="21">
        <f t="shared" si="29"/>
        <v>-2.1159542953872457E-3</v>
      </c>
    </row>
    <row r="884" spans="2:8" x14ac:dyDescent="0.25">
      <c r="B884" s="30">
        <v>45096</v>
      </c>
      <c r="C884" s="31">
        <v>18755.45</v>
      </c>
      <c r="D884" s="21">
        <f t="shared" si="28"/>
        <v>-3.7474768936576197E-3</v>
      </c>
      <c r="F884" s="30">
        <v>45125</v>
      </c>
      <c r="G884" s="32">
        <v>7.0579999999999998</v>
      </c>
      <c r="H884" s="21">
        <f t="shared" si="29"/>
        <v>-2.261803788521366E-3</v>
      </c>
    </row>
    <row r="885" spans="2:8" x14ac:dyDescent="0.25">
      <c r="B885" s="30">
        <v>45097</v>
      </c>
      <c r="C885" s="31">
        <v>18816.7</v>
      </c>
      <c r="D885" s="21">
        <f t="shared" si="28"/>
        <v>3.2657174314665305E-3</v>
      </c>
      <c r="F885" s="30">
        <v>45126</v>
      </c>
      <c r="G885" s="32">
        <v>7.0720000000000001</v>
      </c>
      <c r="H885" s="21">
        <f t="shared" si="29"/>
        <v>1.9835647492207897E-3</v>
      </c>
    </row>
    <row r="886" spans="2:8" x14ac:dyDescent="0.25">
      <c r="B886" s="30">
        <v>45098</v>
      </c>
      <c r="C886" s="31">
        <v>18856.849999999999</v>
      </c>
      <c r="D886" s="21">
        <f t="shared" si="28"/>
        <v>2.1337428985952478E-3</v>
      </c>
      <c r="F886" s="30">
        <v>45127</v>
      </c>
      <c r="G886" s="32">
        <v>7.0830000000000002</v>
      </c>
      <c r="H886" s="21">
        <f t="shared" si="29"/>
        <v>1.5554298642534992E-3</v>
      </c>
    </row>
    <row r="887" spans="2:8" x14ac:dyDescent="0.25">
      <c r="B887" s="30">
        <v>45099</v>
      </c>
      <c r="C887" s="31">
        <v>18771.25</v>
      </c>
      <c r="D887" s="21">
        <f t="shared" si="28"/>
        <v>-4.5394644386521632E-3</v>
      </c>
      <c r="F887" s="30">
        <v>45128</v>
      </c>
      <c r="G887" s="32">
        <v>7.0869999999999997</v>
      </c>
      <c r="H887" s="21">
        <f t="shared" si="29"/>
        <v>5.6473245799804062E-4</v>
      </c>
    </row>
    <row r="888" spans="2:8" x14ac:dyDescent="0.25">
      <c r="B888" s="30">
        <v>45100</v>
      </c>
      <c r="C888" s="31">
        <v>18665.5</v>
      </c>
      <c r="D888" s="21">
        <f t="shared" si="28"/>
        <v>-5.6336152360657588E-3</v>
      </c>
      <c r="F888" s="30">
        <v>45131</v>
      </c>
      <c r="G888" s="32">
        <v>7.0709999999999997</v>
      </c>
      <c r="H888" s="21">
        <f t="shared" si="29"/>
        <v>-2.2576548610131475E-3</v>
      </c>
    </row>
    <row r="889" spans="2:8" x14ac:dyDescent="0.25">
      <c r="B889" s="30">
        <v>45103</v>
      </c>
      <c r="C889" s="31">
        <v>18691.2</v>
      </c>
      <c r="D889" s="21">
        <f t="shared" si="28"/>
        <v>1.3768717687712151E-3</v>
      </c>
      <c r="F889" s="30">
        <v>45132</v>
      </c>
      <c r="G889" s="32">
        <v>7.1</v>
      </c>
      <c r="H889" s="21">
        <f t="shared" si="29"/>
        <v>4.1012586621411717E-3</v>
      </c>
    </row>
    <row r="890" spans="2:8" x14ac:dyDescent="0.25">
      <c r="B890" s="30">
        <v>45104</v>
      </c>
      <c r="C890" s="31">
        <v>18817.400000000001</v>
      </c>
      <c r="D890" s="21">
        <f t="shared" si="28"/>
        <v>6.7518404382811426E-3</v>
      </c>
      <c r="F890" s="30">
        <v>45133</v>
      </c>
      <c r="G890" s="32">
        <v>7.0960000000000001</v>
      </c>
      <c r="H890" s="21">
        <f t="shared" si="29"/>
        <v>-5.6338028169011789E-4</v>
      </c>
    </row>
    <row r="891" spans="2:8" x14ac:dyDescent="0.25">
      <c r="B891" s="30">
        <v>45105</v>
      </c>
      <c r="C891" s="31">
        <v>18972.099999999999</v>
      </c>
      <c r="D891" s="21">
        <f t="shared" si="28"/>
        <v>8.2211145004089659E-3</v>
      </c>
      <c r="F891" s="30">
        <v>45134</v>
      </c>
      <c r="G891" s="32">
        <v>7.12</v>
      </c>
      <c r="H891" s="21">
        <f t="shared" si="29"/>
        <v>3.3821871476888976E-3</v>
      </c>
    </row>
    <row r="892" spans="2:8" x14ac:dyDescent="0.25">
      <c r="B892" s="30">
        <v>45107</v>
      </c>
      <c r="C892" s="31">
        <v>19189.05</v>
      </c>
      <c r="D892" s="21">
        <f t="shared" si="28"/>
        <v>1.1435212759789426E-2</v>
      </c>
      <c r="F892" s="30">
        <v>45135</v>
      </c>
      <c r="G892" s="32">
        <v>7.1609999999999996</v>
      </c>
      <c r="H892" s="21">
        <f t="shared" si="29"/>
        <v>5.7584269662920295E-3</v>
      </c>
    </row>
    <row r="893" spans="2:8" x14ac:dyDescent="0.25">
      <c r="B893" s="30">
        <v>45110</v>
      </c>
      <c r="C893" s="31">
        <v>19322.55</v>
      </c>
      <c r="D893" s="21">
        <f t="shared" si="28"/>
        <v>6.9570927169402275E-3</v>
      </c>
      <c r="F893" s="30">
        <v>45138</v>
      </c>
      <c r="G893" s="32">
        <v>7.1719999999999997</v>
      </c>
      <c r="H893" s="21">
        <f t="shared" si="29"/>
        <v>1.536098310291889E-3</v>
      </c>
    </row>
    <row r="894" spans="2:8" x14ac:dyDescent="0.25">
      <c r="B894" s="30">
        <v>45111</v>
      </c>
      <c r="C894" s="31">
        <v>19389</v>
      </c>
      <c r="D894" s="21">
        <f t="shared" si="28"/>
        <v>3.4389870902133968E-3</v>
      </c>
      <c r="F894" s="30">
        <v>45139</v>
      </c>
      <c r="G894" s="32">
        <v>7.1559999999999997</v>
      </c>
      <c r="H894" s="21">
        <f t="shared" si="29"/>
        <v>-2.2308979364193959E-3</v>
      </c>
    </row>
    <row r="895" spans="2:8" x14ac:dyDescent="0.25">
      <c r="B895" s="30">
        <v>45112</v>
      </c>
      <c r="C895" s="31">
        <v>19398.5</v>
      </c>
      <c r="D895" s="21">
        <f t="shared" si="28"/>
        <v>4.8996853886218439E-4</v>
      </c>
      <c r="F895" s="30">
        <v>45140</v>
      </c>
      <c r="G895" s="32">
        <v>7.1539999999999999</v>
      </c>
      <c r="H895" s="21">
        <f t="shared" si="29"/>
        <v>-2.7948574622693734E-4</v>
      </c>
    </row>
    <row r="896" spans="2:8" x14ac:dyDescent="0.25">
      <c r="B896" s="30">
        <v>45113</v>
      </c>
      <c r="C896" s="31">
        <v>19497.3</v>
      </c>
      <c r="D896" s="21">
        <f t="shared" si="28"/>
        <v>5.0931773075237885E-3</v>
      </c>
      <c r="F896" s="30">
        <v>45141</v>
      </c>
      <c r="G896" s="32">
        <v>7.194</v>
      </c>
      <c r="H896" s="21">
        <f t="shared" si="29"/>
        <v>5.5912776069331205E-3</v>
      </c>
    </row>
    <row r="897" spans="2:8" x14ac:dyDescent="0.25">
      <c r="B897" s="30">
        <v>45114</v>
      </c>
      <c r="C897" s="31">
        <v>19331.8</v>
      </c>
      <c r="D897" s="21">
        <f t="shared" si="28"/>
        <v>-8.4883547978438223E-3</v>
      </c>
      <c r="F897" s="30">
        <v>45142</v>
      </c>
      <c r="G897" s="32">
        <v>7.1929999999999996</v>
      </c>
      <c r="H897" s="21">
        <f t="shared" si="29"/>
        <v>-1.3900472616068527E-4</v>
      </c>
    </row>
    <row r="898" spans="2:8" x14ac:dyDescent="0.25">
      <c r="B898" s="30">
        <v>45117</v>
      </c>
      <c r="C898" s="31">
        <v>19355.900000000001</v>
      </c>
      <c r="D898" s="21">
        <f t="shared" si="28"/>
        <v>1.2466505964268126E-3</v>
      </c>
      <c r="F898" s="30">
        <v>45145</v>
      </c>
      <c r="G898" s="32">
        <v>7.1970000000000001</v>
      </c>
      <c r="H898" s="21">
        <f t="shared" si="29"/>
        <v>5.5609620464336373E-4</v>
      </c>
    </row>
    <row r="899" spans="2:8" x14ac:dyDescent="0.25">
      <c r="B899" s="30">
        <v>45118</v>
      </c>
      <c r="C899" s="31">
        <v>19439.400000000001</v>
      </c>
      <c r="D899" s="21">
        <f t="shared" si="28"/>
        <v>4.3139301194985435E-3</v>
      </c>
      <c r="F899" s="30">
        <v>45146</v>
      </c>
      <c r="G899" s="32">
        <v>7.1680000000000001</v>
      </c>
      <c r="H899" s="21">
        <f t="shared" si="29"/>
        <v>-4.0294567180769736E-3</v>
      </c>
    </row>
    <row r="900" spans="2:8" x14ac:dyDescent="0.25">
      <c r="B900" s="30">
        <v>45119</v>
      </c>
      <c r="C900" s="31">
        <v>19384.3</v>
      </c>
      <c r="D900" s="21">
        <f t="shared" si="28"/>
        <v>-2.8344496229308902E-3</v>
      </c>
      <c r="F900" s="30">
        <v>45147</v>
      </c>
      <c r="G900" s="32">
        <v>7.1779999999999999</v>
      </c>
      <c r="H900" s="21">
        <f t="shared" si="29"/>
        <v>1.3950892857141906E-3</v>
      </c>
    </row>
    <row r="901" spans="2:8" x14ac:dyDescent="0.25">
      <c r="B901" s="30">
        <v>45120</v>
      </c>
      <c r="C901" s="31">
        <v>19413.75</v>
      </c>
      <c r="D901" s="21">
        <f t="shared" si="28"/>
        <v>1.5192707500399916E-3</v>
      </c>
      <c r="F901" s="30">
        <v>45148</v>
      </c>
      <c r="G901" s="32">
        <v>7.1539999999999999</v>
      </c>
      <c r="H901" s="21">
        <f t="shared" si="29"/>
        <v>-3.3435497353022647E-3</v>
      </c>
    </row>
    <row r="902" spans="2:8" x14ac:dyDescent="0.25">
      <c r="B902" s="30">
        <v>45121</v>
      </c>
      <c r="C902" s="31">
        <v>19564.5</v>
      </c>
      <c r="D902" s="21">
        <f t="shared" si="28"/>
        <v>7.7651149314275081E-3</v>
      </c>
      <c r="F902" s="30">
        <v>45149</v>
      </c>
      <c r="G902" s="32">
        <v>7.1980000000000004</v>
      </c>
      <c r="H902" s="21">
        <f t="shared" si="29"/>
        <v>6.1504053676266768E-3</v>
      </c>
    </row>
    <row r="903" spans="2:8" x14ac:dyDescent="0.25">
      <c r="B903" s="30">
        <v>45124</v>
      </c>
      <c r="C903" s="31">
        <v>19711.45</v>
      </c>
      <c r="D903" s="21">
        <f t="shared" si="28"/>
        <v>7.5110531830611116E-3</v>
      </c>
      <c r="F903" s="30">
        <v>45152</v>
      </c>
      <c r="G903" s="32">
        <v>7.2089999999999996</v>
      </c>
      <c r="H903" s="21">
        <f t="shared" si="29"/>
        <v>1.5282022784106619E-3</v>
      </c>
    </row>
    <row r="904" spans="2:8" x14ac:dyDescent="0.25">
      <c r="B904" s="30">
        <v>45125</v>
      </c>
      <c r="C904" s="31">
        <v>19749.25</v>
      </c>
      <c r="D904" s="21">
        <f t="shared" si="28"/>
        <v>1.9176671427012515E-3</v>
      </c>
      <c r="F904" s="30">
        <v>45155</v>
      </c>
      <c r="G904" s="32">
        <v>7.25</v>
      </c>
      <c r="H904" s="21">
        <f t="shared" si="29"/>
        <v>5.6873352753503692E-3</v>
      </c>
    </row>
    <row r="905" spans="2:8" x14ac:dyDescent="0.25">
      <c r="B905" s="30">
        <v>45126</v>
      </c>
      <c r="C905" s="31">
        <v>19833.150000000001</v>
      </c>
      <c r="D905" s="21">
        <f t="shared" si="28"/>
        <v>4.248262592250418E-3</v>
      </c>
      <c r="F905" s="30">
        <v>45156</v>
      </c>
      <c r="G905" s="32">
        <v>7.2140000000000004</v>
      </c>
      <c r="H905" s="21">
        <f t="shared" si="29"/>
        <v>-4.9655172413792803E-3</v>
      </c>
    </row>
    <row r="906" spans="2:8" x14ac:dyDescent="0.25">
      <c r="B906" s="30">
        <v>45127</v>
      </c>
      <c r="C906" s="31">
        <v>19979.150000000001</v>
      </c>
      <c r="D906" s="21">
        <f t="shared" si="28"/>
        <v>7.3614125844860823E-3</v>
      </c>
      <c r="F906" s="30">
        <v>45159</v>
      </c>
      <c r="G906" s="32">
        <v>7.22</v>
      </c>
      <c r="H906" s="21">
        <f t="shared" si="29"/>
        <v>8.3171610756860304E-4</v>
      </c>
    </row>
    <row r="907" spans="2:8" x14ac:dyDescent="0.25">
      <c r="B907" s="30">
        <v>45128</v>
      </c>
      <c r="C907" s="31">
        <v>19745</v>
      </c>
      <c r="D907" s="21">
        <f t="shared" si="28"/>
        <v>-1.1719717805812602E-2</v>
      </c>
      <c r="F907" s="30">
        <v>45160</v>
      </c>
      <c r="G907" s="32">
        <v>7.218</v>
      </c>
      <c r="H907" s="21">
        <f t="shared" si="29"/>
        <v>-2.7700831024923822E-4</v>
      </c>
    </row>
    <row r="908" spans="2:8" x14ac:dyDescent="0.25">
      <c r="B908" s="30">
        <v>45131</v>
      </c>
      <c r="C908" s="31">
        <v>19672.349999999999</v>
      </c>
      <c r="D908" s="21">
        <f t="shared" si="28"/>
        <v>-3.679412509496105E-3</v>
      </c>
      <c r="F908" s="30">
        <v>45161</v>
      </c>
      <c r="G908" s="32">
        <v>7.194</v>
      </c>
      <c r="H908" s="21">
        <f t="shared" si="29"/>
        <v>-3.3250207813798616E-3</v>
      </c>
    </row>
    <row r="909" spans="2:8" x14ac:dyDescent="0.25">
      <c r="B909" s="30">
        <v>45132</v>
      </c>
      <c r="C909" s="31">
        <v>19680.599999999999</v>
      </c>
      <c r="D909" s="21">
        <f t="shared" si="28"/>
        <v>4.1937033450500927E-4</v>
      </c>
      <c r="F909" s="30">
        <v>45162</v>
      </c>
      <c r="G909" s="32">
        <v>7.1929999999999996</v>
      </c>
      <c r="H909" s="21">
        <f t="shared" si="29"/>
        <v>-1.3900472616068527E-4</v>
      </c>
    </row>
    <row r="910" spans="2:8" x14ac:dyDescent="0.25">
      <c r="B910" s="30">
        <v>45133</v>
      </c>
      <c r="C910" s="31">
        <v>19778.3</v>
      </c>
      <c r="D910" s="21">
        <f t="shared" si="28"/>
        <v>4.9642795443227694E-3</v>
      </c>
      <c r="F910" s="30">
        <v>45163</v>
      </c>
      <c r="G910" s="32">
        <v>7.2060000000000004</v>
      </c>
      <c r="H910" s="21">
        <f t="shared" si="29"/>
        <v>1.8073126650912652E-3</v>
      </c>
    </row>
    <row r="911" spans="2:8" x14ac:dyDescent="0.25">
      <c r="B911" s="30">
        <v>45134</v>
      </c>
      <c r="C911" s="31">
        <v>19659.900000000001</v>
      </c>
      <c r="D911" s="21">
        <f t="shared" si="28"/>
        <v>-5.9863587871554769E-3</v>
      </c>
      <c r="F911" s="30">
        <v>45166</v>
      </c>
      <c r="G911" s="32">
        <v>7.1779999999999999</v>
      </c>
      <c r="H911" s="21">
        <f t="shared" si="29"/>
        <v>-3.8856508465168194E-3</v>
      </c>
    </row>
    <row r="912" spans="2:8" x14ac:dyDescent="0.25">
      <c r="B912" s="30">
        <v>45135</v>
      </c>
      <c r="C912" s="31">
        <v>19646.05</v>
      </c>
      <c r="D912" s="21">
        <f t="shared" si="28"/>
        <v>-7.044796769059003E-4</v>
      </c>
      <c r="F912" s="30">
        <v>45167</v>
      </c>
      <c r="G912" s="32">
        <v>7.18</v>
      </c>
      <c r="H912" s="21">
        <f t="shared" si="29"/>
        <v>2.7862914460841104E-4</v>
      </c>
    </row>
    <row r="913" spans="2:8" x14ac:dyDescent="0.25">
      <c r="B913" s="30">
        <v>45138</v>
      </c>
      <c r="C913" s="31">
        <v>19753.8</v>
      </c>
      <c r="D913" s="21">
        <f t="shared" si="28"/>
        <v>5.4845630546598301E-3</v>
      </c>
      <c r="F913" s="30">
        <v>45168</v>
      </c>
      <c r="G913" s="32">
        <v>7.1849999999999996</v>
      </c>
      <c r="H913" s="21">
        <f t="shared" si="29"/>
        <v>6.9637883008355494E-4</v>
      </c>
    </row>
    <row r="914" spans="2:8" x14ac:dyDescent="0.25">
      <c r="B914" s="30">
        <v>45139</v>
      </c>
      <c r="C914" s="31">
        <v>19733.55</v>
      </c>
      <c r="D914" s="21">
        <f t="shared" si="28"/>
        <v>-1.0251192175683155E-3</v>
      </c>
      <c r="F914" s="30">
        <v>45169</v>
      </c>
      <c r="G914" s="32">
        <v>7.1660000000000004</v>
      </c>
      <c r="H914" s="21">
        <f t="shared" si="29"/>
        <v>-2.6443980514960774E-3</v>
      </c>
    </row>
    <row r="915" spans="2:8" x14ac:dyDescent="0.25">
      <c r="B915" s="30">
        <v>45140</v>
      </c>
      <c r="C915" s="31">
        <v>19526.55</v>
      </c>
      <c r="D915" s="21">
        <f t="shared" si="28"/>
        <v>-1.0489749690248296E-2</v>
      </c>
      <c r="F915" s="30">
        <v>45170</v>
      </c>
      <c r="G915" s="32">
        <v>7.1749999999999998</v>
      </c>
      <c r="H915" s="21">
        <f t="shared" si="29"/>
        <v>1.2559307842590073E-3</v>
      </c>
    </row>
    <row r="916" spans="2:8" x14ac:dyDescent="0.25">
      <c r="B916" s="30">
        <v>45141</v>
      </c>
      <c r="C916" s="31">
        <v>19381.650000000001</v>
      </c>
      <c r="D916" s="21">
        <f t="shared" si="28"/>
        <v>-7.4206657089961325E-3</v>
      </c>
      <c r="F916" s="30">
        <v>45173</v>
      </c>
      <c r="G916" s="32">
        <v>7.2039999999999997</v>
      </c>
      <c r="H916" s="21">
        <f t="shared" si="29"/>
        <v>4.0418118466898356E-3</v>
      </c>
    </row>
    <row r="917" spans="2:8" x14ac:dyDescent="0.25">
      <c r="B917" s="30">
        <v>45142</v>
      </c>
      <c r="C917" s="31">
        <v>19517</v>
      </c>
      <c r="D917" s="21">
        <f t="shared" si="28"/>
        <v>6.983409565233023E-3</v>
      </c>
      <c r="F917" s="30">
        <v>45174</v>
      </c>
      <c r="G917" s="32">
        <v>7.2060000000000004</v>
      </c>
      <c r="H917" s="21">
        <f t="shared" si="29"/>
        <v>2.7762354247640175E-4</v>
      </c>
    </row>
    <row r="918" spans="2:8" x14ac:dyDescent="0.25">
      <c r="B918" s="30">
        <v>45145</v>
      </c>
      <c r="C918" s="31">
        <v>19597.3</v>
      </c>
      <c r="D918" s="21">
        <f t="shared" si="28"/>
        <v>4.1143618383971958E-3</v>
      </c>
      <c r="F918" s="30">
        <v>45175</v>
      </c>
      <c r="G918" s="32">
        <v>7.21</v>
      </c>
      <c r="H918" s="21">
        <f t="shared" si="29"/>
        <v>5.550929780737679E-4</v>
      </c>
    </row>
    <row r="919" spans="2:8" x14ac:dyDescent="0.25">
      <c r="B919" s="30">
        <v>45146</v>
      </c>
      <c r="C919" s="31">
        <v>19570.849999999999</v>
      </c>
      <c r="D919" s="21">
        <f t="shared" si="28"/>
        <v>-1.3496757206350463E-3</v>
      </c>
      <c r="F919" s="30">
        <v>45176</v>
      </c>
      <c r="G919" s="32">
        <v>7.173</v>
      </c>
      <c r="H919" s="21">
        <f t="shared" si="29"/>
        <v>-5.1317614424410962E-3</v>
      </c>
    </row>
    <row r="920" spans="2:8" x14ac:dyDescent="0.25">
      <c r="B920" s="30">
        <v>45147</v>
      </c>
      <c r="C920" s="31">
        <v>19632.55</v>
      </c>
      <c r="D920" s="21">
        <f t="shared" ref="D920:D983" si="30">C920/C919-1</f>
        <v>3.152647943242215E-3</v>
      </c>
      <c r="F920" s="30">
        <v>45177</v>
      </c>
      <c r="G920" s="32">
        <v>7.1989999999999998</v>
      </c>
      <c r="H920" s="21">
        <f t="shared" ref="H920:H983" si="31">G920/G919-1</f>
        <v>3.6247037501742074E-3</v>
      </c>
    </row>
    <row r="921" spans="2:8" x14ac:dyDescent="0.25">
      <c r="B921" s="30">
        <v>45148</v>
      </c>
      <c r="C921" s="31">
        <v>19543.099999999999</v>
      </c>
      <c r="D921" s="21">
        <f t="shared" si="30"/>
        <v>-4.5562089489139534E-3</v>
      </c>
      <c r="F921" s="30">
        <v>45180</v>
      </c>
      <c r="G921" s="32">
        <v>7.2089999999999996</v>
      </c>
      <c r="H921" s="21">
        <f t="shared" si="31"/>
        <v>1.3890818169188801E-3</v>
      </c>
    </row>
    <row r="922" spans="2:8" x14ac:dyDescent="0.25">
      <c r="B922" s="30">
        <v>45149</v>
      </c>
      <c r="C922" s="31">
        <v>19428.3</v>
      </c>
      <c r="D922" s="21">
        <f t="shared" si="30"/>
        <v>-5.8741960077981492E-3</v>
      </c>
      <c r="F922" s="30">
        <v>45181</v>
      </c>
      <c r="G922" s="32">
        <v>7.2030000000000003</v>
      </c>
      <c r="H922" s="21">
        <f t="shared" si="31"/>
        <v>-8.322929671242818E-4</v>
      </c>
    </row>
    <row r="923" spans="2:8" x14ac:dyDescent="0.25">
      <c r="B923" s="30">
        <v>45152</v>
      </c>
      <c r="C923" s="31">
        <v>19434.55</v>
      </c>
      <c r="D923" s="21">
        <f t="shared" si="30"/>
        <v>3.2169567074835648E-4</v>
      </c>
      <c r="F923" s="30">
        <v>45182</v>
      </c>
      <c r="G923" s="32">
        <v>7.1719999999999997</v>
      </c>
      <c r="H923" s="21">
        <f t="shared" si="31"/>
        <v>-4.3037623212550669E-3</v>
      </c>
    </row>
    <row r="924" spans="2:8" x14ac:dyDescent="0.25">
      <c r="B924" s="30">
        <v>45154</v>
      </c>
      <c r="C924" s="31">
        <v>19465</v>
      </c>
      <c r="D924" s="21">
        <f t="shared" si="30"/>
        <v>1.5667972759854099E-3</v>
      </c>
      <c r="F924" s="30">
        <v>45183</v>
      </c>
      <c r="G924" s="32">
        <v>7.101</v>
      </c>
      <c r="H924" s="21">
        <f t="shared" si="31"/>
        <v>-9.8996095928610695E-3</v>
      </c>
    </row>
    <row r="925" spans="2:8" x14ac:dyDescent="0.25">
      <c r="B925" s="30">
        <v>45155</v>
      </c>
      <c r="C925" s="31">
        <v>19365.25</v>
      </c>
      <c r="D925" s="21">
        <f t="shared" si="30"/>
        <v>-5.1245825841254034E-3</v>
      </c>
      <c r="F925" s="30">
        <v>45184</v>
      </c>
      <c r="G925" s="32">
        <v>7.1580000000000004</v>
      </c>
      <c r="H925" s="21">
        <f t="shared" si="31"/>
        <v>8.0270384452894028E-3</v>
      </c>
    </row>
    <row r="926" spans="2:8" x14ac:dyDescent="0.25">
      <c r="B926" s="30">
        <v>45156</v>
      </c>
      <c r="C926" s="31">
        <v>19310.150000000001</v>
      </c>
      <c r="D926" s="21">
        <f t="shared" si="30"/>
        <v>-2.8453027975366973E-3</v>
      </c>
      <c r="F926" s="30">
        <v>45187</v>
      </c>
      <c r="G926" s="32">
        <v>7.149</v>
      </c>
      <c r="H926" s="21">
        <f t="shared" si="31"/>
        <v>-1.2573344509639872E-3</v>
      </c>
    </row>
    <row r="927" spans="2:8" x14ac:dyDescent="0.25">
      <c r="B927" s="30">
        <v>45159</v>
      </c>
      <c r="C927" s="31">
        <v>19393.599999999999</v>
      </c>
      <c r="D927" s="21">
        <f t="shared" si="30"/>
        <v>4.3215614586109563E-3</v>
      </c>
      <c r="F927" s="30">
        <v>45189</v>
      </c>
      <c r="G927" s="32">
        <v>7.1529999999999996</v>
      </c>
      <c r="H927" s="21">
        <f t="shared" si="31"/>
        <v>5.5951881382010349E-4</v>
      </c>
    </row>
    <row r="928" spans="2:8" x14ac:dyDescent="0.25">
      <c r="B928" s="30">
        <v>45160</v>
      </c>
      <c r="C928" s="31">
        <v>19396.45</v>
      </c>
      <c r="D928" s="21">
        <f t="shared" si="30"/>
        <v>1.4695569672484865E-4</v>
      </c>
      <c r="F928" s="30">
        <v>45190</v>
      </c>
      <c r="G928" s="32">
        <v>7.1360000000000001</v>
      </c>
      <c r="H928" s="21">
        <f t="shared" si="31"/>
        <v>-2.3766251922269221E-3</v>
      </c>
    </row>
    <row r="929" spans="2:8" x14ac:dyDescent="0.25">
      <c r="B929" s="30">
        <v>45161</v>
      </c>
      <c r="C929" s="31">
        <v>19444</v>
      </c>
      <c r="D929" s="21">
        <f t="shared" si="30"/>
        <v>2.4514795233148146E-3</v>
      </c>
      <c r="F929" s="30">
        <v>45191</v>
      </c>
      <c r="G929" s="32">
        <v>7.15</v>
      </c>
      <c r="H929" s="21">
        <f t="shared" si="31"/>
        <v>1.9618834080716852E-3</v>
      </c>
    </row>
    <row r="930" spans="2:8" x14ac:dyDescent="0.25">
      <c r="B930" s="30">
        <v>45162</v>
      </c>
      <c r="C930" s="31">
        <v>19386.7</v>
      </c>
      <c r="D930" s="21">
        <f t="shared" si="30"/>
        <v>-2.9469245011314316E-3</v>
      </c>
      <c r="F930" s="30">
        <v>45194</v>
      </c>
      <c r="G930" s="32">
        <v>7.15</v>
      </c>
      <c r="H930" s="21">
        <f t="shared" si="31"/>
        <v>0</v>
      </c>
    </row>
    <row r="931" spans="2:8" x14ac:dyDescent="0.25">
      <c r="B931" s="30">
        <v>45163</v>
      </c>
      <c r="C931" s="31">
        <v>19265.8</v>
      </c>
      <c r="D931" s="21">
        <f t="shared" si="30"/>
        <v>-6.2362341192674364E-3</v>
      </c>
      <c r="F931" s="30">
        <v>45195</v>
      </c>
      <c r="G931" s="32">
        <v>7.1459999999999999</v>
      </c>
      <c r="H931" s="21">
        <f t="shared" si="31"/>
        <v>-5.5944055944057158E-4</v>
      </c>
    </row>
    <row r="932" spans="2:8" x14ac:dyDescent="0.25">
      <c r="B932" s="30">
        <v>45166</v>
      </c>
      <c r="C932" s="31">
        <v>19306.05</v>
      </c>
      <c r="D932" s="21">
        <f t="shared" si="30"/>
        <v>2.0891943236200916E-3</v>
      </c>
      <c r="F932" s="30">
        <v>45196</v>
      </c>
      <c r="G932" s="32">
        <v>7.173</v>
      </c>
      <c r="H932" s="21">
        <f t="shared" si="31"/>
        <v>3.7783375314861534E-3</v>
      </c>
    </row>
    <row r="933" spans="2:8" x14ac:dyDescent="0.25">
      <c r="B933" s="30">
        <v>45167</v>
      </c>
      <c r="C933" s="31">
        <v>19342.650000000001</v>
      </c>
      <c r="D933" s="21">
        <f t="shared" si="30"/>
        <v>1.8957787843707496E-3</v>
      </c>
      <c r="F933" s="30">
        <v>45197</v>
      </c>
      <c r="G933" s="32">
        <v>7.2380000000000004</v>
      </c>
      <c r="H933" s="21">
        <f t="shared" si="31"/>
        <v>9.0617593754356296E-3</v>
      </c>
    </row>
    <row r="934" spans="2:8" x14ac:dyDescent="0.25">
      <c r="B934" s="30">
        <v>45168</v>
      </c>
      <c r="C934" s="31">
        <v>19347.45</v>
      </c>
      <c r="D934" s="21">
        <f t="shared" si="30"/>
        <v>2.4815627641494586E-4</v>
      </c>
      <c r="F934" s="30">
        <v>45198</v>
      </c>
      <c r="G934" s="32">
        <v>7.21</v>
      </c>
      <c r="H934" s="21">
        <f t="shared" si="31"/>
        <v>-3.8684719535784229E-3</v>
      </c>
    </row>
    <row r="935" spans="2:8" x14ac:dyDescent="0.25">
      <c r="B935" s="30">
        <v>45169</v>
      </c>
      <c r="C935" s="31">
        <v>19253.8</v>
      </c>
      <c r="D935" s="21">
        <f t="shared" si="30"/>
        <v>-4.840431167931758E-3</v>
      </c>
      <c r="F935" s="30">
        <v>45202</v>
      </c>
      <c r="G935" s="32">
        <v>7.2350000000000003</v>
      </c>
      <c r="H935" s="21">
        <f t="shared" si="31"/>
        <v>3.4674063800277377E-3</v>
      </c>
    </row>
    <row r="936" spans="2:8" x14ac:dyDescent="0.25">
      <c r="B936" s="30">
        <v>45170</v>
      </c>
      <c r="C936" s="31">
        <v>19435.3</v>
      </c>
      <c r="D936" s="21">
        <f t="shared" si="30"/>
        <v>9.4267105714196386E-3</v>
      </c>
      <c r="F936" s="30">
        <v>45203</v>
      </c>
      <c r="G936" s="32">
        <v>7.2380000000000004</v>
      </c>
      <c r="H936" s="21">
        <f t="shared" si="31"/>
        <v>4.146510020732741E-4</v>
      </c>
    </row>
    <row r="937" spans="2:8" x14ac:dyDescent="0.25">
      <c r="B937" s="30">
        <v>45173</v>
      </c>
      <c r="C937" s="31">
        <v>19528.8</v>
      </c>
      <c r="D937" s="21">
        <f t="shared" si="30"/>
        <v>4.8108338950261231E-3</v>
      </c>
      <c r="F937" s="30">
        <v>45204</v>
      </c>
      <c r="G937" s="32">
        <v>7.2140000000000004</v>
      </c>
      <c r="H937" s="21">
        <f t="shared" si="31"/>
        <v>-3.3158331030671562E-3</v>
      </c>
    </row>
    <row r="938" spans="2:8" x14ac:dyDescent="0.25">
      <c r="B938" s="30">
        <v>45174</v>
      </c>
      <c r="C938" s="31">
        <v>19574.900000000001</v>
      </c>
      <c r="D938" s="21">
        <f t="shared" si="30"/>
        <v>2.3606161156857208E-3</v>
      </c>
      <c r="F938" s="30">
        <v>45205</v>
      </c>
      <c r="G938" s="32">
        <v>7.3390000000000004</v>
      </c>
      <c r="H938" s="21">
        <f t="shared" si="31"/>
        <v>1.7327418907679526E-2</v>
      </c>
    </row>
    <row r="939" spans="2:8" x14ac:dyDescent="0.25">
      <c r="B939" s="30">
        <v>45175</v>
      </c>
      <c r="C939" s="31">
        <v>19611.05</v>
      </c>
      <c r="D939" s="21">
        <f t="shared" si="30"/>
        <v>1.8467527292602703E-3</v>
      </c>
      <c r="F939" s="30">
        <v>45208</v>
      </c>
      <c r="G939" s="32">
        <v>7.3860000000000001</v>
      </c>
      <c r="H939" s="21">
        <f t="shared" si="31"/>
        <v>6.4041422537131076E-3</v>
      </c>
    </row>
    <row r="940" spans="2:8" x14ac:dyDescent="0.25">
      <c r="B940" s="30">
        <v>45176</v>
      </c>
      <c r="C940" s="31">
        <v>19727.05</v>
      </c>
      <c r="D940" s="21">
        <f t="shared" si="30"/>
        <v>5.91503259641879E-3</v>
      </c>
      <c r="F940" s="30">
        <v>45209</v>
      </c>
      <c r="G940" s="32">
        <v>7.351</v>
      </c>
      <c r="H940" s="21">
        <f t="shared" si="31"/>
        <v>-4.7386948280531138E-3</v>
      </c>
    </row>
    <row r="941" spans="2:8" x14ac:dyDescent="0.25">
      <c r="B941" s="30">
        <v>45177</v>
      </c>
      <c r="C941" s="31">
        <v>19819.95</v>
      </c>
      <c r="D941" s="21">
        <f t="shared" si="30"/>
        <v>4.7092697590365162E-3</v>
      </c>
      <c r="F941" s="30">
        <v>45210</v>
      </c>
      <c r="G941" s="32">
        <v>7.3070000000000004</v>
      </c>
      <c r="H941" s="21">
        <f t="shared" si="31"/>
        <v>-5.9855801931709696E-3</v>
      </c>
    </row>
    <row r="942" spans="2:8" x14ac:dyDescent="0.25">
      <c r="B942" s="30">
        <v>45180</v>
      </c>
      <c r="C942" s="31">
        <v>19996.349999999999</v>
      </c>
      <c r="D942" s="21">
        <f t="shared" si="30"/>
        <v>8.9001233605532359E-3</v>
      </c>
      <c r="F942" s="30">
        <v>45211</v>
      </c>
      <c r="G942" s="32">
        <v>7.3019999999999996</v>
      </c>
      <c r="H942" s="21">
        <f t="shared" si="31"/>
        <v>-6.8427535240189741E-4</v>
      </c>
    </row>
    <row r="943" spans="2:8" x14ac:dyDescent="0.25">
      <c r="B943" s="30">
        <v>45181</v>
      </c>
      <c r="C943" s="31">
        <v>19993.2</v>
      </c>
      <c r="D943" s="21">
        <f t="shared" si="30"/>
        <v>-1.5752874899654934E-4</v>
      </c>
      <c r="F943" s="30">
        <v>45212</v>
      </c>
      <c r="G943" s="32">
        <v>7.32</v>
      </c>
      <c r="H943" s="21">
        <f t="shared" si="31"/>
        <v>2.4650780608053147E-3</v>
      </c>
    </row>
    <row r="944" spans="2:8" x14ac:dyDescent="0.25">
      <c r="B944" s="30">
        <v>45182</v>
      </c>
      <c r="C944" s="31">
        <v>20070</v>
      </c>
      <c r="D944" s="21">
        <f t="shared" si="30"/>
        <v>3.8413060440549707E-3</v>
      </c>
      <c r="F944" s="30">
        <v>45215</v>
      </c>
      <c r="G944" s="32">
        <v>7.3330000000000002</v>
      </c>
      <c r="H944" s="21">
        <f t="shared" si="31"/>
        <v>1.7759562841530574E-3</v>
      </c>
    </row>
    <row r="945" spans="2:8" x14ac:dyDescent="0.25">
      <c r="B945" s="30">
        <v>45183</v>
      </c>
      <c r="C945" s="31">
        <v>20103.099999999999</v>
      </c>
      <c r="D945" s="21">
        <f t="shared" si="30"/>
        <v>1.6492277030393243E-3</v>
      </c>
      <c r="F945" s="30">
        <v>45216</v>
      </c>
      <c r="G945" s="32">
        <v>7.3280000000000003</v>
      </c>
      <c r="H945" s="21">
        <f t="shared" si="31"/>
        <v>-6.8184917496250108E-4</v>
      </c>
    </row>
    <row r="946" spans="2:8" x14ac:dyDescent="0.25">
      <c r="B946" s="30">
        <v>45184</v>
      </c>
      <c r="C946" s="31">
        <v>20192.349999999999</v>
      </c>
      <c r="D946" s="21">
        <f t="shared" si="30"/>
        <v>4.4396137909079592E-3</v>
      </c>
      <c r="F946" s="30">
        <v>45217</v>
      </c>
      <c r="G946" s="32">
        <v>7.3529999999999998</v>
      </c>
      <c r="H946" s="21">
        <f t="shared" si="31"/>
        <v>3.4115720524017235E-3</v>
      </c>
    </row>
    <row r="947" spans="2:8" x14ac:dyDescent="0.25">
      <c r="B947" s="30">
        <v>45187</v>
      </c>
      <c r="C947" s="31">
        <v>20133.3</v>
      </c>
      <c r="D947" s="21">
        <f t="shared" si="30"/>
        <v>-2.9243748251194246E-3</v>
      </c>
      <c r="F947" s="30">
        <v>45218</v>
      </c>
      <c r="G947" s="32">
        <v>7.3689999999999998</v>
      </c>
      <c r="H947" s="21">
        <f t="shared" si="31"/>
        <v>2.1759825921392473E-3</v>
      </c>
    </row>
    <row r="948" spans="2:8" x14ac:dyDescent="0.25">
      <c r="B948" s="30">
        <v>45189</v>
      </c>
      <c r="C948" s="31">
        <v>19901.400000000001</v>
      </c>
      <c r="D948" s="21">
        <f t="shared" si="30"/>
        <v>-1.1518230990448575E-2</v>
      </c>
      <c r="F948" s="30">
        <v>45219</v>
      </c>
      <c r="G948" s="32">
        <v>7.3650000000000002</v>
      </c>
      <c r="H948" s="21">
        <f t="shared" si="31"/>
        <v>-5.4281449314685926E-4</v>
      </c>
    </row>
    <row r="949" spans="2:8" x14ac:dyDescent="0.25">
      <c r="B949" s="30">
        <v>45190</v>
      </c>
      <c r="C949" s="31">
        <v>19742.349999999999</v>
      </c>
      <c r="D949" s="21">
        <f t="shared" si="30"/>
        <v>-7.9919000673320806E-3</v>
      </c>
      <c r="F949" s="30">
        <v>45222</v>
      </c>
      <c r="G949" s="32">
        <v>7.3819999999999997</v>
      </c>
      <c r="H949" s="21">
        <f t="shared" si="31"/>
        <v>2.3082145281736466E-3</v>
      </c>
    </row>
    <row r="950" spans="2:8" x14ac:dyDescent="0.25">
      <c r="B950" s="30">
        <v>45191</v>
      </c>
      <c r="C950" s="31">
        <v>19674.25</v>
      </c>
      <c r="D950" s="21">
        <f t="shared" si="30"/>
        <v>-3.4494373770092013E-3</v>
      </c>
      <c r="F950" s="30">
        <v>45224</v>
      </c>
      <c r="G950" s="32">
        <v>7.343</v>
      </c>
      <c r="H950" s="21">
        <f t="shared" si="31"/>
        <v>-5.2831211053914195E-3</v>
      </c>
    </row>
    <row r="951" spans="2:8" x14ac:dyDescent="0.25">
      <c r="B951" s="30">
        <v>45194</v>
      </c>
      <c r="C951" s="31">
        <v>19674.55</v>
      </c>
      <c r="D951" s="21">
        <f t="shared" si="30"/>
        <v>1.5248357624786379E-5</v>
      </c>
      <c r="F951" s="30">
        <v>45225</v>
      </c>
      <c r="G951" s="32">
        <v>7.3659999999999997</v>
      </c>
      <c r="H951" s="21">
        <f t="shared" si="31"/>
        <v>3.1322347814244367E-3</v>
      </c>
    </row>
    <row r="952" spans="2:8" x14ac:dyDescent="0.25">
      <c r="B952" s="30">
        <v>45195</v>
      </c>
      <c r="C952" s="31">
        <v>19664.7</v>
      </c>
      <c r="D952" s="21">
        <f t="shared" si="30"/>
        <v>-5.0064677464023433E-4</v>
      </c>
      <c r="F952" s="30">
        <v>45226</v>
      </c>
      <c r="G952" s="32">
        <v>7.351</v>
      </c>
      <c r="H952" s="21">
        <f t="shared" si="31"/>
        <v>-2.0363833831115175E-3</v>
      </c>
    </row>
    <row r="953" spans="2:8" x14ac:dyDescent="0.25">
      <c r="B953" s="30">
        <v>45196</v>
      </c>
      <c r="C953" s="31">
        <v>19716.45</v>
      </c>
      <c r="D953" s="21">
        <f t="shared" si="30"/>
        <v>2.6316190941126916E-3</v>
      </c>
      <c r="F953" s="30">
        <v>45229</v>
      </c>
      <c r="G953" s="32">
        <v>7.3689999999999998</v>
      </c>
      <c r="H953" s="21">
        <f t="shared" si="31"/>
        <v>2.4486464426607402E-3</v>
      </c>
    </row>
    <row r="954" spans="2:8" x14ac:dyDescent="0.25">
      <c r="B954" s="30">
        <v>45197</v>
      </c>
      <c r="C954" s="31">
        <v>19523.55</v>
      </c>
      <c r="D954" s="21">
        <f t="shared" si="30"/>
        <v>-9.7837085276508695E-3</v>
      </c>
      <c r="F954" s="30">
        <v>45230</v>
      </c>
      <c r="G954" s="32">
        <v>7.351</v>
      </c>
      <c r="H954" s="21">
        <f t="shared" si="31"/>
        <v>-2.4426652191613663E-3</v>
      </c>
    </row>
    <row r="955" spans="2:8" x14ac:dyDescent="0.25">
      <c r="B955" s="30">
        <v>45198</v>
      </c>
      <c r="C955" s="31">
        <v>19638.3</v>
      </c>
      <c r="D955" s="21">
        <f t="shared" si="30"/>
        <v>5.8775171523621772E-3</v>
      </c>
      <c r="F955" s="30">
        <v>45231</v>
      </c>
      <c r="G955" s="32">
        <v>7.3579999999999997</v>
      </c>
      <c r="H955" s="21">
        <f t="shared" si="31"/>
        <v>9.5225139436805328E-4</v>
      </c>
    </row>
    <row r="956" spans="2:8" x14ac:dyDescent="0.25">
      <c r="B956" s="30">
        <v>45202</v>
      </c>
      <c r="C956" s="31">
        <v>19528.75</v>
      </c>
      <c r="D956" s="21">
        <f t="shared" si="30"/>
        <v>-5.5783850944327584E-3</v>
      </c>
      <c r="F956" s="30">
        <v>45232</v>
      </c>
      <c r="G956" s="32">
        <v>7.3220000000000001</v>
      </c>
      <c r="H956" s="21">
        <f t="shared" si="31"/>
        <v>-4.8926338678988435E-3</v>
      </c>
    </row>
    <row r="957" spans="2:8" x14ac:dyDescent="0.25">
      <c r="B957" s="30">
        <v>45203</v>
      </c>
      <c r="C957" s="31">
        <v>19436.099999999999</v>
      </c>
      <c r="D957" s="21">
        <f t="shared" si="30"/>
        <v>-4.7442872687705195E-3</v>
      </c>
      <c r="F957" s="30">
        <v>45233</v>
      </c>
      <c r="G957" s="32">
        <v>7.3170000000000002</v>
      </c>
      <c r="H957" s="21">
        <f t="shared" si="31"/>
        <v>-6.8287353182183708E-4</v>
      </c>
    </row>
    <row r="958" spans="2:8" x14ac:dyDescent="0.25">
      <c r="B958" s="30">
        <v>45204</v>
      </c>
      <c r="C958" s="31">
        <v>19545.75</v>
      </c>
      <c r="D958" s="21">
        <f t="shared" si="30"/>
        <v>5.6415638939910639E-3</v>
      </c>
      <c r="F958" s="30">
        <v>45236</v>
      </c>
      <c r="G958" s="32">
        <v>7.3049999999999997</v>
      </c>
      <c r="H958" s="21">
        <f t="shared" si="31"/>
        <v>-1.6400164001640904E-3</v>
      </c>
    </row>
    <row r="959" spans="2:8" x14ac:dyDescent="0.25">
      <c r="B959" s="30">
        <v>45205</v>
      </c>
      <c r="C959" s="31">
        <v>19653.5</v>
      </c>
      <c r="D959" s="21">
        <f t="shared" si="30"/>
        <v>5.5127073660514725E-3</v>
      </c>
      <c r="F959" s="30">
        <v>45237</v>
      </c>
      <c r="G959" s="32">
        <v>7.28</v>
      </c>
      <c r="H959" s="21">
        <f t="shared" si="31"/>
        <v>-3.4223134839150848E-3</v>
      </c>
    </row>
    <row r="960" spans="2:8" x14ac:dyDescent="0.25">
      <c r="B960" s="30">
        <v>45208</v>
      </c>
      <c r="C960" s="31">
        <v>19512.349999999999</v>
      </c>
      <c r="D960" s="21">
        <f t="shared" si="30"/>
        <v>-7.1819268832524763E-3</v>
      </c>
      <c r="F960" s="30">
        <v>45238</v>
      </c>
      <c r="G960" s="32">
        <v>7.266</v>
      </c>
      <c r="H960" s="21">
        <f t="shared" si="31"/>
        <v>-1.9230769230769162E-3</v>
      </c>
    </row>
    <row r="961" spans="2:8" x14ac:dyDescent="0.25">
      <c r="B961" s="30">
        <v>45209</v>
      </c>
      <c r="C961" s="31">
        <v>19689.849999999999</v>
      </c>
      <c r="D961" s="21">
        <f t="shared" si="30"/>
        <v>9.096802794127834E-3</v>
      </c>
      <c r="F961" s="30">
        <v>45239</v>
      </c>
      <c r="G961" s="32">
        <v>7.2690000000000001</v>
      </c>
      <c r="H961" s="21">
        <f t="shared" si="31"/>
        <v>4.1288191577204536E-4</v>
      </c>
    </row>
    <row r="962" spans="2:8" x14ac:dyDescent="0.25">
      <c r="B962" s="30">
        <v>45210</v>
      </c>
      <c r="C962" s="31">
        <v>19811.349999999999</v>
      </c>
      <c r="D962" s="21">
        <f t="shared" si="30"/>
        <v>6.1706920062876147E-3</v>
      </c>
      <c r="F962" s="30">
        <v>45240</v>
      </c>
      <c r="G962" s="32">
        <v>7.3</v>
      </c>
      <c r="H962" s="21">
        <f t="shared" si="31"/>
        <v>4.2646856513963716E-3</v>
      </c>
    </row>
    <row r="963" spans="2:8" x14ac:dyDescent="0.25">
      <c r="B963" s="30">
        <v>45211</v>
      </c>
      <c r="C963" s="31">
        <v>19794</v>
      </c>
      <c r="D963" s="21">
        <f t="shared" si="30"/>
        <v>-8.7576061197236488E-4</v>
      </c>
      <c r="F963" s="30">
        <v>45243</v>
      </c>
      <c r="G963" s="32">
        <v>7.2830000000000004</v>
      </c>
      <c r="H963" s="21">
        <f t="shared" si="31"/>
        <v>-2.3287671232875562E-3</v>
      </c>
    </row>
    <row r="964" spans="2:8" x14ac:dyDescent="0.25">
      <c r="B964" s="30">
        <v>45212</v>
      </c>
      <c r="C964" s="31">
        <v>19751.05</v>
      </c>
      <c r="D964" s="21">
        <f t="shared" si="30"/>
        <v>-2.1698494493280762E-3</v>
      </c>
      <c r="F964" s="30">
        <v>45245</v>
      </c>
      <c r="G964" s="32">
        <v>7.2249999999999996</v>
      </c>
      <c r="H964" s="21">
        <f t="shared" si="31"/>
        <v>-7.9637512014281153E-3</v>
      </c>
    </row>
    <row r="965" spans="2:8" x14ac:dyDescent="0.25">
      <c r="B965" s="30">
        <v>45215</v>
      </c>
      <c r="C965" s="31">
        <v>19731.75</v>
      </c>
      <c r="D965" s="21">
        <f t="shared" si="30"/>
        <v>-9.7716323942265149E-4</v>
      </c>
      <c r="F965" s="30">
        <v>45246</v>
      </c>
      <c r="G965" s="32">
        <v>7.2320000000000002</v>
      </c>
      <c r="H965" s="21">
        <f t="shared" si="31"/>
        <v>9.6885813148794853E-4</v>
      </c>
    </row>
    <row r="966" spans="2:8" x14ac:dyDescent="0.25">
      <c r="B966" s="30">
        <v>45216</v>
      </c>
      <c r="C966" s="31">
        <v>19811.5</v>
      </c>
      <c r="D966" s="21">
        <f t="shared" si="30"/>
        <v>4.0417094276989918E-3</v>
      </c>
      <c r="F966" s="30">
        <v>45247</v>
      </c>
      <c r="G966" s="32">
        <v>7.2119999999999997</v>
      </c>
      <c r="H966" s="21">
        <f t="shared" si="31"/>
        <v>-2.7654867256637905E-3</v>
      </c>
    </row>
    <row r="967" spans="2:8" x14ac:dyDescent="0.25">
      <c r="B967" s="30">
        <v>45217</v>
      </c>
      <c r="C967" s="31">
        <v>19671.099999999999</v>
      </c>
      <c r="D967" s="21">
        <f t="shared" si="30"/>
        <v>-7.0867930242536348E-3</v>
      </c>
      <c r="F967" s="30">
        <v>45250</v>
      </c>
      <c r="G967" s="32">
        <v>7.2519999999999998</v>
      </c>
      <c r="H967" s="21">
        <f t="shared" si="31"/>
        <v>5.5463117027176878E-3</v>
      </c>
    </row>
    <row r="968" spans="2:8" x14ac:dyDescent="0.25">
      <c r="B968" s="30">
        <v>45218</v>
      </c>
      <c r="C968" s="31">
        <v>19624.7</v>
      </c>
      <c r="D968" s="21">
        <f t="shared" si="30"/>
        <v>-2.358790306591807E-3</v>
      </c>
      <c r="F968" s="30">
        <v>45251</v>
      </c>
      <c r="G968" s="32">
        <v>7.2690000000000001</v>
      </c>
      <c r="H968" s="21">
        <f t="shared" si="31"/>
        <v>2.3441809156095061E-3</v>
      </c>
    </row>
    <row r="969" spans="2:8" x14ac:dyDescent="0.25">
      <c r="B969" s="30">
        <v>45219</v>
      </c>
      <c r="C969" s="31">
        <v>19542.650000000001</v>
      </c>
      <c r="D969" s="21">
        <f t="shared" si="30"/>
        <v>-4.1809556324428065E-3</v>
      </c>
      <c r="F969" s="30">
        <v>45252</v>
      </c>
      <c r="G969" s="32">
        <v>7.2469999999999999</v>
      </c>
      <c r="H969" s="21">
        <f t="shared" si="31"/>
        <v>-3.0265511074425433E-3</v>
      </c>
    </row>
    <row r="970" spans="2:8" x14ac:dyDescent="0.25">
      <c r="B970" s="30">
        <v>45222</v>
      </c>
      <c r="C970" s="31">
        <v>19281.75</v>
      </c>
      <c r="D970" s="21">
        <f t="shared" si="30"/>
        <v>-1.3350287704072983E-2</v>
      </c>
      <c r="F970" s="30">
        <v>45253</v>
      </c>
      <c r="G970" s="32">
        <v>7.2530000000000001</v>
      </c>
      <c r="H970" s="21">
        <f t="shared" si="31"/>
        <v>8.2792879812343401E-4</v>
      </c>
    </row>
    <row r="971" spans="2:8" x14ac:dyDescent="0.25">
      <c r="B971" s="30">
        <v>45224</v>
      </c>
      <c r="C971" s="31">
        <v>19122.150000000001</v>
      </c>
      <c r="D971" s="21">
        <f t="shared" si="30"/>
        <v>-8.2772569917148875E-3</v>
      </c>
      <c r="F971" s="30">
        <v>45254</v>
      </c>
      <c r="G971" s="32">
        <v>7.2720000000000002</v>
      </c>
      <c r="H971" s="21">
        <f t="shared" si="31"/>
        <v>2.6196056804081991E-3</v>
      </c>
    </row>
    <row r="972" spans="2:8" x14ac:dyDescent="0.25">
      <c r="B972" s="30">
        <v>45225</v>
      </c>
      <c r="C972" s="31">
        <v>18857.25</v>
      </c>
      <c r="D972" s="21">
        <f t="shared" si="30"/>
        <v>-1.3853044767455636E-2</v>
      </c>
      <c r="F972" s="30">
        <v>45258</v>
      </c>
      <c r="G972" s="32">
        <v>7.2729999999999997</v>
      </c>
      <c r="H972" s="21">
        <f t="shared" si="31"/>
        <v>1.3751375137505129E-4</v>
      </c>
    </row>
    <row r="973" spans="2:8" x14ac:dyDescent="0.25">
      <c r="B973" s="30">
        <v>45226</v>
      </c>
      <c r="C973" s="31">
        <v>19047.25</v>
      </c>
      <c r="D973" s="21">
        <f t="shared" si="30"/>
        <v>1.0075700327460302E-2</v>
      </c>
      <c r="F973" s="30">
        <v>45259</v>
      </c>
      <c r="G973" s="32">
        <v>7.2519999999999998</v>
      </c>
      <c r="H973" s="21">
        <f t="shared" si="31"/>
        <v>-2.887391722810384E-3</v>
      </c>
    </row>
    <row r="974" spans="2:8" x14ac:dyDescent="0.25">
      <c r="B974" s="30">
        <v>45229</v>
      </c>
      <c r="C974" s="31">
        <v>19140.900000000001</v>
      </c>
      <c r="D974" s="21">
        <f t="shared" si="30"/>
        <v>4.9167202614550654E-3</v>
      </c>
      <c r="F974" s="30">
        <v>45260</v>
      </c>
      <c r="G974" s="32">
        <v>7.2789999999999999</v>
      </c>
      <c r="H974" s="21">
        <f t="shared" si="31"/>
        <v>3.7231108659681045E-3</v>
      </c>
    </row>
    <row r="975" spans="2:8" x14ac:dyDescent="0.25">
      <c r="B975" s="30">
        <v>45230</v>
      </c>
      <c r="C975" s="31">
        <v>19079.599999999999</v>
      </c>
      <c r="D975" s="21">
        <f t="shared" si="30"/>
        <v>-3.2025662325179116E-3</v>
      </c>
      <c r="F975" s="30">
        <v>45261</v>
      </c>
      <c r="G975" s="32">
        <v>7.29</v>
      </c>
      <c r="H975" s="21">
        <f t="shared" si="31"/>
        <v>1.5111965929386351E-3</v>
      </c>
    </row>
    <row r="976" spans="2:8" x14ac:dyDescent="0.25">
      <c r="B976" s="30">
        <v>45231</v>
      </c>
      <c r="C976" s="31">
        <v>18989.150000000001</v>
      </c>
      <c r="D976" s="21">
        <f t="shared" si="30"/>
        <v>-4.740665422755086E-3</v>
      </c>
      <c r="F976" s="30">
        <v>45264</v>
      </c>
      <c r="G976" s="32">
        <v>7.2709999999999999</v>
      </c>
      <c r="H976" s="21">
        <f t="shared" si="31"/>
        <v>-2.6063100137174722E-3</v>
      </c>
    </row>
    <row r="977" spans="2:8" x14ac:dyDescent="0.25">
      <c r="B977" s="30">
        <v>45232</v>
      </c>
      <c r="C977" s="31">
        <v>19133.25</v>
      </c>
      <c r="D977" s="21">
        <f t="shared" si="30"/>
        <v>7.5885439843277336E-3</v>
      </c>
      <c r="F977" s="30">
        <v>45265</v>
      </c>
      <c r="G977" s="32">
        <v>7.2619999999999996</v>
      </c>
      <c r="H977" s="21">
        <f t="shared" si="31"/>
        <v>-1.237793976069379E-3</v>
      </c>
    </row>
    <row r="978" spans="2:8" x14ac:dyDescent="0.25">
      <c r="B978" s="30">
        <v>45233</v>
      </c>
      <c r="C978" s="31">
        <v>19230.599999999999</v>
      </c>
      <c r="D978" s="21">
        <f t="shared" si="30"/>
        <v>5.0880012543608188E-3</v>
      </c>
      <c r="F978" s="30">
        <v>45266</v>
      </c>
      <c r="G978" s="32">
        <v>7.2480000000000002</v>
      </c>
      <c r="H978" s="21">
        <f t="shared" si="31"/>
        <v>-1.9278435692645646E-3</v>
      </c>
    </row>
    <row r="979" spans="2:8" x14ac:dyDescent="0.25">
      <c r="B979" s="30">
        <v>45236</v>
      </c>
      <c r="C979" s="31">
        <v>19411.75</v>
      </c>
      <c r="D979" s="21">
        <f t="shared" si="30"/>
        <v>9.4198828949696445E-3</v>
      </c>
      <c r="F979" s="30">
        <v>45267</v>
      </c>
      <c r="G979" s="32">
        <v>7.2359999999999998</v>
      </c>
      <c r="H979" s="21">
        <f t="shared" si="31"/>
        <v>-1.6556291390729116E-3</v>
      </c>
    </row>
    <row r="980" spans="2:8" x14ac:dyDescent="0.25">
      <c r="B980" s="30">
        <v>45237</v>
      </c>
      <c r="C980" s="31">
        <v>19406.7</v>
      </c>
      <c r="D980" s="21">
        <f t="shared" si="30"/>
        <v>-2.6015171223614519E-4</v>
      </c>
      <c r="F980" s="30">
        <v>45268</v>
      </c>
      <c r="G980" s="32">
        <v>7.266</v>
      </c>
      <c r="H980" s="21">
        <f t="shared" si="31"/>
        <v>4.1459369817578029E-3</v>
      </c>
    </row>
    <row r="981" spans="2:8" x14ac:dyDescent="0.25">
      <c r="B981" s="30">
        <v>45238</v>
      </c>
      <c r="C981" s="31">
        <v>19443.5</v>
      </c>
      <c r="D981" s="21">
        <f t="shared" si="30"/>
        <v>1.8962523252279428E-3</v>
      </c>
      <c r="F981" s="30">
        <v>45271</v>
      </c>
      <c r="G981" s="32">
        <v>7.2809999999999997</v>
      </c>
      <c r="H981" s="21">
        <f t="shared" si="31"/>
        <v>2.0644095788604488E-3</v>
      </c>
    </row>
    <row r="982" spans="2:8" x14ac:dyDescent="0.25">
      <c r="B982" s="30">
        <v>45239</v>
      </c>
      <c r="C982" s="31">
        <v>19395.3</v>
      </c>
      <c r="D982" s="21">
        <f t="shared" si="30"/>
        <v>-2.4789775503382128E-3</v>
      </c>
      <c r="F982" s="30">
        <v>45272</v>
      </c>
      <c r="G982" s="32">
        <v>7.2750000000000004</v>
      </c>
      <c r="H982" s="21">
        <f t="shared" si="31"/>
        <v>-8.2406262875966974E-4</v>
      </c>
    </row>
    <row r="983" spans="2:8" x14ac:dyDescent="0.25">
      <c r="B983" s="30">
        <v>45240</v>
      </c>
      <c r="C983" s="31">
        <v>19425.349999999999</v>
      </c>
      <c r="D983" s="21">
        <f t="shared" si="30"/>
        <v>1.549344428804833E-3</v>
      </c>
      <c r="F983" s="30">
        <v>45273</v>
      </c>
      <c r="G983" s="32">
        <v>7.2590000000000003</v>
      </c>
      <c r="H983" s="21">
        <f t="shared" si="31"/>
        <v>-2.1993127147765801E-3</v>
      </c>
    </row>
    <row r="984" spans="2:8" x14ac:dyDescent="0.25">
      <c r="B984" s="30">
        <v>45242</v>
      </c>
      <c r="C984" s="31">
        <v>19525.55</v>
      </c>
      <c r="D984" s="21">
        <f t="shared" ref="D984:D1048" si="32">C984/C983-1</f>
        <v>5.1582082176124811E-3</v>
      </c>
      <c r="F984" s="30">
        <v>45274</v>
      </c>
      <c r="G984" s="32">
        <v>7.194</v>
      </c>
      <c r="H984" s="21">
        <f t="shared" ref="H984:H1048" si="33">G984/G983-1</f>
        <v>-8.9544014327043175E-3</v>
      </c>
    </row>
    <row r="985" spans="2:8" x14ac:dyDescent="0.25">
      <c r="B985" s="30">
        <v>45243</v>
      </c>
      <c r="C985" s="31">
        <v>19443.55</v>
      </c>
      <c r="D985" s="21">
        <f t="shared" si="32"/>
        <v>-4.1996256187405434E-3</v>
      </c>
      <c r="F985" s="30">
        <v>45275</v>
      </c>
      <c r="G985" s="32">
        <v>7.1630000000000003</v>
      </c>
      <c r="H985" s="21">
        <f t="shared" si="33"/>
        <v>-4.3091465109813543E-3</v>
      </c>
    </row>
    <row r="986" spans="2:8" x14ac:dyDescent="0.25">
      <c r="B986" s="30">
        <v>45245</v>
      </c>
      <c r="C986" s="31">
        <v>19675.45</v>
      </c>
      <c r="D986" s="21">
        <f t="shared" si="32"/>
        <v>1.1926834348665816E-2</v>
      </c>
      <c r="F986" s="30">
        <v>45278</v>
      </c>
      <c r="G986" s="32">
        <v>7.1529999999999996</v>
      </c>
      <c r="H986" s="21">
        <f t="shared" si="33"/>
        <v>-1.396063102052314E-3</v>
      </c>
    </row>
    <row r="987" spans="2:8" x14ac:dyDescent="0.25">
      <c r="B987" s="30">
        <v>45246</v>
      </c>
      <c r="C987" s="31">
        <v>19765.2</v>
      </c>
      <c r="D987" s="21">
        <f t="shared" si="32"/>
        <v>4.5615220998758144E-3</v>
      </c>
      <c r="F987" s="30">
        <v>45279</v>
      </c>
      <c r="G987" s="32">
        <v>7.1710000000000003</v>
      </c>
      <c r="H987" s="21">
        <f t="shared" si="33"/>
        <v>2.5164266741228847E-3</v>
      </c>
    </row>
    <row r="988" spans="2:8" x14ac:dyDescent="0.25">
      <c r="B988" s="30">
        <v>45247</v>
      </c>
      <c r="C988" s="31">
        <v>19731.8</v>
      </c>
      <c r="D988" s="21">
        <f t="shared" si="32"/>
        <v>-1.6898387064133713E-3</v>
      </c>
      <c r="F988" s="30">
        <v>45280</v>
      </c>
      <c r="G988" s="32">
        <v>7.1710000000000003</v>
      </c>
      <c r="H988" s="21">
        <f t="shared" si="33"/>
        <v>0</v>
      </c>
    </row>
    <row r="989" spans="2:8" x14ac:dyDescent="0.25">
      <c r="B989" s="30">
        <v>45250</v>
      </c>
      <c r="C989" s="31">
        <v>19694</v>
      </c>
      <c r="D989" s="21">
        <f t="shared" si="32"/>
        <v>-1.915689394784037E-3</v>
      </c>
      <c r="F989" s="30">
        <v>45281</v>
      </c>
      <c r="G989" s="32">
        <v>7.1840000000000002</v>
      </c>
      <c r="H989" s="21">
        <f t="shared" si="33"/>
        <v>1.8128573420721494E-3</v>
      </c>
    </row>
    <row r="990" spans="2:8" x14ac:dyDescent="0.25">
      <c r="B990" s="30">
        <v>45251</v>
      </c>
      <c r="C990" s="31">
        <v>19783.400000000001</v>
      </c>
      <c r="D990" s="21">
        <f t="shared" si="32"/>
        <v>4.5394536407028507E-3</v>
      </c>
      <c r="F990" s="30">
        <v>45282</v>
      </c>
      <c r="G990" s="32">
        <v>7.1879999999999997</v>
      </c>
      <c r="H990" s="21">
        <f t="shared" si="33"/>
        <v>5.5679287305121505E-4</v>
      </c>
    </row>
    <row r="991" spans="2:8" x14ac:dyDescent="0.25">
      <c r="B991" s="30">
        <v>45252</v>
      </c>
      <c r="C991" s="31">
        <v>19811.849999999999</v>
      </c>
      <c r="D991" s="21">
        <f t="shared" si="32"/>
        <v>1.4380743451578581E-3</v>
      </c>
      <c r="F991" s="30">
        <v>45286</v>
      </c>
      <c r="G991" s="32">
        <v>7.1829999999999998</v>
      </c>
      <c r="H991" s="21">
        <f t="shared" si="33"/>
        <v>-6.9560378408461965E-4</v>
      </c>
    </row>
    <row r="992" spans="2:8" x14ac:dyDescent="0.25">
      <c r="B992" s="30">
        <v>45253</v>
      </c>
      <c r="C992" s="31">
        <v>19802</v>
      </c>
      <c r="D992" s="21">
        <f t="shared" si="32"/>
        <v>-4.971771944567438E-4</v>
      </c>
      <c r="F992" s="30">
        <v>45287</v>
      </c>
      <c r="G992" s="32">
        <v>7.2050000000000001</v>
      </c>
      <c r="H992" s="21">
        <f t="shared" si="33"/>
        <v>3.0627871362940429E-3</v>
      </c>
    </row>
    <row r="993" spans="2:8" x14ac:dyDescent="0.25">
      <c r="B993" s="30">
        <v>45254</v>
      </c>
      <c r="C993" s="31">
        <v>19794.7</v>
      </c>
      <c r="D993" s="21">
        <f t="shared" si="32"/>
        <v>-3.6864963135030404E-4</v>
      </c>
      <c r="F993" s="30">
        <v>45288</v>
      </c>
      <c r="G993" s="32">
        <v>7.2069999999999999</v>
      </c>
      <c r="H993" s="21">
        <f t="shared" si="33"/>
        <v>2.7758501040930916E-4</v>
      </c>
    </row>
    <row r="994" spans="2:8" x14ac:dyDescent="0.25">
      <c r="B994" s="30">
        <v>45258</v>
      </c>
      <c r="C994" s="31">
        <v>19889.7</v>
      </c>
      <c r="D994" s="21">
        <f t="shared" si="32"/>
        <v>4.7992644495749026E-3</v>
      </c>
      <c r="F994" s="30">
        <v>45289</v>
      </c>
      <c r="G994" s="32">
        <v>7.1760000000000002</v>
      </c>
      <c r="H994" s="21">
        <f t="shared" si="33"/>
        <v>-4.3013736644927913E-3</v>
      </c>
    </row>
    <row r="995" spans="2:8" x14ac:dyDescent="0.25">
      <c r="B995" s="30">
        <v>45259</v>
      </c>
      <c r="C995" s="31">
        <v>20096.599999999999</v>
      </c>
      <c r="D995" s="21">
        <f t="shared" si="32"/>
        <v>1.04023690653956E-2</v>
      </c>
      <c r="F995" s="30"/>
      <c r="G995" s="32"/>
      <c r="H995" s="21"/>
    </row>
    <row r="996" spans="2:8" x14ac:dyDescent="0.25">
      <c r="B996" s="30">
        <v>45260</v>
      </c>
      <c r="C996" s="31">
        <v>20133.150000000001</v>
      </c>
      <c r="D996" s="21">
        <f t="shared" si="32"/>
        <v>1.8187156036346686E-3</v>
      </c>
      <c r="F996" s="30">
        <v>45292</v>
      </c>
      <c r="G996" s="32">
        <v>7.1959999999999997</v>
      </c>
      <c r="H996" s="21">
        <f>G996/G994-1</f>
        <v>2.7870680044592699E-3</v>
      </c>
    </row>
    <row r="997" spans="2:8" x14ac:dyDescent="0.25">
      <c r="B997" s="30">
        <v>45261</v>
      </c>
      <c r="C997" s="31">
        <v>20267.900000000001</v>
      </c>
      <c r="D997" s="21">
        <f>C997/C996-1</f>
        <v>6.6929417403636116E-3</v>
      </c>
      <c r="F997" s="30">
        <v>45293</v>
      </c>
      <c r="G997" s="32">
        <v>7.2060000000000004</v>
      </c>
      <c r="H997" s="21">
        <f t="shared" si="33"/>
        <v>1.3896609227348478E-3</v>
      </c>
    </row>
    <row r="998" spans="2:8" x14ac:dyDescent="0.25">
      <c r="B998" s="30">
        <v>45264</v>
      </c>
      <c r="C998" s="31">
        <v>20686.8</v>
      </c>
      <c r="D998" s="21">
        <f t="shared" si="32"/>
        <v>2.0668150129021567E-2</v>
      </c>
      <c r="F998" s="30">
        <v>45294</v>
      </c>
      <c r="G998" s="32">
        <v>7.2160000000000002</v>
      </c>
      <c r="H998" s="21">
        <f t="shared" si="33"/>
        <v>1.3877324451845308E-3</v>
      </c>
    </row>
    <row r="999" spans="2:8" x14ac:dyDescent="0.25">
      <c r="B999" s="30">
        <v>45265</v>
      </c>
      <c r="C999" s="31">
        <v>20855.099999999999</v>
      </c>
      <c r="D999" s="21">
        <f t="shared" si="32"/>
        <v>8.1356227159348204E-3</v>
      </c>
      <c r="F999" s="30">
        <v>45295</v>
      </c>
      <c r="G999" s="32">
        <v>7.22</v>
      </c>
      <c r="H999" s="21">
        <f t="shared" si="33"/>
        <v>5.5432372505537231E-4</v>
      </c>
    </row>
    <row r="1000" spans="2:8" x14ac:dyDescent="0.25">
      <c r="B1000" s="30">
        <v>45266</v>
      </c>
      <c r="C1000" s="31">
        <v>20937.7</v>
      </c>
      <c r="D1000" s="21">
        <f t="shared" si="32"/>
        <v>3.9606619004464161E-3</v>
      </c>
      <c r="F1000" s="30">
        <v>45296</v>
      </c>
      <c r="G1000" s="32">
        <v>7.2350000000000003</v>
      </c>
      <c r="H1000" s="21">
        <f t="shared" si="33"/>
        <v>2.0775623268698418E-3</v>
      </c>
    </row>
    <row r="1001" spans="2:8" x14ac:dyDescent="0.25">
      <c r="B1001" s="30">
        <v>45267</v>
      </c>
      <c r="C1001" s="31">
        <v>20901.150000000001</v>
      </c>
      <c r="D1001" s="21">
        <f t="shared" si="32"/>
        <v>-1.7456549668778409E-3</v>
      </c>
      <c r="F1001" s="30">
        <v>45299</v>
      </c>
      <c r="G1001" s="32">
        <v>7.2030000000000003</v>
      </c>
      <c r="H1001" s="21">
        <f t="shared" si="33"/>
        <v>-4.4229440221147387E-3</v>
      </c>
    </row>
    <row r="1002" spans="2:8" x14ac:dyDescent="0.25">
      <c r="B1002" s="30">
        <v>45268</v>
      </c>
      <c r="C1002" s="31">
        <v>20969.400000000001</v>
      </c>
      <c r="D1002" s="21">
        <f t="shared" si="32"/>
        <v>3.2653705657343934E-3</v>
      </c>
      <c r="F1002" s="30">
        <v>45300</v>
      </c>
      <c r="G1002" s="32">
        <v>7.1890000000000001</v>
      </c>
      <c r="H1002" s="21">
        <f t="shared" si="33"/>
        <v>-1.9436345966958868E-3</v>
      </c>
    </row>
    <row r="1003" spans="2:8" x14ac:dyDescent="0.25">
      <c r="B1003" s="30">
        <v>45271</v>
      </c>
      <c r="C1003" s="31">
        <v>20997.1</v>
      </c>
      <c r="D1003" s="21">
        <f t="shared" si="32"/>
        <v>1.3209724646388032E-3</v>
      </c>
      <c r="F1003" s="30">
        <v>45301</v>
      </c>
      <c r="G1003" s="32">
        <v>7.1779999999999999</v>
      </c>
      <c r="H1003" s="21">
        <f t="shared" si="33"/>
        <v>-1.5301154541661477E-3</v>
      </c>
    </row>
    <row r="1004" spans="2:8" x14ac:dyDescent="0.25">
      <c r="B1004" s="30">
        <v>45272</v>
      </c>
      <c r="C1004" s="31">
        <v>20906.400000000001</v>
      </c>
      <c r="D1004" s="21">
        <f t="shared" si="32"/>
        <v>-4.3196441413336784E-3</v>
      </c>
      <c r="F1004" s="30">
        <v>45302</v>
      </c>
      <c r="G1004" s="32">
        <v>7.165</v>
      </c>
      <c r="H1004" s="21">
        <f t="shared" si="33"/>
        <v>-1.8110894399554489E-3</v>
      </c>
    </row>
    <row r="1005" spans="2:8" x14ac:dyDescent="0.25">
      <c r="B1005" s="30">
        <v>45273</v>
      </c>
      <c r="C1005" s="31">
        <v>20926.349999999999</v>
      </c>
      <c r="D1005" s="21">
        <f t="shared" si="32"/>
        <v>9.5425324302600423E-4</v>
      </c>
      <c r="F1005" s="30">
        <v>45303</v>
      </c>
      <c r="G1005" s="32">
        <v>7.1779999999999999</v>
      </c>
      <c r="H1005" s="21">
        <f t="shared" si="33"/>
        <v>1.8143754361479303E-3</v>
      </c>
    </row>
    <row r="1006" spans="2:8" x14ac:dyDescent="0.25">
      <c r="B1006" s="30">
        <v>45274</v>
      </c>
      <c r="C1006" s="31">
        <v>21182.7</v>
      </c>
      <c r="D1006" s="21">
        <f t="shared" si="32"/>
        <v>1.2250105727946048E-2</v>
      </c>
      <c r="F1006" s="30">
        <v>45306</v>
      </c>
      <c r="G1006" s="32">
        <v>7.1479999999999997</v>
      </c>
      <c r="H1006" s="21">
        <f t="shared" si="33"/>
        <v>-4.1794371691279419E-3</v>
      </c>
    </row>
    <row r="1007" spans="2:8" x14ac:dyDescent="0.25">
      <c r="B1007" s="30">
        <v>45275</v>
      </c>
      <c r="C1007" s="31">
        <v>21456.65</v>
      </c>
      <c r="D1007" s="21">
        <f t="shared" si="32"/>
        <v>1.2932723401643864E-2</v>
      </c>
      <c r="F1007" s="30">
        <v>45307</v>
      </c>
      <c r="G1007" s="32">
        <v>7.1459999999999999</v>
      </c>
      <c r="H1007" s="21">
        <f t="shared" si="33"/>
        <v>-2.7979854504756041E-4</v>
      </c>
    </row>
    <row r="1008" spans="2:8" x14ac:dyDescent="0.25">
      <c r="B1008" s="30">
        <v>45278</v>
      </c>
      <c r="C1008" s="31">
        <v>21418.65</v>
      </c>
      <c r="D1008" s="21">
        <f t="shared" si="32"/>
        <v>-1.7710127163373945E-3</v>
      </c>
      <c r="F1008" s="30">
        <v>45308</v>
      </c>
      <c r="G1008" s="32">
        <v>7.1630000000000003</v>
      </c>
      <c r="H1008" s="21">
        <f t="shared" si="33"/>
        <v>2.378953260565364E-3</v>
      </c>
    </row>
    <row r="1009" spans="2:8" x14ac:dyDescent="0.25">
      <c r="B1009" s="30">
        <v>45279</v>
      </c>
      <c r="C1009" s="31">
        <v>21453.1</v>
      </c>
      <c r="D1009" s="21">
        <f t="shared" si="32"/>
        <v>1.6084113611267714E-3</v>
      </c>
      <c r="F1009" s="30">
        <v>45309</v>
      </c>
      <c r="G1009" s="32">
        <v>7.1779999999999999</v>
      </c>
      <c r="H1009" s="21">
        <f t="shared" si="33"/>
        <v>2.0940946530783044E-3</v>
      </c>
    </row>
    <row r="1010" spans="2:8" x14ac:dyDescent="0.25">
      <c r="B1010" s="30">
        <v>45280</v>
      </c>
      <c r="C1010" s="31">
        <v>21150.15</v>
      </c>
      <c r="D1010" s="21">
        <f t="shared" si="32"/>
        <v>-1.4121502253753415E-2</v>
      </c>
      <c r="F1010" s="30">
        <v>45310</v>
      </c>
      <c r="G1010" s="32">
        <v>7.1840000000000002</v>
      </c>
      <c r="H1010" s="21">
        <f t="shared" si="33"/>
        <v>8.3588743382567721E-4</v>
      </c>
    </row>
    <row r="1011" spans="2:8" x14ac:dyDescent="0.25">
      <c r="B1011" s="30">
        <v>45281</v>
      </c>
      <c r="C1011" s="31">
        <v>21255.05</v>
      </c>
      <c r="D1011" s="21">
        <f t="shared" si="32"/>
        <v>4.9597756989903097E-3</v>
      </c>
      <c r="F1011" s="30">
        <v>45314</v>
      </c>
      <c r="G1011" s="32">
        <v>7.1740000000000004</v>
      </c>
      <c r="H1011" s="21">
        <f t="shared" si="33"/>
        <v>-1.3919821826280376E-3</v>
      </c>
    </row>
    <row r="1012" spans="2:8" x14ac:dyDescent="0.25">
      <c r="B1012" s="30">
        <v>45282</v>
      </c>
      <c r="C1012" s="31">
        <v>21349.4</v>
      </c>
      <c r="D1012" s="21">
        <f t="shared" si="32"/>
        <v>4.4389450977533329E-3</v>
      </c>
      <c r="F1012" s="30">
        <v>45315</v>
      </c>
      <c r="G1012" s="32">
        <v>7.181</v>
      </c>
      <c r="H1012" s="21">
        <f t="shared" si="33"/>
        <v>9.7574574853642737E-4</v>
      </c>
    </row>
    <row r="1013" spans="2:8" x14ac:dyDescent="0.25">
      <c r="B1013" s="30">
        <v>45286</v>
      </c>
      <c r="C1013" s="31">
        <v>21441.35</v>
      </c>
      <c r="D1013" s="21">
        <f t="shared" si="32"/>
        <v>4.306912606443225E-3</v>
      </c>
      <c r="F1013" s="30">
        <v>45316</v>
      </c>
      <c r="G1013" s="32">
        <v>7.1710000000000003</v>
      </c>
      <c r="H1013" s="21">
        <f t="shared" si="33"/>
        <v>-1.3925637097896848E-3</v>
      </c>
    </row>
    <row r="1014" spans="2:8" x14ac:dyDescent="0.25">
      <c r="B1014" s="30">
        <v>45287</v>
      </c>
      <c r="C1014" s="31">
        <v>21654.75</v>
      </c>
      <c r="D1014" s="21">
        <f t="shared" si="32"/>
        <v>9.9527315211029865E-3</v>
      </c>
      <c r="F1014" s="30">
        <v>45320</v>
      </c>
      <c r="G1014" s="32">
        <v>7.1710000000000003</v>
      </c>
      <c r="H1014" s="21">
        <f t="shared" si="33"/>
        <v>0</v>
      </c>
    </row>
    <row r="1015" spans="2:8" x14ac:dyDescent="0.25">
      <c r="B1015" s="30">
        <v>45288</v>
      </c>
      <c r="C1015" s="31">
        <v>21778.7</v>
      </c>
      <c r="D1015" s="21">
        <f t="shared" si="32"/>
        <v>5.7239173853311787E-3</v>
      </c>
      <c r="F1015" s="30">
        <v>45321</v>
      </c>
      <c r="G1015" s="32">
        <v>7.1550000000000002</v>
      </c>
      <c r="H1015" s="21">
        <f t="shared" si="33"/>
        <v>-2.2312090363966197E-3</v>
      </c>
    </row>
    <row r="1016" spans="2:8" x14ac:dyDescent="0.25">
      <c r="B1016" s="30">
        <v>45289</v>
      </c>
      <c r="C1016" s="31">
        <v>21731.4</v>
      </c>
      <c r="D1016" s="21">
        <f t="shared" si="32"/>
        <v>-2.1718468044464867E-3</v>
      </c>
      <c r="F1016" s="30">
        <v>45322</v>
      </c>
      <c r="G1016" s="32">
        <v>7.1440000000000001</v>
      </c>
      <c r="H1016" s="21">
        <f t="shared" si="33"/>
        <v>-1.5373864430467954E-3</v>
      </c>
    </row>
    <row r="1017" spans="2:8" x14ac:dyDescent="0.25">
      <c r="B1017" s="30"/>
      <c r="C1017" s="31"/>
      <c r="D1017" s="21"/>
      <c r="F1017" s="30">
        <v>45323</v>
      </c>
      <c r="G1017" s="32">
        <v>7.0640000000000001</v>
      </c>
      <c r="H1017" s="21">
        <f t="shared" si="33"/>
        <v>-1.1198208286674172E-2</v>
      </c>
    </row>
    <row r="1018" spans="2:8" x14ac:dyDescent="0.25">
      <c r="B1018" s="30">
        <v>45292</v>
      </c>
      <c r="C1018" s="31">
        <v>21741.9</v>
      </c>
      <c r="D1018" s="21">
        <f>C1018/C1016-1</f>
        <v>4.8317181589774272E-4</v>
      </c>
      <c r="F1018" s="30">
        <v>45324</v>
      </c>
      <c r="G1018" s="32">
        <v>7.05</v>
      </c>
      <c r="H1018" s="21">
        <f t="shared" si="33"/>
        <v>-1.9818799546998944E-3</v>
      </c>
    </row>
    <row r="1019" spans="2:8" x14ac:dyDescent="0.25">
      <c r="B1019" s="30">
        <v>45293</v>
      </c>
      <c r="C1019" s="31">
        <v>21665.8</v>
      </c>
      <c r="D1019" s="21">
        <f t="shared" si="32"/>
        <v>-3.5001540803702991E-3</v>
      </c>
      <c r="F1019" s="30">
        <v>45327</v>
      </c>
      <c r="G1019" s="32">
        <v>7.0910000000000002</v>
      </c>
      <c r="H1019" s="21">
        <f t="shared" si="33"/>
        <v>5.8156028368794299E-3</v>
      </c>
    </row>
    <row r="1020" spans="2:8" x14ac:dyDescent="0.25">
      <c r="B1020" s="30">
        <v>45294</v>
      </c>
      <c r="C1020" s="31">
        <v>21517.35</v>
      </c>
      <c r="D1020" s="21">
        <f t="shared" si="32"/>
        <v>-6.8518125340398806E-3</v>
      </c>
      <c r="F1020" s="30">
        <v>45328</v>
      </c>
      <c r="G1020" s="32">
        <v>7.0919999999999996</v>
      </c>
      <c r="H1020" s="21">
        <f t="shared" si="33"/>
        <v>1.4102383302772026E-4</v>
      </c>
    </row>
    <row r="1021" spans="2:8" x14ac:dyDescent="0.25">
      <c r="B1021" s="30">
        <v>45295</v>
      </c>
      <c r="C1021" s="31">
        <v>21658.6</v>
      </c>
      <c r="D1021" s="21">
        <f t="shared" si="32"/>
        <v>6.5644700671783074E-3</v>
      </c>
      <c r="F1021" s="30">
        <v>45329</v>
      </c>
      <c r="G1021" s="32">
        <v>7.0739999999999998</v>
      </c>
      <c r="H1021" s="21">
        <f t="shared" si="33"/>
        <v>-2.5380710659897998E-3</v>
      </c>
    </row>
    <row r="1022" spans="2:8" x14ac:dyDescent="0.25">
      <c r="B1022" s="30">
        <v>45296</v>
      </c>
      <c r="C1022" s="31">
        <v>21710.799999999999</v>
      </c>
      <c r="D1022" s="21">
        <f t="shared" si="32"/>
        <v>2.4101280784538659E-3</v>
      </c>
      <c r="F1022" s="30">
        <v>45330</v>
      </c>
      <c r="G1022" s="32">
        <v>7.0819999999999999</v>
      </c>
      <c r="H1022" s="21">
        <f t="shared" si="33"/>
        <v>1.130901894260683E-3</v>
      </c>
    </row>
    <row r="1023" spans="2:8" x14ac:dyDescent="0.25">
      <c r="B1023" s="30">
        <v>45299</v>
      </c>
      <c r="C1023" s="31">
        <v>21513</v>
      </c>
      <c r="D1023" s="21">
        <f t="shared" si="32"/>
        <v>-9.1106730290915205E-3</v>
      </c>
      <c r="F1023" s="30">
        <v>45331</v>
      </c>
      <c r="G1023" s="32">
        <v>7.1139999999999999</v>
      </c>
      <c r="H1023" s="21">
        <f t="shared" si="33"/>
        <v>4.5184975995482546E-3</v>
      </c>
    </row>
    <row r="1024" spans="2:8" x14ac:dyDescent="0.25">
      <c r="B1024" s="30">
        <v>45300</v>
      </c>
      <c r="C1024" s="31">
        <v>21544.85</v>
      </c>
      <c r="D1024" s="21">
        <f t="shared" si="32"/>
        <v>1.4805001626922998E-3</v>
      </c>
      <c r="F1024" s="30">
        <v>45334</v>
      </c>
      <c r="G1024" s="32">
        <v>7.0970000000000004</v>
      </c>
      <c r="H1024" s="21">
        <f t="shared" si="33"/>
        <v>-2.389654202979985E-3</v>
      </c>
    </row>
    <row r="1025" spans="2:8" x14ac:dyDescent="0.25">
      <c r="B1025" s="30">
        <v>45301</v>
      </c>
      <c r="C1025" s="31">
        <v>21618.7</v>
      </c>
      <c r="D1025" s="21">
        <f t="shared" si="32"/>
        <v>3.4277333098164942E-3</v>
      </c>
      <c r="F1025" s="30">
        <v>45335</v>
      </c>
      <c r="G1025" s="32">
        <v>7.0970000000000004</v>
      </c>
      <c r="H1025" s="21">
        <f t="shared" si="33"/>
        <v>0</v>
      </c>
    </row>
    <row r="1026" spans="2:8" x14ac:dyDescent="0.25">
      <c r="B1026" s="30">
        <v>45302</v>
      </c>
      <c r="C1026" s="31">
        <v>21647.200000000001</v>
      </c>
      <c r="D1026" s="21">
        <f t="shared" si="32"/>
        <v>1.3183031357111297E-3</v>
      </c>
      <c r="F1026" s="30">
        <v>45336</v>
      </c>
      <c r="G1026" s="32">
        <v>7.1139999999999999</v>
      </c>
      <c r="H1026" s="21">
        <f t="shared" si="33"/>
        <v>2.3953783288712671E-3</v>
      </c>
    </row>
    <row r="1027" spans="2:8" x14ac:dyDescent="0.25">
      <c r="B1027" s="30">
        <v>45303</v>
      </c>
      <c r="C1027" s="31">
        <v>21894.55</v>
      </c>
      <c r="D1027" s="21">
        <f t="shared" si="32"/>
        <v>1.1426420045086649E-2</v>
      </c>
      <c r="F1027" s="30">
        <v>45337</v>
      </c>
      <c r="G1027" s="32">
        <v>7.085</v>
      </c>
      <c r="H1027" s="21">
        <f t="shared" si="33"/>
        <v>-4.0764689344953142E-3</v>
      </c>
    </row>
    <row r="1028" spans="2:8" x14ac:dyDescent="0.25">
      <c r="B1028" s="30">
        <v>45306</v>
      </c>
      <c r="C1028" s="31">
        <v>22097.45</v>
      </c>
      <c r="D1028" s="21">
        <f t="shared" si="32"/>
        <v>9.2671463903117868E-3</v>
      </c>
      <c r="F1028" s="30">
        <v>45338</v>
      </c>
      <c r="G1028" s="32">
        <v>7.0990000000000002</v>
      </c>
      <c r="H1028" s="21">
        <f t="shared" si="33"/>
        <v>1.9760056457305275E-3</v>
      </c>
    </row>
    <row r="1029" spans="2:8" x14ac:dyDescent="0.25">
      <c r="B1029" s="30">
        <v>45307</v>
      </c>
      <c r="C1029" s="31">
        <v>22032.3</v>
      </c>
      <c r="D1029" s="21">
        <f t="shared" si="32"/>
        <v>-2.9483039898269281E-3</v>
      </c>
      <c r="F1029" s="30">
        <v>45342</v>
      </c>
      <c r="G1029" s="32">
        <v>7.0620000000000003</v>
      </c>
      <c r="H1029" s="21">
        <f t="shared" si="33"/>
        <v>-5.2120016903789423E-3</v>
      </c>
    </row>
    <row r="1030" spans="2:8" x14ac:dyDescent="0.25">
      <c r="B1030" s="30">
        <v>45308</v>
      </c>
      <c r="C1030" s="31">
        <v>21571.95</v>
      </c>
      <c r="D1030" s="21">
        <f t="shared" si="32"/>
        <v>-2.0894323334377241E-2</v>
      </c>
      <c r="F1030" s="30">
        <v>45343</v>
      </c>
      <c r="G1030" s="32">
        <v>7.0449999999999999</v>
      </c>
      <c r="H1030" s="21">
        <f t="shared" si="33"/>
        <v>-2.4072500708015587E-3</v>
      </c>
    </row>
    <row r="1031" spans="2:8" x14ac:dyDescent="0.25">
      <c r="B1031" s="30">
        <v>45309</v>
      </c>
      <c r="C1031" s="31">
        <v>21462.25</v>
      </c>
      <c r="D1031" s="21">
        <f t="shared" si="32"/>
        <v>-5.0853075405793424E-3</v>
      </c>
      <c r="F1031" s="30">
        <v>45344</v>
      </c>
      <c r="G1031" s="32">
        <v>7.0620000000000003</v>
      </c>
      <c r="H1031" s="21">
        <f t="shared" si="33"/>
        <v>2.4130589070263664E-3</v>
      </c>
    </row>
    <row r="1032" spans="2:8" x14ac:dyDescent="0.25">
      <c r="B1032" s="30">
        <v>45310</v>
      </c>
      <c r="C1032" s="31">
        <v>21622.400000000001</v>
      </c>
      <c r="D1032" s="21">
        <f t="shared" si="32"/>
        <v>7.4619389858938678E-3</v>
      </c>
      <c r="F1032" s="30">
        <v>45345</v>
      </c>
      <c r="G1032" s="32">
        <v>7.077</v>
      </c>
      <c r="H1032" s="21">
        <f t="shared" si="33"/>
        <v>2.1240441801189114E-3</v>
      </c>
    </row>
    <row r="1033" spans="2:8" x14ac:dyDescent="0.25">
      <c r="B1033" s="30">
        <v>45311</v>
      </c>
      <c r="C1033" s="31">
        <v>21571.8</v>
      </c>
      <c r="D1033" s="21">
        <f t="shared" si="32"/>
        <v>-2.3401657540329523E-3</v>
      </c>
      <c r="F1033" s="30">
        <v>45348</v>
      </c>
      <c r="G1033" s="32">
        <v>7.0629999999999997</v>
      </c>
      <c r="H1033" s="21">
        <f t="shared" si="33"/>
        <v>-1.9782393669633969E-3</v>
      </c>
    </row>
    <row r="1034" spans="2:8" x14ac:dyDescent="0.25">
      <c r="B1034" s="30">
        <v>45314</v>
      </c>
      <c r="C1034" s="31">
        <v>21238.799999999999</v>
      </c>
      <c r="D1034" s="21">
        <f t="shared" si="32"/>
        <v>-1.5436820293160514E-2</v>
      </c>
      <c r="F1034" s="30">
        <v>45349</v>
      </c>
      <c r="G1034" s="32">
        <v>7.0679999999999996</v>
      </c>
      <c r="H1034" s="21">
        <f t="shared" si="33"/>
        <v>7.0791448393037193E-4</v>
      </c>
    </row>
    <row r="1035" spans="2:8" x14ac:dyDescent="0.25">
      <c r="B1035" s="30">
        <v>45315</v>
      </c>
      <c r="C1035" s="31">
        <v>21453.95</v>
      </c>
      <c r="D1035" s="21">
        <f t="shared" si="32"/>
        <v>1.0130045011959243E-2</v>
      </c>
      <c r="F1035" s="30">
        <v>45350</v>
      </c>
      <c r="G1035" s="32">
        <v>7.0650000000000004</v>
      </c>
      <c r="H1035" s="21">
        <f t="shared" si="33"/>
        <v>-4.2444821731735249E-4</v>
      </c>
    </row>
    <row r="1036" spans="2:8" x14ac:dyDescent="0.25">
      <c r="B1036" s="30">
        <v>45316</v>
      </c>
      <c r="C1036" s="31">
        <v>21352.6</v>
      </c>
      <c r="D1036" s="21">
        <f t="shared" si="32"/>
        <v>-4.7240717909756702E-3</v>
      </c>
      <c r="F1036" s="30">
        <v>45351</v>
      </c>
      <c r="G1036" s="32">
        <v>7.0780000000000003</v>
      </c>
      <c r="H1036" s="21">
        <f t="shared" si="33"/>
        <v>1.8400566171266064E-3</v>
      </c>
    </row>
    <row r="1037" spans="2:8" x14ac:dyDescent="0.25">
      <c r="B1037" s="30">
        <v>45320</v>
      </c>
      <c r="C1037" s="31">
        <v>21737.599999999999</v>
      </c>
      <c r="D1037" s="21">
        <f t="shared" si="32"/>
        <v>1.8030591122392581E-2</v>
      </c>
      <c r="F1037" s="30">
        <v>45352</v>
      </c>
      <c r="G1037" s="32">
        <v>7.06</v>
      </c>
      <c r="H1037" s="21">
        <f t="shared" si="33"/>
        <v>-2.5430912687200991E-3</v>
      </c>
    </row>
    <row r="1038" spans="2:8" x14ac:dyDescent="0.25">
      <c r="B1038" s="30">
        <v>45321</v>
      </c>
      <c r="C1038" s="31">
        <v>21522.1</v>
      </c>
      <c r="D1038" s="21">
        <f t="shared" si="32"/>
        <v>-9.9136979243338308E-3</v>
      </c>
      <c r="F1038" s="30">
        <v>45355</v>
      </c>
      <c r="G1038" s="32">
        <v>7.06</v>
      </c>
      <c r="H1038" s="21">
        <f t="shared" si="33"/>
        <v>0</v>
      </c>
    </row>
    <row r="1039" spans="2:8" x14ac:dyDescent="0.25">
      <c r="B1039" s="30">
        <v>45322</v>
      </c>
      <c r="C1039" s="31">
        <v>21725.7</v>
      </c>
      <c r="D1039" s="21">
        <f t="shared" si="32"/>
        <v>9.4600433972522602E-3</v>
      </c>
      <c r="F1039" s="30">
        <v>45356</v>
      </c>
      <c r="G1039" s="32">
        <v>7.0570000000000004</v>
      </c>
      <c r="H1039" s="21">
        <f t="shared" si="33"/>
        <v>-4.2492917847014589E-4</v>
      </c>
    </row>
    <row r="1040" spans="2:8" x14ac:dyDescent="0.25">
      <c r="B1040" s="30">
        <v>45323</v>
      </c>
      <c r="C1040" s="31">
        <v>21697.45</v>
      </c>
      <c r="D1040" s="21">
        <f t="shared" si="32"/>
        <v>-1.3003033273956133E-3</v>
      </c>
      <c r="F1040" s="30">
        <v>45357</v>
      </c>
      <c r="G1040" s="32">
        <v>7.0540000000000003</v>
      </c>
      <c r="H1040" s="21">
        <f t="shared" si="33"/>
        <v>-4.2510982003685083E-4</v>
      </c>
    </row>
    <row r="1041" spans="2:8" x14ac:dyDescent="0.25">
      <c r="B1041" s="30">
        <v>45324</v>
      </c>
      <c r="C1041" s="31">
        <v>21853.8</v>
      </c>
      <c r="D1041" s="21">
        <f t="shared" si="32"/>
        <v>7.2059159025599229E-3</v>
      </c>
      <c r="F1041" s="30">
        <v>45358</v>
      </c>
      <c r="G1041" s="32">
        <v>7.0309999999999997</v>
      </c>
      <c r="H1041" s="21">
        <f t="shared" si="33"/>
        <v>-3.2605613836121927E-3</v>
      </c>
    </row>
    <row r="1042" spans="2:8" x14ac:dyDescent="0.25">
      <c r="B1042" s="30">
        <v>45327</v>
      </c>
      <c r="C1042" s="31">
        <v>21771.7</v>
      </c>
      <c r="D1042" s="21">
        <f t="shared" si="32"/>
        <v>-3.756783717248191E-3</v>
      </c>
      <c r="F1042" s="30">
        <v>45362</v>
      </c>
      <c r="G1042" s="32">
        <v>7.0140000000000002</v>
      </c>
      <c r="H1042" s="21">
        <f t="shared" si="33"/>
        <v>-2.4178637462664021E-3</v>
      </c>
    </row>
    <row r="1043" spans="2:8" x14ac:dyDescent="0.25">
      <c r="B1043" s="30">
        <v>45328</v>
      </c>
      <c r="C1043" s="31">
        <v>21929.4</v>
      </c>
      <c r="D1043" s="21">
        <f t="shared" si="32"/>
        <v>7.2433480160023489E-3</v>
      </c>
      <c r="F1043" s="30">
        <v>45363</v>
      </c>
      <c r="G1043" s="32">
        <v>7.0259999999999998</v>
      </c>
      <c r="H1043" s="21">
        <f t="shared" si="33"/>
        <v>1.7108639863130382E-3</v>
      </c>
    </row>
    <row r="1044" spans="2:8" x14ac:dyDescent="0.25">
      <c r="B1044" s="30">
        <v>45329</v>
      </c>
      <c r="C1044" s="31">
        <v>21930.5</v>
      </c>
      <c r="D1044" s="21">
        <f t="shared" si="32"/>
        <v>5.0160971116319786E-5</v>
      </c>
      <c r="F1044" s="30">
        <v>45364</v>
      </c>
      <c r="G1044" s="32">
        <v>7.0389999999999997</v>
      </c>
      <c r="H1044" s="21">
        <f t="shared" si="33"/>
        <v>1.8502704241389889E-3</v>
      </c>
    </row>
    <row r="1045" spans="2:8" x14ac:dyDescent="0.25">
      <c r="B1045" s="30">
        <v>45330</v>
      </c>
      <c r="C1045" s="31">
        <v>21717.95</v>
      </c>
      <c r="D1045" s="21">
        <f t="shared" si="32"/>
        <v>-9.6919814869701471E-3</v>
      </c>
      <c r="F1045" s="30">
        <v>45365</v>
      </c>
      <c r="G1045" s="32">
        <v>7.0410000000000004</v>
      </c>
      <c r="H1045" s="21">
        <f t="shared" si="33"/>
        <v>2.8413126864612614E-4</v>
      </c>
    </row>
    <row r="1046" spans="2:8" x14ac:dyDescent="0.25">
      <c r="B1046" s="30">
        <v>45331</v>
      </c>
      <c r="C1046" s="31">
        <v>21782.5</v>
      </c>
      <c r="D1046" s="21">
        <f t="shared" si="32"/>
        <v>2.9721958103781088E-3</v>
      </c>
      <c r="F1046" s="30">
        <v>45366</v>
      </c>
      <c r="G1046" s="32">
        <v>7.0620000000000003</v>
      </c>
      <c r="H1046" s="21">
        <f t="shared" si="33"/>
        <v>2.9825308904984915E-3</v>
      </c>
    </row>
    <row r="1047" spans="2:8" x14ac:dyDescent="0.25">
      <c r="B1047" s="30">
        <v>45334</v>
      </c>
      <c r="C1047" s="31">
        <v>21616.05</v>
      </c>
      <c r="D1047" s="21">
        <f t="shared" si="32"/>
        <v>-7.6414552966831417E-3</v>
      </c>
      <c r="F1047" s="30">
        <v>45369</v>
      </c>
      <c r="G1047" s="32">
        <v>7.0869999999999997</v>
      </c>
      <c r="H1047" s="21">
        <f t="shared" si="33"/>
        <v>3.540073633531593E-3</v>
      </c>
    </row>
    <row r="1048" spans="2:8" x14ac:dyDescent="0.25">
      <c r="B1048" s="30">
        <v>45335</v>
      </c>
      <c r="C1048" s="31">
        <v>21743.25</v>
      </c>
      <c r="D1048" s="21">
        <f t="shared" si="32"/>
        <v>5.8845163663112654E-3</v>
      </c>
      <c r="F1048" s="30">
        <v>45370</v>
      </c>
      <c r="G1048" s="32">
        <v>7.0949999999999998</v>
      </c>
      <c r="H1048" s="21">
        <f t="shared" si="33"/>
        <v>1.1288274305065737E-3</v>
      </c>
    </row>
    <row r="1049" spans="2:8" x14ac:dyDescent="0.25">
      <c r="B1049" s="30">
        <v>45336</v>
      </c>
      <c r="C1049" s="31">
        <v>21840.05</v>
      </c>
      <c r="D1049" s="21">
        <f t="shared" ref="D1049:D1112" si="34">C1049/C1048-1</f>
        <v>4.4519563542708696E-3</v>
      </c>
      <c r="F1049" s="30">
        <v>45371</v>
      </c>
      <c r="G1049" s="32">
        <v>7.0970000000000004</v>
      </c>
      <c r="H1049" s="21">
        <f t="shared" ref="H1049:H1112" si="35">G1049/G1048-1</f>
        <v>2.8188865398171004E-4</v>
      </c>
    </row>
    <row r="1050" spans="2:8" x14ac:dyDescent="0.25">
      <c r="B1050" s="30">
        <v>45337</v>
      </c>
      <c r="C1050" s="31">
        <v>21910.75</v>
      </c>
      <c r="D1050" s="21">
        <f t="shared" si="34"/>
        <v>3.2371720760713263E-3</v>
      </c>
      <c r="F1050" s="30">
        <v>45372</v>
      </c>
      <c r="G1050" s="32">
        <v>7.05</v>
      </c>
      <c r="H1050" s="21">
        <f t="shared" si="35"/>
        <v>-6.6225165562914245E-3</v>
      </c>
    </row>
    <row r="1051" spans="2:8" x14ac:dyDescent="0.25">
      <c r="B1051" s="30">
        <v>45338</v>
      </c>
      <c r="C1051" s="31">
        <v>22040.7</v>
      </c>
      <c r="D1051" s="21">
        <f t="shared" si="34"/>
        <v>5.9308786782743539E-3</v>
      </c>
      <c r="F1051" s="30">
        <v>45373</v>
      </c>
      <c r="G1051" s="32">
        <v>7.0869999999999997</v>
      </c>
      <c r="H1051" s="21">
        <f t="shared" si="35"/>
        <v>5.2482269503546508E-3</v>
      </c>
    </row>
    <row r="1052" spans="2:8" x14ac:dyDescent="0.25">
      <c r="B1052" s="30">
        <v>45341</v>
      </c>
      <c r="C1052" s="31">
        <v>22122.25</v>
      </c>
      <c r="D1052" s="21">
        <f t="shared" si="34"/>
        <v>3.6999732313400813E-3</v>
      </c>
      <c r="F1052" s="30">
        <v>45377</v>
      </c>
      <c r="G1052" s="32">
        <v>7.0890000000000004</v>
      </c>
      <c r="H1052" s="21">
        <f t="shared" si="35"/>
        <v>2.8220685762669895E-4</v>
      </c>
    </row>
    <row r="1053" spans="2:8" x14ac:dyDescent="0.25">
      <c r="B1053" s="30">
        <v>45342</v>
      </c>
      <c r="C1053" s="31">
        <v>22196.95</v>
      </c>
      <c r="D1053" s="21">
        <f t="shared" si="34"/>
        <v>3.3766908881329716E-3</v>
      </c>
      <c r="F1053" s="30">
        <v>45378</v>
      </c>
      <c r="G1053" s="32">
        <v>7.0720000000000001</v>
      </c>
      <c r="H1053" s="21">
        <f t="shared" si="35"/>
        <v>-2.3980815347722784E-3</v>
      </c>
    </row>
    <row r="1054" spans="2:8" x14ac:dyDescent="0.25">
      <c r="B1054" s="30">
        <v>45343</v>
      </c>
      <c r="C1054" s="31">
        <v>22055.05</v>
      </c>
      <c r="D1054" s="21">
        <f t="shared" si="34"/>
        <v>-6.3927701778848656E-3</v>
      </c>
      <c r="F1054" s="30">
        <v>45379</v>
      </c>
      <c r="G1054" s="32">
        <v>7.0519999999999996</v>
      </c>
      <c r="H1054" s="21">
        <f t="shared" si="35"/>
        <v>-2.8280542986426349E-3</v>
      </c>
    </row>
    <row r="1055" spans="2:8" x14ac:dyDescent="0.25">
      <c r="B1055" s="30">
        <v>45344</v>
      </c>
      <c r="C1055" s="31">
        <v>22217.45</v>
      </c>
      <c r="D1055" s="21">
        <f t="shared" si="34"/>
        <v>7.3633929644232321E-3</v>
      </c>
      <c r="F1055" s="30">
        <v>45384</v>
      </c>
      <c r="G1055" s="32">
        <v>7.1079999999999997</v>
      </c>
      <c r="H1055" s="21">
        <f t="shared" si="35"/>
        <v>7.9410096426546506E-3</v>
      </c>
    </row>
    <row r="1056" spans="2:8" x14ac:dyDescent="0.25">
      <c r="B1056" s="30">
        <v>45345</v>
      </c>
      <c r="C1056" s="31">
        <v>22212.7</v>
      </c>
      <c r="D1056" s="21">
        <f t="shared" si="34"/>
        <v>-2.1379591267223219E-4</v>
      </c>
      <c r="F1056" s="30">
        <v>45385</v>
      </c>
      <c r="G1056" s="32">
        <v>7.1040000000000001</v>
      </c>
      <c r="H1056" s="21">
        <f t="shared" si="35"/>
        <v>-5.6274620146312682E-4</v>
      </c>
    </row>
    <row r="1057" spans="2:8" x14ac:dyDescent="0.25">
      <c r="B1057" s="30">
        <v>45348</v>
      </c>
      <c r="C1057" s="31">
        <v>22122.05</v>
      </c>
      <c r="D1057" s="21">
        <f t="shared" si="34"/>
        <v>-4.0809987079464261E-3</v>
      </c>
      <c r="F1057" s="30">
        <v>45386</v>
      </c>
      <c r="G1057" s="32">
        <v>7.0940000000000003</v>
      </c>
      <c r="H1057" s="21">
        <f t="shared" si="35"/>
        <v>-1.4076576576576016E-3</v>
      </c>
    </row>
    <row r="1058" spans="2:8" x14ac:dyDescent="0.25">
      <c r="B1058" s="30">
        <v>45349</v>
      </c>
      <c r="C1058" s="31">
        <v>22198.35</v>
      </c>
      <c r="D1058" s="21">
        <f t="shared" si="34"/>
        <v>3.4490474436139618E-3</v>
      </c>
      <c r="F1058" s="30">
        <v>45387</v>
      </c>
      <c r="G1058" s="32">
        <v>7.117</v>
      </c>
      <c r="H1058" s="21">
        <f t="shared" si="35"/>
        <v>3.242176487172177E-3</v>
      </c>
    </row>
    <row r="1059" spans="2:8" x14ac:dyDescent="0.25">
      <c r="B1059" s="30">
        <v>45350</v>
      </c>
      <c r="C1059" s="31">
        <v>21951.15</v>
      </c>
      <c r="D1059" s="21">
        <f t="shared" si="34"/>
        <v>-1.1135962808046407E-2</v>
      </c>
      <c r="F1059" s="30">
        <v>45390</v>
      </c>
      <c r="G1059" s="32">
        <v>7.1539999999999999</v>
      </c>
      <c r="H1059" s="21">
        <f t="shared" si="35"/>
        <v>5.1988197274133174E-3</v>
      </c>
    </row>
    <row r="1060" spans="2:8" x14ac:dyDescent="0.25">
      <c r="B1060" s="30">
        <v>45351</v>
      </c>
      <c r="C1060" s="31">
        <v>21982.799999999999</v>
      </c>
      <c r="D1060" s="21">
        <f t="shared" si="34"/>
        <v>1.4418378991531977E-3</v>
      </c>
      <c r="F1060" s="30">
        <v>45392</v>
      </c>
      <c r="G1060" s="32">
        <v>7.1159999999999997</v>
      </c>
      <c r="H1060" s="21">
        <f t="shared" si="35"/>
        <v>-5.3117137265865644E-3</v>
      </c>
    </row>
    <row r="1061" spans="2:8" x14ac:dyDescent="0.25">
      <c r="B1061" s="30">
        <v>45352</v>
      </c>
      <c r="C1061" s="31">
        <v>22338.75</v>
      </c>
      <c r="D1061" s="21">
        <f t="shared" si="34"/>
        <v>1.6192204814673428E-2</v>
      </c>
      <c r="F1061" s="30">
        <v>45394</v>
      </c>
      <c r="G1061" s="32">
        <v>7.1790000000000003</v>
      </c>
      <c r="H1061" s="21">
        <f t="shared" si="35"/>
        <v>8.8532883642495896E-3</v>
      </c>
    </row>
    <row r="1062" spans="2:8" x14ac:dyDescent="0.25">
      <c r="B1062" s="30">
        <v>45353</v>
      </c>
      <c r="C1062" s="31">
        <v>22378.400000000001</v>
      </c>
      <c r="D1062" s="21">
        <f t="shared" si="34"/>
        <v>1.7749426445079486E-3</v>
      </c>
      <c r="F1062" s="30">
        <v>45397</v>
      </c>
      <c r="G1062" s="32">
        <v>7.1749999999999998</v>
      </c>
      <c r="H1062" s="21">
        <f t="shared" si="35"/>
        <v>-5.5718066583099191E-4</v>
      </c>
    </row>
    <row r="1063" spans="2:8" x14ac:dyDescent="0.25">
      <c r="B1063" s="30">
        <v>45355</v>
      </c>
      <c r="C1063" s="31">
        <v>22405.599999999999</v>
      </c>
      <c r="D1063" s="21">
        <f t="shared" si="34"/>
        <v>1.2154577628427088E-3</v>
      </c>
      <c r="F1063" s="30">
        <v>45398</v>
      </c>
      <c r="G1063" s="32">
        <v>7.1929999999999996</v>
      </c>
      <c r="H1063" s="21">
        <f t="shared" si="35"/>
        <v>2.5087108013936987E-3</v>
      </c>
    </row>
    <row r="1064" spans="2:8" x14ac:dyDescent="0.25">
      <c r="B1064" s="30">
        <v>45356</v>
      </c>
      <c r="C1064" s="31">
        <v>22356.3</v>
      </c>
      <c r="D1064" s="21">
        <f t="shared" si="34"/>
        <v>-2.2003427714499812E-3</v>
      </c>
      <c r="F1064" s="30">
        <v>45400</v>
      </c>
      <c r="G1064" s="32">
        <v>7.18</v>
      </c>
      <c r="H1064" s="21">
        <f t="shared" si="35"/>
        <v>-1.8073126650910432E-3</v>
      </c>
    </row>
    <row r="1065" spans="2:8" x14ac:dyDescent="0.25">
      <c r="B1065" s="30">
        <v>45357</v>
      </c>
      <c r="C1065" s="31">
        <v>22474.05</v>
      </c>
      <c r="D1065" s="21">
        <f t="shared" si="34"/>
        <v>5.2669717260906967E-3</v>
      </c>
      <c r="F1065" s="30">
        <v>45401</v>
      </c>
      <c r="G1065" s="32">
        <v>7.2249999999999996</v>
      </c>
      <c r="H1065" s="21">
        <f t="shared" si="35"/>
        <v>6.2674094707519945E-3</v>
      </c>
    </row>
    <row r="1066" spans="2:8" x14ac:dyDescent="0.25">
      <c r="B1066" s="30">
        <v>45358</v>
      </c>
      <c r="C1066" s="31">
        <v>22493.55</v>
      </c>
      <c r="D1066" s="21">
        <f t="shared" si="34"/>
        <v>8.6766737637411495E-4</v>
      </c>
      <c r="F1066" s="30">
        <v>45404</v>
      </c>
      <c r="G1066" s="32">
        <v>7.1920000000000002</v>
      </c>
      <c r="H1066" s="21">
        <f t="shared" si="35"/>
        <v>-4.5674740484428211E-3</v>
      </c>
    </row>
    <row r="1067" spans="2:8" x14ac:dyDescent="0.25">
      <c r="B1067" s="30">
        <v>45362</v>
      </c>
      <c r="C1067" s="31">
        <v>22332.65</v>
      </c>
      <c r="D1067" s="21">
        <f t="shared" si="34"/>
        <v>-7.1531616841271628E-3</v>
      </c>
      <c r="F1067" s="30">
        <v>45405</v>
      </c>
      <c r="G1067" s="32">
        <v>7.1669999999999998</v>
      </c>
      <c r="H1067" s="21">
        <f t="shared" si="35"/>
        <v>-3.4760845383760008E-3</v>
      </c>
    </row>
    <row r="1068" spans="2:8" x14ac:dyDescent="0.25">
      <c r="B1068" s="30">
        <v>45363</v>
      </c>
      <c r="C1068" s="31">
        <v>22335.7</v>
      </c>
      <c r="D1068" s="21">
        <f t="shared" si="34"/>
        <v>1.3657134285449679E-4</v>
      </c>
      <c r="F1068" s="30">
        <v>45406</v>
      </c>
      <c r="G1068" s="32">
        <v>7.1859999999999999</v>
      </c>
      <c r="H1068" s="21">
        <f t="shared" si="35"/>
        <v>2.6510394865355558E-3</v>
      </c>
    </row>
    <row r="1069" spans="2:8" x14ac:dyDescent="0.25">
      <c r="B1069" s="30">
        <v>45364</v>
      </c>
      <c r="C1069" s="31">
        <v>21997.7</v>
      </c>
      <c r="D1069" s="21">
        <f t="shared" si="34"/>
        <v>-1.5132724741109493E-2</v>
      </c>
      <c r="F1069" s="30">
        <v>45407</v>
      </c>
      <c r="G1069" s="32">
        <v>7.2039999999999997</v>
      </c>
      <c r="H1069" s="21">
        <f t="shared" si="35"/>
        <v>2.5048705816865802E-3</v>
      </c>
    </row>
    <row r="1070" spans="2:8" x14ac:dyDescent="0.25">
      <c r="B1070" s="30">
        <v>45365</v>
      </c>
      <c r="C1070" s="31">
        <v>22146.65</v>
      </c>
      <c r="D1070" s="21">
        <f t="shared" si="34"/>
        <v>6.7711624397095438E-3</v>
      </c>
      <c r="F1070" s="30">
        <v>45408</v>
      </c>
      <c r="G1070" s="32">
        <v>7.1989999999999998</v>
      </c>
      <c r="H1070" s="21">
        <f t="shared" si="35"/>
        <v>-6.9405885619100438E-4</v>
      </c>
    </row>
    <row r="1071" spans="2:8" x14ac:dyDescent="0.25">
      <c r="B1071" s="30">
        <v>45366</v>
      </c>
      <c r="C1071" s="31">
        <v>22023.35</v>
      </c>
      <c r="D1071" s="21">
        <f t="shared" si="34"/>
        <v>-5.5674334493028832E-3</v>
      </c>
      <c r="F1071" s="30">
        <v>45411</v>
      </c>
      <c r="G1071" s="32">
        <v>7.1959999999999997</v>
      </c>
      <c r="H1071" s="21">
        <f t="shared" si="35"/>
        <v>-4.1672454507568624E-4</v>
      </c>
    </row>
    <row r="1072" spans="2:8" x14ac:dyDescent="0.25">
      <c r="B1072" s="30">
        <v>45369</v>
      </c>
      <c r="C1072" s="31">
        <v>22055.7</v>
      </c>
      <c r="D1072" s="21">
        <f t="shared" si="34"/>
        <v>1.4688955131714199E-3</v>
      </c>
      <c r="F1072" s="30">
        <v>45412</v>
      </c>
      <c r="G1072" s="32">
        <v>7.1950000000000003</v>
      </c>
      <c r="H1072" s="21">
        <f t="shared" si="35"/>
        <v>-1.3896609227337375E-4</v>
      </c>
    </row>
    <row r="1073" spans="2:8" x14ac:dyDescent="0.25">
      <c r="B1073" s="30">
        <v>45370</v>
      </c>
      <c r="C1073" s="31">
        <v>21817.45</v>
      </c>
      <c r="D1073" s="21">
        <f t="shared" si="34"/>
        <v>-1.0802196257656771E-2</v>
      </c>
      <c r="F1073" s="30">
        <v>45414</v>
      </c>
      <c r="G1073" s="32">
        <v>7.1619999999999999</v>
      </c>
      <c r="H1073" s="21">
        <f t="shared" si="35"/>
        <v>-4.586518415566454E-3</v>
      </c>
    </row>
    <row r="1074" spans="2:8" x14ac:dyDescent="0.25">
      <c r="B1074" s="30">
        <v>45371</v>
      </c>
      <c r="C1074" s="31">
        <v>21839.1</v>
      </c>
      <c r="D1074" s="21">
        <f t="shared" si="34"/>
        <v>9.9232495089940365E-4</v>
      </c>
      <c r="F1074" s="30">
        <v>45415</v>
      </c>
      <c r="G1074" s="32">
        <v>7.149</v>
      </c>
      <c r="H1074" s="21">
        <f t="shared" si="35"/>
        <v>-1.8151354370287143E-3</v>
      </c>
    </row>
    <row r="1075" spans="2:8" x14ac:dyDescent="0.25">
      <c r="B1075" s="30">
        <v>45372</v>
      </c>
      <c r="C1075" s="31">
        <v>22011.95</v>
      </c>
      <c r="D1075" s="21">
        <f t="shared" si="34"/>
        <v>7.9147034447391018E-3</v>
      </c>
      <c r="F1075" s="30">
        <v>45418</v>
      </c>
      <c r="G1075" s="32">
        <v>7.1079999999999997</v>
      </c>
      <c r="H1075" s="21">
        <f t="shared" si="35"/>
        <v>-5.7350678416562273E-3</v>
      </c>
    </row>
    <row r="1076" spans="2:8" x14ac:dyDescent="0.25">
      <c r="B1076" s="30">
        <v>45373</v>
      </c>
      <c r="C1076" s="31">
        <v>22096.75</v>
      </c>
      <c r="D1076" s="21">
        <f t="shared" si="34"/>
        <v>3.8524528721899376E-3</v>
      </c>
      <c r="F1076" s="30">
        <v>45419</v>
      </c>
      <c r="G1076" s="32">
        <v>7.1289999999999996</v>
      </c>
      <c r="H1076" s="21">
        <f t="shared" si="35"/>
        <v>2.9544175576814435E-3</v>
      </c>
    </row>
    <row r="1077" spans="2:8" x14ac:dyDescent="0.25">
      <c r="B1077" s="30">
        <v>45377</v>
      </c>
      <c r="C1077" s="31">
        <v>22004.7</v>
      </c>
      <c r="D1077" s="21">
        <f t="shared" si="34"/>
        <v>-4.1657709844207247E-3</v>
      </c>
      <c r="F1077" s="30">
        <v>45420</v>
      </c>
      <c r="G1077" s="32">
        <v>7.1379999999999999</v>
      </c>
      <c r="H1077" s="21">
        <f t="shared" si="35"/>
        <v>1.2624491513537617E-3</v>
      </c>
    </row>
    <row r="1078" spans="2:8" x14ac:dyDescent="0.25">
      <c r="B1078" s="30">
        <v>45378</v>
      </c>
      <c r="C1078" s="31">
        <v>22123.65</v>
      </c>
      <c r="D1078" s="21">
        <f t="shared" si="34"/>
        <v>5.4056633355601402E-3</v>
      </c>
      <c r="F1078" s="30">
        <v>45421</v>
      </c>
      <c r="G1078" s="32">
        <v>7.1349999999999998</v>
      </c>
      <c r="H1078" s="21">
        <f t="shared" si="35"/>
        <v>-4.2028579434016944E-4</v>
      </c>
    </row>
    <row r="1079" spans="2:8" x14ac:dyDescent="0.25">
      <c r="B1079" s="30">
        <v>45379</v>
      </c>
      <c r="C1079" s="31">
        <v>22326.9</v>
      </c>
      <c r="D1079" s="21">
        <f t="shared" si="34"/>
        <v>9.1870012407537782E-3</v>
      </c>
      <c r="F1079" s="30">
        <v>45422</v>
      </c>
      <c r="G1079" s="32">
        <v>7.1269999999999998</v>
      </c>
      <c r="H1079" s="21">
        <f t="shared" si="35"/>
        <v>-1.1212333566923416E-3</v>
      </c>
    </row>
    <row r="1080" spans="2:8" x14ac:dyDescent="0.25">
      <c r="B1080" s="30">
        <v>45383</v>
      </c>
      <c r="C1080" s="31">
        <v>22462</v>
      </c>
      <c r="D1080" s="21">
        <f t="shared" si="34"/>
        <v>6.0509967796693598E-3</v>
      </c>
      <c r="F1080" s="30">
        <v>45425</v>
      </c>
      <c r="G1080" s="32">
        <v>7.1159999999999997</v>
      </c>
      <c r="H1080" s="21">
        <f t="shared" si="35"/>
        <v>-1.5434264066227499E-3</v>
      </c>
    </row>
    <row r="1081" spans="2:8" x14ac:dyDescent="0.25">
      <c r="B1081" s="30">
        <v>45384</v>
      </c>
      <c r="C1081" s="31">
        <v>22453.3</v>
      </c>
      <c r="D1081" s="21">
        <f t="shared" si="34"/>
        <v>-3.8732080847658779E-4</v>
      </c>
      <c r="F1081" s="30">
        <v>45426</v>
      </c>
      <c r="G1081" s="32">
        <v>7.109</v>
      </c>
      <c r="H1081" s="21">
        <f t="shared" si="35"/>
        <v>-9.8369870713876928E-4</v>
      </c>
    </row>
    <row r="1082" spans="2:8" x14ac:dyDescent="0.25">
      <c r="B1082" s="30">
        <v>45385</v>
      </c>
      <c r="C1082" s="31">
        <v>22434.65</v>
      </c>
      <c r="D1082" s="21">
        <f t="shared" si="34"/>
        <v>-8.306128720498851E-4</v>
      </c>
      <c r="F1082" s="30">
        <v>45427</v>
      </c>
      <c r="G1082" s="32">
        <v>7.0860000000000003</v>
      </c>
      <c r="H1082" s="21">
        <f t="shared" si="35"/>
        <v>-3.2353354902235898E-3</v>
      </c>
    </row>
    <row r="1083" spans="2:8" x14ac:dyDescent="0.25">
      <c r="B1083" s="30">
        <v>45386</v>
      </c>
      <c r="C1083" s="31">
        <v>22514.65</v>
      </c>
      <c r="D1083" s="21">
        <f t="shared" si="34"/>
        <v>3.5659125504521327E-3</v>
      </c>
      <c r="F1083" s="30">
        <v>45428</v>
      </c>
      <c r="G1083" s="32">
        <v>7.0759999999999996</v>
      </c>
      <c r="H1083" s="21">
        <f t="shared" si="35"/>
        <v>-1.4112334180074182E-3</v>
      </c>
    </row>
    <row r="1084" spans="2:8" x14ac:dyDescent="0.25">
      <c r="B1084" s="30">
        <v>45387</v>
      </c>
      <c r="C1084" s="31">
        <v>22513.7</v>
      </c>
      <c r="D1084" s="21">
        <f t="shared" si="34"/>
        <v>-4.2194748752555356E-5</v>
      </c>
      <c r="F1084" s="30">
        <v>45429</v>
      </c>
      <c r="G1084" s="32">
        <v>7.0949999999999998</v>
      </c>
      <c r="H1084" s="21">
        <f t="shared" si="35"/>
        <v>2.6851328434143173E-3</v>
      </c>
    </row>
    <row r="1085" spans="2:8" x14ac:dyDescent="0.25">
      <c r="B1085" s="30">
        <v>45390</v>
      </c>
      <c r="C1085" s="31">
        <v>22666.3</v>
      </c>
      <c r="D1085" s="21">
        <f t="shared" si="34"/>
        <v>6.7780951154186031E-3</v>
      </c>
      <c r="F1085" s="30">
        <v>45433</v>
      </c>
      <c r="G1085" s="32">
        <v>7.0780000000000003</v>
      </c>
      <c r="H1085" s="21">
        <f t="shared" si="35"/>
        <v>-2.3960535588442022E-3</v>
      </c>
    </row>
    <row r="1086" spans="2:8" x14ac:dyDescent="0.25">
      <c r="B1086" s="30">
        <v>45391</v>
      </c>
      <c r="C1086" s="31">
        <v>22642.75</v>
      </c>
      <c r="D1086" s="21">
        <f t="shared" si="34"/>
        <v>-1.0389873953843276E-3</v>
      </c>
      <c r="F1086" s="30">
        <v>45434</v>
      </c>
      <c r="G1086" s="32">
        <v>6.9969999999999999</v>
      </c>
      <c r="H1086" s="21">
        <f t="shared" si="35"/>
        <v>-1.1443910709240002E-2</v>
      </c>
    </row>
    <row r="1087" spans="2:8" x14ac:dyDescent="0.25">
      <c r="B1087" s="30">
        <v>45392</v>
      </c>
      <c r="C1087" s="31">
        <v>22753.8</v>
      </c>
      <c r="D1087" s="21">
        <f t="shared" si="34"/>
        <v>4.904439610913025E-3</v>
      </c>
      <c r="F1087" s="30">
        <v>45436</v>
      </c>
      <c r="G1087" s="32">
        <v>6.9980000000000002</v>
      </c>
      <c r="H1087" s="21">
        <f t="shared" si="35"/>
        <v>1.4291839359725778E-4</v>
      </c>
    </row>
    <row r="1088" spans="2:8" x14ac:dyDescent="0.25">
      <c r="B1088" s="30">
        <v>45394</v>
      </c>
      <c r="C1088" s="31">
        <v>22519.4</v>
      </c>
      <c r="D1088" s="21">
        <f t="shared" si="34"/>
        <v>-1.0301576000492085E-2</v>
      </c>
      <c r="F1088" s="30">
        <v>45439</v>
      </c>
      <c r="G1088" s="32">
        <v>6.9809999999999999</v>
      </c>
      <c r="H1088" s="21">
        <f t="shared" si="35"/>
        <v>-2.4292655044299005E-3</v>
      </c>
    </row>
    <row r="1089" spans="2:8" x14ac:dyDescent="0.25">
      <c r="B1089" s="30">
        <v>45397</v>
      </c>
      <c r="C1089" s="31">
        <v>22272.5</v>
      </c>
      <c r="D1089" s="21">
        <f t="shared" si="34"/>
        <v>-1.0963880032327733E-2</v>
      </c>
      <c r="F1089" s="30">
        <v>45440</v>
      </c>
      <c r="G1089" s="32">
        <v>6.9950000000000001</v>
      </c>
      <c r="H1089" s="21">
        <f t="shared" si="35"/>
        <v>2.0054433462255439E-3</v>
      </c>
    </row>
    <row r="1090" spans="2:8" x14ac:dyDescent="0.25">
      <c r="B1090" s="30">
        <v>45398</v>
      </c>
      <c r="C1090" s="31">
        <v>22147.9</v>
      </c>
      <c r="D1090" s="21">
        <f t="shared" si="34"/>
        <v>-5.5943427994162853E-3</v>
      </c>
      <c r="F1090" s="30">
        <v>45441</v>
      </c>
      <c r="G1090" s="32">
        <v>7.008</v>
      </c>
      <c r="H1090" s="21">
        <f t="shared" si="35"/>
        <v>1.8584703359543209E-3</v>
      </c>
    </row>
    <row r="1091" spans="2:8" x14ac:dyDescent="0.25">
      <c r="B1091" s="30">
        <v>45400</v>
      </c>
      <c r="C1091" s="31">
        <v>21995.85</v>
      </c>
      <c r="D1091" s="21">
        <f t="shared" si="34"/>
        <v>-6.8652106971768267E-3</v>
      </c>
      <c r="F1091" s="30">
        <v>45442</v>
      </c>
      <c r="G1091" s="32">
        <v>7.0030000000000001</v>
      </c>
      <c r="H1091" s="21">
        <f t="shared" si="35"/>
        <v>-7.1347031963464591E-4</v>
      </c>
    </row>
    <row r="1092" spans="2:8" x14ac:dyDescent="0.25">
      <c r="B1092" s="30">
        <v>45401</v>
      </c>
      <c r="C1092" s="31">
        <v>22147</v>
      </c>
      <c r="D1092" s="21">
        <f t="shared" si="34"/>
        <v>6.8717508075386569E-3</v>
      </c>
      <c r="F1092" s="30">
        <v>45443</v>
      </c>
      <c r="G1092" s="32">
        <v>6.9859999999999998</v>
      </c>
      <c r="H1092" s="21">
        <f t="shared" si="35"/>
        <v>-2.4275310581179932E-3</v>
      </c>
    </row>
    <row r="1093" spans="2:8" x14ac:dyDescent="0.25">
      <c r="B1093" s="30">
        <v>45404</v>
      </c>
      <c r="C1093" s="31">
        <v>22336.400000000001</v>
      </c>
      <c r="D1093" s="21">
        <f t="shared" si="34"/>
        <v>8.5519483451483858E-3</v>
      </c>
      <c r="F1093" s="30">
        <v>45446</v>
      </c>
      <c r="G1093" s="32">
        <v>6.9470000000000001</v>
      </c>
      <c r="H1093" s="21">
        <f t="shared" si="35"/>
        <v>-5.5825937589464303E-3</v>
      </c>
    </row>
    <row r="1094" spans="2:8" x14ac:dyDescent="0.25">
      <c r="B1094" s="30">
        <v>45405</v>
      </c>
      <c r="C1094" s="31">
        <v>22368</v>
      </c>
      <c r="D1094" s="21">
        <f t="shared" si="34"/>
        <v>1.4147311115488836E-3</v>
      </c>
      <c r="F1094" s="30">
        <v>45447</v>
      </c>
      <c r="G1094" s="32">
        <v>7.0330000000000004</v>
      </c>
      <c r="H1094" s="21">
        <f t="shared" si="35"/>
        <v>1.2379444364474024E-2</v>
      </c>
    </row>
    <row r="1095" spans="2:8" x14ac:dyDescent="0.25">
      <c r="B1095" s="30">
        <v>45406</v>
      </c>
      <c r="C1095" s="31">
        <v>22402.400000000001</v>
      </c>
      <c r="D1095" s="21">
        <f t="shared" si="34"/>
        <v>1.5379113018598733E-3</v>
      </c>
      <c r="F1095" s="30">
        <v>45448</v>
      </c>
      <c r="G1095" s="32">
        <v>7.0259999999999998</v>
      </c>
      <c r="H1095" s="21">
        <f t="shared" si="35"/>
        <v>-9.9530783449464089E-4</v>
      </c>
    </row>
    <row r="1096" spans="2:8" x14ac:dyDescent="0.25">
      <c r="B1096" s="30">
        <v>45407</v>
      </c>
      <c r="C1096" s="31">
        <v>22570.35</v>
      </c>
      <c r="D1096" s="21">
        <f t="shared" si="34"/>
        <v>7.496964610934409E-3</v>
      </c>
      <c r="F1096" s="30">
        <v>45449</v>
      </c>
      <c r="G1096" s="32">
        <v>7.0149999999999997</v>
      </c>
      <c r="H1096" s="21">
        <f t="shared" si="35"/>
        <v>-1.5656134358098539E-3</v>
      </c>
    </row>
    <row r="1097" spans="2:8" x14ac:dyDescent="0.25">
      <c r="B1097" s="30">
        <v>45408</v>
      </c>
      <c r="C1097" s="31">
        <v>22419.95</v>
      </c>
      <c r="D1097" s="21">
        <f t="shared" si="34"/>
        <v>-6.6636095585579369E-3</v>
      </c>
      <c r="F1097" s="30">
        <v>45450</v>
      </c>
      <c r="G1097" s="32">
        <v>7.0179999999999998</v>
      </c>
      <c r="H1097" s="21">
        <f t="shared" si="35"/>
        <v>4.2765502494646057E-4</v>
      </c>
    </row>
    <row r="1098" spans="2:8" x14ac:dyDescent="0.25">
      <c r="B1098" s="30">
        <v>45411</v>
      </c>
      <c r="C1098" s="31">
        <v>22643.4</v>
      </c>
      <c r="D1098" s="21">
        <f t="shared" si="34"/>
        <v>9.9665699522077933E-3</v>
      </c>
      <c r="F1098" s="30">
        <v>45453</v>
      </c>
      <c r="G1098" s="32">
        <v>7.032</v>
      </c>
      <c r="H1098" s="21">
        <f t="shared" si="35"/>
        <v>1.9948703334282669E-3</v>
      </c>
    </row>
    <row r="1099" spans="2:8" x14ac:dyDescent="0.25">
      <c r="B1099" s="30">
        <v>45412</v>
      </c>
      <c r="C1099" s="31">
        <v>22604.85</v>
      </c>
      <c r="D1099" s="21">
        <f t="shared" si="34"/>
        <v>-1.7024828426828176E-3</v>
      </c>
      <c r="F1099" s="30">
        <v>45454</v>
      </c>
      <c r="G1099" s="32">
        <v>7.0140000000000002</v>
      </c>
      <c r="H1099" s="21">
        <f t="shared" si="35"/>
        <v>-2.5597269624573205E-3</v>
      </c>
    </row>
    <row r="1100" spans="2:8" x14ac:dyDescent="0.25">
      <c r="B1100" s="30">
        <v>45414</v>
      </c>
      <c r="C1100" s="31">
        <v>22648.2</v>
      </c>
      <c r="D1100" s="21">
        <f t="shared" si="34"/>
        <v>1.917730044658672E-3</v>
      </c>
      <c r="F1100" s="30">
        <v>45455</v>
      </c>
      <c r="G1100" s="32">
        <v>7.0119999999999996</v>
      </c>
      <c r="H1100" s="21">
        <f t="shared" si="35"/>
        <v>-2.8514399771895071E-4</v>
      </c>
    </row>
    <row r="1101" spans="2:8" x14ac:dyDescent="0.25">
      <c r="B1101" s="30">
        <v>45415</v>
      </c>
      <c r="C1101" s="31">
        <v>22475.85</v>
      </c>
      <c r="D1101" s="21">
        <f t="shared" si="34"/>
        <v>-7.6098762815588472E-3</v>
      </c>
      <c r="F1101" s="30">
        <v>45456</v>
      </c>
      <c r="G1101" s="32">
        <v>6.9859999999999998</v>
      </c>
      <c r="H1101" s="21">
        <f t="shared" si="35"/>
        <v>-3.7079292641186701E-3</v>
      </c>
    </row>
    <row r="1102" spans="2:8" x14ac:dyDescent="0.25">
      <c r="B1102" s="30">
        <v>45418</v>
      </c>
      <c r="C1102" s="31">
        <v>22442.7</v>
      </c>
      <c r="D1102" s="21">
        <f t="shared" si="34"/>
        <v>-1.4749164102803025E-3</v>
      </c>
      <c r="F1102" s="30">
        <v>45457</v>
      </c>
      <c r="G1102" s="32">
        <v>6.984</v>
      </c>
      <c r="H1102" s="21">
        <f t="shared" si="35"/>
        <v>-2.8628685943310472E-4</v>
      </c>
    </row>
    <row r="1103" spans="2:8" x14ac:dyDescent="0.25">
      <c r="B1103" s="30">
        <v>45419</v>
      </c>
      <c r="C1103" s="31">
        <v>22302.5</v>
      </c>
      <c r="D1103" s="21">
        <f t="shared" si="34"/>
        <v>-6.2470201891929866E-3</v>
      </c>
      <c r="F1103" s="30">
        <v>45461</v>
      </c>
      <c r="G1103" s="32">
        <v>6.9809999999999999</v>
      </c>
      <c r="H1103" s="21">
        <f t="shared" si="35"/>
        <v>-4.2955326460480947E-4</v>
      </c>
    </row>
    <row r="1104" spans="2:8" x14ac:dyDescent="0.25">
      <c r="B1104" s="30">
        <v>45420</v>
      </c>
      <c r="C1104" s="31">
        <v>22302.5</v>
      </c>
      <c r="D1104" s="21">
        <f t="shared" si="34"/>
        <v>0</v>
      </c>
      <c r="F1104" s="30">
        <v>45462</v>
      </c>
      <c r="G1104" s="32">
        <v>6.9740000000000002</v>
      </c>
      <c r="H1104" s="21">
        <f t="shared" si="35"/>
        <v>-1.0027216731126609E-3</v>
      </c>
    </row>
    <row r="1105" spans="2:8" x14ac:dyDescent="0.25">
      <c r="B1105" s="30">
        <v>45421</v>
      </c>
      <c r="C1105" s="31">
        <v>21957.5</v>
      </c>
      <c r="D1105" s="21">
        <f t="shared" si="34"/>
        <v>-1.546911781190452E-2</v>
      </c>
      <c r="F1105" s="30">
        <v>45463</v>
      </c>
      <c r="G1105" s="32">
        <v>6.976</v>
      </c>
      <c r="H1105" s="21">
        <f t="shared" si="35"/>
        <v>2.8677946659017017E-4</v>
      </c>
    </row>
    <row r="1106" spans="2:8" x14ac:dyDescent="0.25">
      <c r="B1106" s="30">
        <v>45422</v>
      </c>
      <c r="C1106" s="31">
        <v>22055.200000000001</v>
      </c>
      <c r="D1106" s="21">
        <f t="shared" si="34"/>
        <v>4.4495047250370234E-3</v>
      </c>
      <c r="F1106" s="30">
        <v>45464</v>
      </c>
      <c r="G1106" s="32">
        <v>6.9729999999999999</v>
      </c>
      <c r="H1106" s="21">
        <f t="shared" si="35"/>
        <v>-4.3004587155970331E-4</v>
      </c>
    </row>
    <row r="1107" spans="2:8" x14ac:dyDescent="0.25">
      <c r="B1107" s="30">
        <v>45425</v>
      </c>
      <c r="C1107" s="31">
        <v>22104.05</v>
      </c>
      <c r="D1107" s="21">
        <f t="shared" si="34"/>
        <v>2.2148971671078765E-3</v>
      </c>
      <c r="F1107" s="30">
        <v>45467</v>
      </c>
      <c r="G1107" s="32">
        <v>6.9710000000000001</v>
      </c>
      <c r="H1107" s="21">
        <f t="shared" si="35"/>
        <v>-2.8682059371865076E-4</v>
      </c>
    </row>
    <row r="1108" spans="2:8" x14ac:dyDescent="0.25">
      <c r="B1108" s="30">
        <v>45426</v>
      </c>
      <c r="C1108" s="31">
        <v>22217.85</v>
      </c>
      <c r="D1108" s="21">
        <f t="shared" si="34"/>
        <v>5.1483777859713253E-3</v>
      </c>
      <c r="F1108" s="30">
        <v>45468</v>
      </c>
      <c r="G1108" s="32">
        <v>6.9829999999999997</v>
      </c>
      <c r="H1108" s="21">
        <f t="shared" si="35"/>
        <v>1.7214173002437771E-3</v>
      </c>
    </row>
    <row r="1109" spans="2:8" x14ac:dyDescent="0.25">
      <c r="B1109" s="30">
        <v>45427</v>
      </c>
      <c r="C1109" s="31">
        <v>22200.55</v>
      </c>
      <c r="D1109" s="21">
        <f t="shared" si="34"/>
        <v>-7.7865320001702099E-4</v>
      </c>
      <c r="F1109" s="30">
        <v>45469</v>
      </c>
      <c r="G1109" s="32">
        <v>6.9969999999999999</v>
      </c>
      <c r="H1109" s="21">
        <f t="shared" si="35"/>
        <v>2.0048689674925235E-3</v>
      </c>
    </row>
    <row r="1110" spans="2:8" x14ac:dyDescent="0.25">
      <c r="B1110" s="30">
        <v>45428</v>
      </c>
      <c r="C1110" s="31">
        <v>22403.85</v>
      </c>
      <c r="D1110" s="21">
        <f t="shared" si="34"/>
        <v>9.1574307843724778E-3</v>
      </c>
      <c r="F1110" s="30">
        <v>45470</v>
      </c>
      <c r="G1110" s="32">
        <v>7</v>
      </c>
      <c r="H1110" s="21">
        <f t="shared" si="35"/>
        <v>4.2875518079177333E-4</v>
      </c>
    </row>
    <row r="1111" spans="2:8" x14ac:dyDescent="0.25">
      <c r="B1111" s="30">
        <v>45429</v>
      </c>
      <c r="C1111" s="31">
        <v>22466.1</v>
      </c>
      <c r="D1111" s="21">
        <f t="shared" si="34"/>
        <v>2.7785402955295968E-3</v>
      </c>
      <c r="F1111" s="30">
        <v>45471</v>
      </c>
      <c r="G1111" s="32">
        <v>7.008</v>
      </c>
      <c r="H1111" s="21">
        <f t="shared" si="35"/>
        <v>1.1428571428571122E-3</v>
      </c>
    </row>
    <row r="1112" spans="2:8" x14ac:dyDescent="0.25">
      <c r="B1112" s="30">
        <v>45430</v>
      </c>
      <c r="C1112" s="31">
        <v>22502</v>
      </c>
      <c r="D1112" s="21">
        <f t="shared" si="34"/>
        <v>1.5979631533733496E-3</v>
      </c>
      <c r="F1112" s="30">
        <v>45474</v>
      </c>
      <c r="G1112" s="32">
        <v>7.0129999999999999</v>
      </c>
      <c r="H1112" s="21">
        <f t="shared" si="35"/>
        <v>7.1347031963475693E-4</v>
      </c>
    </row>
    <row r="1113" spans="2:8" x14ac:dyDescent="0.25">
      <c r="B1113" s="30">
        <v>45433</v>
      </c>
      <c r="C1113" s="31">
        <v>22529.05</v>
      </c>
      <c r="D1113" s="21">
        <f t="shared" ref="D1113:D1176" si="36">C1113/C1112-1</f>
        <v>1.2021153675227936E-3</v>
      </c>
      <c r="F1113" s="30">
        <v>45475</v>
      </c>
      <c r="G1113" s="32">
        <v>7.0090000000000003</v>
      </c>
      <c r="H1113" s="21">
        <f t="shared" ref="H1113:H1176" si="37">G1113/G1112-1</f>
        <v>-5.7036931413079195E-4</v>
      </c>
    </row>
    <row r="1114" spans="2:8" x14ac:dyDescent="0.25">
      <c r="B1114" s="30">
        <v>45434</v>
      </c>
      <c r="C1114" s="31">
        <v>22597.8</v>
      </c>
      <c r="D1114" s="21">
        <f t="shared" si="36"/>
        <v>3.0516155807722711E-3</v>
      </c>
      <c r="F1114" s="30">
        <v>45476</v>
      </c>
      <c r="G1114" s="32">
        <v>7.0010000000000003</v>
      </c>
      <c r="H1114" s="21">
        <f t="shared" si="37"/>
        <v>-1.1413896418890346E-3</v>
      </c>
    </row>
    <row r="1115" spans="2:8" x14ac:dyDescent="0.25">
      <c r="B1115" s="30">
        <v>45435</v>
      </c>
      <c r="C1115" s="31">
        <v>22967.65</v>
      </c>
      <c r="D1115" s="21">
        <f t="shared" si="36"/>
        <v>1.6366637460283773E-2</v>
      </c>
      <c r="F1115" s="30">
        <v>45477</v>
      </c>
      <c r="G1115" s="32">
        <v>6.9980000000000002</v>
      </c>
      <c r="H1115" s="21">
        <f t="shared" si="37"/>
        <v>-4.2851021282674928E-4</v>
      </c>
    </row>
    <row r="1116" spans="2:8" x14ac:dyDescent="0.25">
      <c r="B1116" s="30">
        <v>45436</v>
      </c>
      <c r="C1116" s="31">
        <v>22957.1</v>
      </c>
      <c r="D1116" s="21">
        <f t="shared" si="36"/>
        <v>-4.5934172629780168E-4</v>
      </c>
      <c r="F1116" s="30">
        <v>45478</v>
      </c>
      <c r="G1116" s="32">
        <v>6.9930000000000003</v>
      </c>
      <c r="H1116" s="21">
        <f t="shared" si="37"/>
        <v>-7.1448985424404921E-4</v>
      </c>
    </row>
    <row r="1117" spans="2:8" x14ac:dyDescent="0.25">
      <c r="B1117" s="30">
        <v>45439</v>
      </c>
      <c r="C1117" s="31">
        <v>22932.45</v>
      </c>
      <c r="D1117" s="21">
        <f t="shared" si="36"/>
        <v>-1.073741892486324E-3</v>
      </c>
      <c r="F1117" s="30">
        <v>45481</v>
      </c>
      <c r="G1117" s="32">
        <v>6.9889999999999999</v>
      </c>
      <c r="H1117" s="21">
        <f t="shared" si="37"/>
        <v>-5.7200057200068599E-4</v>
      </c>
    </row>
    <row r="1118" spans="2:8" x14ac:dyDescent="0.25">
      <c r="B1118" s="30">
        <v>45440</v>
      </c>
      <c r="C1118" s="31">
        <v>22888.15</v>
      </c>
      <c r="D1118" s="21">
        <f t="shared" si="36"/>
        <v>-1.9317604529824894E-3</v>
      </c>
      <c r="F1118" s="30">
        <v>45482</v>
      </c>
      <c r="G1118" s="32">
        <v>6.9889999999999999</v>
      </c>
      <c r="H1118" s="21">
        <f t="shared" si="37"/>
        <v>0</v>
      </c>
    </row>
    <row r="1119" spans="2:8" x14ac:dyDescent="0.25">
      <c r="B1119" s="30">
        <v>45441</v>
      </c>
      <c r="C1119" s="31">
        <v>22704.7</v>
      </c>
      <c r="D1119" s="21">
        <f t="shared" si="36"/>
        <v>-8.015064563977492E-3</v>
      </c>
      <c r="F1119" s="30">
        <v>45483</v>
      </c>
      <c r="G1119" s="32">
        <v>6.976</v>
      </c>
      <c r="H1119" s="21">
        <f t="shared" si="37"/>
        <v>-1.8600658177135854E-3</v>
      </c>
    </row>
    <row r="1120" spans="2:8" x14ac:dyDescent="0.25">
      <c r="B1120" s="30">
        <v>45442</v>
      </c>
      <c r="C1120" s="31">
        <v>22488.65</v>
      </c>
      <c r="D1120" s="21">
        <f t="shared" si="36"/>
        <v>-9.515650944518117E-3</v>
      </c>
      <c r="F1120" s="30">
        <v>45484</v>
      </c>
      <c r="G1120" s="32">
        <v>6.9820000000000002</v>
      </c>
      <c r="H1120" s="21">
        <f t="shared" si="37"/>
        <v>8.6009174311940662E-4</v>
      </c>
    </row>
    <row r="1121" spans="2:8" x14ac:dyDescent="0.25">
      <c r="B1121" s="30">
        <v>45443</v>
      </c>
      <c r="C1121" s="31">
        <v>22530.7</v>
      </c>
      <c r="D1121" s="21">
        <f t="shared" si="36"/>
        <v>1.8698321153114428E-3</v>
      </c>
      <c r="F1121" s="30">
        <v>45485</v>
      </c>
      <c r="G1121" s="32">
        <v>6.9859999999999998</v>
      </c>
      <c r="H1121" s="21">
        <f t="shared" si="37"/>
        <v>5.7290174735036281E-4</v>
      </c>
    </row>
    <row r="1122" spans="2:8" x14ac:dyDescent="0.25">
      <c r="B1122" s="30">
        <v>45446</v>
      </c>
      <c r="C1122" s="31">
        <v>23263.9</v>
      </c>
      <c r="D1122" s="21">
        <f t="shared" si="36"/>
        <v>3.2542264554585643E-2</v>
      </c>
      <c r="F1122" s="30">
        <v>45488</v>
      </c>
      <c r="G1122" s="32">
        <v>6.9809999999999999</v>
      </c>
      <c r="H1122" s="21">
        <f t="shared" si="37"/>
        <v>-7.1571714858287283E-4</v>
      </c>
    </row>
    <row r="1123" spans="2:8" x14ac:dyDescent="0.25">
      <c r="B1123" s="30">
        <v>45447</v>
      </c>
      <c r="C1123" s="31">
        <v>21884.5</v>
      </c>
      <c r="D1123" s="21">
        <f t="shared" si="36"/>
        <v>-5.9293583620975032E-2</v>
      </c>
      <c r="F1123" s="30">
        <v>45489</v>
      </c>
      <c r="G1123" s="32">
        <v>6.9660000000000002</v>
      </c>
      <c r="H1123" s="21">
        <f t="shared" si="37"/>
        <v>-2.1486892995272733E-3</v>
      </c>
    </row>
    <row r="1124" spans="2:8" x14ac:dyDescent="0.25">
      <c r="B1124" s="30">
        <v>45448</v>
      </c>
      <c r="C1124" s="31">
        <v>22620.35</v>
      </c>
      <c r="D1124" s="21">
        <f t="shared" si="36"/>
        <v>3.3624254609426751E-2</v>
      </c>
      <c r="F1124" s="30">
        <v>45491</v>
      </c>
      <c r="G1124" s="32">
        <v>6.9660000000000002</v>
      </c>
      <c r="H1124" s="21">
        <f t="shared" si="37"/>
        <v>0</v>
      </c>
    </row>
    <row r="1125" spans="2:8" x14ac:dyDescent="0.25">
      <c r="B1125" s="30">
        <v>45449</v>
      </c>
      <c r="C1125" s="31">
        <v>22821.4</v>
      </c>
      <c r="D1125" s="21">
        <f t="shared" si="36"/>
        <v>8.888014553267487E-3</v>
      </c>
      <c r="F1125" s="30">
        <v>45492</v>
      </c>
      <c r="G1125" s="32">
        <v>6.9649999999999999</v>
      </c>
      <c r="H1125" s="21">
        <f t="shared" si="37"/>
        <v>-1.4355440712032763E-4</v>
      </c>
    </row>
    <row r="1126" spans="2:8" x14ac:dyDescent="0.25">
      <c r="B1126" s="30">
        <v>45450</v>
      </c>
      <c r="C1126" s="31">
        <v>23290.15</v>
      </c>
      <c r="D1126" s="21">
        <f t="shared" si="36"/>
        <v>2.0539931818380985E-2</v>
      </c>
      <c r="F1126" s="30">
        <v>45495</v>
      </c>
      <c r="G1126" s="32">
        <v>6.9669999999999996</v>
      </c>
      <c r="H1126" s="21">
        <f t="shared" si="37"/>
        <v>2.8715003589363519E-4</v>
      </c>
    </row>
    <row r="1127" spans="2:8" x14ac:dyDescent="0.25">
      <c r="B1127" s="30">
        <v>45453</v>
      </c>
      <c r="C1127" s="31">
        <v>23259.200000000001</v>
      </c>
      <c r="D1127" s="21">
        <f t="shared" si="36"/>
        <v>-1.3288879633664985E-3</v>
      </c>
      <c r="F1127" s="30">
        <v>45496</v>
      </c>
      <c r="G1127" s="32">
        <v>6.97</v>
      </c>
      <c r="H1127" s="21">
        <f t="shared" si="37"/>
        <v>4.3060140663131463E-4</v>
      </c>
    </row>
    <row r="1128" spans="2:8" x14ac:dyDescent="0.25">
      <c r="B1128" s="30">
        <v>45454</v>
      </c>
      <c r="C1128" s="31">
        <v>23264.85</v>
      </c>
      <c r="D1128" s="21">
        <f t="shared" si="36"/>
        <v>2.4291463162962046E-4</v>
      </c>
      <c r="F1128" s="30">
        <v>45497</v>
      </c>
      <c r="G1128" s="32">
        <v>6.9640000000000004</v>
      </c>
      <c r="H1128" s="21">
        <f t="shared" si="37"/>
        <v>-8.6083213773302525E-4</v>
      </c>
    </row>
    <row r="1129" spans="2:8" x14ac:dyDescent="0.25">
      <c r="B1129" s="30">
        <v>45455</v>
      </c>
      <c r="C1129" s="31">
        <v>23322.95</v>
      </c>
      <c r="D1129" s="21">
        <f t="shared" si="36"/>
        <v>2.4973296625596664E-3</v>
      </c>
      <c r="F1129" s="30">
        <v>45498</v>
      </c>
      <c r="G1129" s="32">
        <v>6.952</v>
      </c>
      <c r="H1129" s="21">
        <f t="shared" si="37"/>
        <v>-1.723147616312537E-3</v>
      </c>
    </row>
    <row r="1130" spans="2:8" x14ac:dyDescent="0.25">
      <c r="B1130" s="30">
        <v>45456</v>
      </c>
      <c r="C1130" s="31">
        <v>23398.9</v>
      </c>
      <c r="D1130" s="21">
        <f t="shared" si="36"/>
        <v>3.2564491198583401E-3</v>
      </c>
      <c r="F1130" s="30">
        <v>45499</v>
      </c>
      <c r="G1130" s="32">
        <v>6.94</v>
      </c>
      <c r="H1130" s="21">
        <f t="shared" si="37"/>
        <v>-1.7261219792864546E-3</v>
      </c>
    </row>
    <row r="1131" spans="2:8" x14ac:dyDescent="0.25">
      <c r="B1131" s="30">
        <v>45457</v>
      </c>
      <c r="C1131" s="31">
        <v>23465.599999999999</v>
      </c>
      <c r="D1131" s="21">
        <f t="shared" si="36"/>
        <v>2.8505613511744521E-3</v>
      </c>
      <c r="F1131" s="30">
        <v>45502</v>
      </c>
      <c r="G1131" s="32">
        <v>6.9189999999999996</v>
      </c>
      <c r="H1131" s="21">
        <f t="shared" si="37"/>
        <v>-3.0259365994237397E-3</v>
      </c>
    </row>
    <row r="1132" spans="2:8" x14ac:dyDescent="0.25">
      <c r="B1132" s="30">
        <v>45461</v>
      </c>
      <c r="C1132" s="31">
        <v>23557.9</v>
      </c>
      <c r="D1132" s="21">
        <f t="shared" si="36"/>
        <v>3.933417428064967E-3</v>
      </c>
      <c r="F1132" s="30">
        <v>45503</v>
      </c>
      <c r="G1132" s="32">
        <v>6.931</v>
      </c>
      <c r="H1132" s="21">
        <f t="shared" si="37"/>
        <v>1.7343546755312911E-3</v>
      </c>
    </row>
    <row r="1133" spans="2:8" x14ac:dyDescent="0.25">
      <c r="B1133" s="30">
        <v>45462</v>
      </c>
      <c r="C1133" s="31">
        <v>23516</v>
      </c>
      <c r="D1133" s="21">
        <f t="shared" si="36"/>
        <v>-1.7785965642099777E-3</v>
      </c>
      <c r="F1133" s="30">
        <v>45504</v>
      </c>
      <c r="G1133" s="32">
        <v>6.9240000000000004</v>
      </c>
      <c r="H1133" s="21">
        <f t="shared" si="37"/>
        <v>-1.009955273409302E-3</v>
      </c>
    </row>
    <row r="1134" spans="2:8" x14ac:dyDescent="0.25">
      <c r="B1134" s="30">
        <v>45463</v>
      </c>
      <c r="C1134" s="31">
        <v>23567</v>
      </c>
      <c r="D1134" s="21">
        <f t="shared" si="36"/>
        <v>2.1687361796223215E-3</v>
      </c>
      <c r="F1134" s="30">
        <v>45505</v>
      </c>
      <c r="G1134" s="32">
        <v>6.9160000000000004</v>
      </c>
      <c r="H1134" s="21">
        <f t="shared" si="37"/>
        <v>-1.1554015020219799E-3</v>
      </c>
    </row>
    <row r="1135" spans="2:8" x14ac:dyDescent="0.25">
      <c r="B1135" s="30">
        <v>45464</v>
      </c>
      <c r="C1135" s="31">
        <v>23501.1</v>
      </c>
      <c r="D1135" s="21">
        <f t="shared" si="36"/>
        <v>-2.7962829380066001E-3</v>
      </c>
      <c r="F1135" s="30">
        <v>45506</v>
      </c>
      <c r="G1135" s="32">
        <v>6.9</v>
      </c>
      <c r="H1135" s="21">
        <f t="shared" si="37"/>
        <v>-2.3134759976864983E-3</v>
      </c>
    </row>
    <row r="1136" spans="2:8" x14ac:dyDescent="0.25">
      <c r="B1136" s="30">
        <v>45467</v>
      </c>
      <c r="C1136" s="31">
        <v>23537.85</v>
      </c>
      <c r="D1136" s="21">
        <f t="shared" si="36"/>
        <v>1.5637565901169825E-3</v>
      </c>
      <c r="F1136" s="30">
        <v>45509</v>
      </c>
      <c r="G1136" s="32">
        <v>6.86</v>
      </c>
      <c r="H1136" s="21">
        <f t="shared" si="37"/>
        <v>-5.7971014492753659E-3</v>
      </c>
    </row>
    <row r="1137" spans="2:8" x14ac:dyDescent="0.25">
      <c r="B1137" s="30">
        <v>45468</v>
      </c>
      <c r="C1137" s="31">
        <v>23721.3</v>
      </c>
      <c r="D1137" s="21">
        <f t="shared" si="36"/>
        <v>7.7938299377386944E-3</v>
      </c>
      <c r="F1137" s="30">
        <v>45510</v>
      </c>
      <c r="G1137" s="32">
        <v>6.8719999999999999</v>
      </c>
      <c r="H1137" s="21">
        <f t="shared" si="37"/>
        <v>1.7492711370261649E-3</v>
      </c>
    </row>
    <row r="1138" spans="2:8" x14ac:dyDescent="0.25">
      <c r="B1138" s="30">
        <v>45469</v>
      </c>
      <c r="C1138" s="31">
        <v>23868.799999999999</v>
      </c>
      <c r="D1138" s="21">
        <f t="shared" si="36"/>
        <v>6.2180403266263173E-3</v>
      </c>
      <c r="F1138" s="30">
        <v>45511</v>
      </c>
      <c r="G1138" s="32">
        <v>6.8620000000000001</v>
      </c>
      <c r="H1138" s="21">
        <f t="shared" si="37"/>
        <v>-1.4551804423748038E-3</v>
      </c>
    </row>
    <row r="1139" spans="2:8" x14ac:dyDescent="0.25">
      <c r="B1139" s="30">
        <v>45470</v>
      </c>
      <c r="C1139" s="31">
        <v>24044.5</v>
      </c>
      <c r="D1139" s="21">
        <f t="shared" si="36"/>
        <v>7.3610738704921186E-3</v>
      </c>
      <c r="F1139" s="30">
        <v>45512</v>
      </c>
      <c r="G1139" s="32">
        <v>6.8769999999999998</v>
      </c>
      <c r="H1139" s="21">
        <f t="shared" si="37"/>
        <v>2.1859516176041538E-3</v>
      </c>
    </row>
    <row r="1140" spans="2:8" x14ac:dyDescent="0.25">
      <c r="B1140" s="30">
        <v>45471</v>
      </c>
      <c r="C1140" s="31">
        <v>24010.6</v>
      </c>
      <c r="D1140" s="21">
        <f t="shared" si="36"/>
        <v>-1.4098858366778932E-3</v>
      </c>
      <c r="F1140" s="30">
        <v>45513</v>
      </c>
      <c r="G1140" s="32">
        <v>6.88</v>
      </c>
      <c r="H1140" s="21">
        <f t="shared" si="37"/>
        <v>4.362367311327997E-4</v>
      </c>
    </row>
    <row r="1141" spans="2:8" x14ac:dyDescent="0.25">
      <c r="B1141" s="30">
        <v>45474</v>
      </c>
      <c r="C1141" s="31">
        <v>24141.95</v>
      </c>
      <c r="D1141" s="21">
        <f t="shared" si="36"/>
        <v>5.4705005289330533E-3</v>
      </c>
      <c r="F1141" s="30">
        <v>45516</v>
      </c>
      <c r="G1141" s="32">
        <v>6.8789999999999996</v>
      </c>
      <c r="H1141" s="21">
        <f t="shared" si="37"/>
        <v>-1.453488372094025E-4</v>
      </c>
    </row>
    <row r="1142" spans="2:8" x14ac:dyDescent="0.25">
      <c r="B1142" s="30">
        <v>45475</v>
      </c>
      <c r="C1142" s="31">
        <v>24123.85</v>
      </c>
      <c r="D1142" s="21">
        <f t="shared" si="36"/>
        <v>-7.4973231242725369E-4</v>
      </c>
      <c r="F1142" s="30">
        <v>45517</v>
      </c>
      <c r="G1142" s="32">
        <v>6.88</v>
      </c>
      <c r="H1142" s="21">
        <f t="shared" si="37"/>
        <v>1.4536996656500101E-4</v>
      </c>
    </row>
    <row r="1143" spans="2:8" x14ac:dyDescent="0.25">
      <c r="B1143" s="30">
        <v>45476</v>
      </c>
      <c r="C1143" s="31">
        <v>24286.5</v>
      </c>
      <c r="D1143" s="21">
        <f t="shared" si="36"/>
        <v>6.7422903060665451E-3</v>
      </c>
      <c r="F1143" s="30">
        <v>45518</v>
      </c>
      <c r="G1143" s="32">
        <v>6.8579999999999997</v>
      </c>
      <c r="H1143" s="21">
        <f t="shared" si="37"/>
        <v>-3.1976744186046346E-3</v>
      </c>
    </row>
    <row r="1144" spans="2:8" x14ac:dyDescent="0.25">
      <c r="B1144" s="30">
        <v>45477</v>
      </c>
      <c r="C1144" s="31">
        <v>24302.15</v>
      </c>
      <c r="D1144" s="21">
        <f t="shared" si="36"/>
        <v>6.4439091676460336E-4</v>
      </c>
      <c r="F1144" s="30">
        <v>45520</v>
      </c>
      <c r="G1144" s="32">
        <v>6.867</v>
      </c>
      <c r="H1144" s="21">
        <f t="shared" si="37"/>
        <v>1.312335958005395E-3</v>
      </c>
    </row>
    <row r="1145" spans="2:8" x14ac:dyDescent="0.25">
      <c r="B1145" s="30">
        <v>45478</v>
      </c>
      <c r="C1145" s="31">
        <v>24323.85</v>
      </c>
      <c r="D1145" s="21">
        <f t="shared" si="36"/>
        <v>8.9292511156413568E-4</v>
      </c>
      <c r="F1145" s="30">
        <v>45523</v>
      </c>
      <c r="G1145" s="32">
        <v>6.8639999999999999</v>
      </c>
      <c r="H1145" s="21">
        <f t="shared" si="37"/>
        <v>-4.3687199650499497E-4</v>
      </c>
    </row>
    <row r="1146" spans="2:8" x14ac:dyDescent="0.25">
      <c r="B1146" s="30">
        <v>45481</v>
      </c>
      <c r="C1146" s="31">
        <v>24320.55</v>
      </c>
      <c r="D1146" s="21">
        <f t="shared" si="36"/>
        <v>-1.3566931221820067E-4</v>
      </c>
      <c r="F1146" s="30">
        <v>45524</v>
      </c>
      <c r="G1146" s="32">
        <v>6.8559999999999999</v>
      </c>
      <c r="H1146" s="21">
        <f t="shared" si="37"/>
        <v>-1.1655011655011815E-3</v>
      </c>
    </row>
    <row r="1147" spans="2:8" x14ac:dyDescent="0.25">
      <c r="B1147" s="30">
        <v>45482</v>
      </c>
      <c r="C1147" s="31">
        <v>24433.200000000001</v>
      </c>
      <c r="D1147" s="21">
        <f t="shared" si="36"/>
        <v>4.6318853808815508E-3</v>
      </c>
      <c r="F1147" s="30">
        <v>45525</v>
      </c>
      <c r="G1147" s="32">
        <v>6.8529999999999998</v>
      </c>
      <c r="H1147" s="21">
        <f t="shared" si="37"/>
        <v>-4.3757292882151688E-4</v>
      </c>
    </row>
    <row r="1148" spans="2:8" x14ac:dyDescent="0.25">
      <c r="B1148" s="30">
        <v>45483</v>
      </c>
      <c r="C1148" s="31">
        <v>24324.45</v>
      </c>
      <c r="D1148" s="21">
        <f t="shared" si="36"/>
        <v>-4.4509110554491471E-3</v>
      </c>
      <c r="F1148" s="30">
        <v>45526</v>
      </c>
      <c r="G1148" s="32">
        <v>6.8520000000000003</v>
      </c>
      <c r="H1148" s="21">
        <f t="shared" si="37"/>
        <v>-1.4592149423597878E-4</v>
      </c>
    </row>
    <row r="1149" spans="2:8" x14ac:dyDescent="0.25">
      <c r="B1149" s="30">
        <v>45484</v>
      </c>
      <c r="C1149" s="31">
        <v>24315.95</v>
      </c>
      <c r="D1149" s="21">
        <f t="shared" si="36"/>
        <v>-3.4944263899083783E-4</v>
      </c>
      <c r="F1149" s="30">
        <v>45527</v>
      </c>
      <c r="G1149" s="32">
        <v>6.859</v>
      </c>
      <c r="H1149" s="21">
        <f t="shared" si="37"/>
        <v>1.0215995329829752E-3</v>
      </c>
    </row>
    <row r="1150" spans="2:8" x14ac:dyDescent="0.25">
      <c r="B1150" s="30">
        <v>45485</v>
      </c>
      <c r="C1150" s="31">
        <v>24502.15</v>
      </c>
      <c r="D1150" s="21">
        <f t="shared" si="36"/>
        <v>7.6575252046495734E-3</v>
      </c>
      <c r="F1150" s="30">
        <v>45530</v>
      </c>
      <c r="G1150" s="32">
        <v>6.851</v>
      </c>
      <c r="H1150" s="21">
        <f t="shared" si="37"/>
        <v>-1.1663507799970496E-3</v>
      </c>
    </row>
    <row r="1151" spans="2:8" x14ac:dyDescent="0.25">
      <c r="B1151" s="30">
        <v>45488</v>
      </c>
      <c r="C1151" s="31">
        <v>24586.7</v>
      </c>
      <c r="D1151" s="21">
        <f t="shared" si="36"/>
        <v>3.4507175900890807E-3</v>
      </c>
      <c r="F1151" s="30">
        <v>45531</v>
      </c>
      <c r="G1151" s="32">
        <v>6.8609999999999998</v>
      </c>
      <c r="H1151" s="21">
        <f t="shared" si="37"/>
        <v>1.4596409283316181E-3</v>
      </c>
    </row>
    <row r="1152" spans="2:8" x14ac:dyDescent="0.25">
      <c r="B1152" s="30">
        <v>45489</v>
      </c>
      <c r="C1152" s="31">
        <v>24613</v>
      </c>
      <c r="D1152" s="21">
        <f t="shared" si="36"/>
        <v>1.0696840161550369E-3</v>
      </c>
      <c r="F1152" s="30">
        <v>45532</v>
      </c>
      <c r="G1152" s="32">
        <v>6.8609999999999998</v>
      </c>
      <c r="H1152" s="21">
        <f t="shared" si="37"/>
        <v>0</v>
      </c>
    </row>
    <row r="1153" spans="2:8" x14ac:dyDescent="0.25">
      <c r="B1153" s="30">
        <v>45491</v>
      </c>
      <c r="C1153" s="31">
        <v>24800.85</v>
      </c>
      <c r="D1153" s="21">
        <f t="shared" si="36"/>
        <v>7.6321456141064115E-3</v>
      </c>
      <c r="F1153" s="30">
        <v>45533</v>
      </c>
      <c r="G1153" s="32">
        <v>6.8639999999999999</v>
      </c>
      <c r="H1153" s="21">
        <f t="shared" si="37"/>
        <v>4.3725404459982187E-4</v>
      </c>
    </row>
    <row r="1154" spans="2:8" x14ac:dyDescent="0.25">
      <c r="B1154" s="30">
        <v>45492</v>
      </c>
      <c r="C1154" s="31">
        <v>24530.9</v>
      </c>
      <c r="D1154" s="21">
        <f t="shared" si="36"/>
        <v>-1.0884707580586794E-2</v>
      </c>
      <c r="F1154" s="30">
        <v>45534</v>
      </c>
      <c r="G1154" s="32">
        <v>6.8630000000000004</v>
      </c>
      <c r="H1154" s="21">
        <f t="shared" si="37"/>
        <v>-1.4568764568756443E-4</v>
      </c>
    </row>
    <row r="1155" spans="2:8" x14ac:dyDescent="0.25">
      <c r="B1155" s="30">
        <v>45495</v>
      </c>
      <c r="C1155" s="31">
        <v>24509.25</v>
      </c>
      <c r="D1155" s="21">
        <f t="shared" si="36"/>
        <v>-8.8256036264466875E-4</v>
      </c>
      <c r="F1155" s="30">
        <v>45537</v>
      </c>
      <c r="G1155" s="32">
        <v>6.8760000000000003</v>
      </c>
      <c r="H1155" s="21">
        <f t="shared" si="37"/>
        <v>1.8942153577152787E-3</v>
      </c>
    </row>
    <row r="1156" spans="2:8" x14ac:dyDescent="0.25">
      <c r="B1156" s="30">
        <v>45496</v>
      </c>
      <c r="C1156" s="31">
        <v>24479.05</v>
      </c>
      <c r="D1156" s="21">
        <f t="shared" si="36"/>
        <v>-1.2321878474453873E-3</v>
      </c>
      <c r="F1156" s="30">
        <v>45538</v>
      </c>
      <c r="G1156" s="32">
        <v>6.87</v>
      </c>
      <c r="H1156" s="21">
        <f t="shared" si="37"/>
        <v>-8.7260034904013128E-4</v>
      </c>
    </row>
    <row r="1157" spans="2:8" x14ac:dyDescent="0.25">
      <c r="B1157" s="30">
        <v>45497</v>
      </c>
      <c r="C1157" s="31">
        <v>24413.5</v>
      </c>
      <c r="D1157" s="21">
        <f t="shared" si="36"/>
        <v>-2.6777999963233379E-3</v>
      </c>
      <c r="F1157" s="30">
        <v>45539</v>
      </c>
      <c r="G1157" s="32">
        <v>6.859</v>
      </c>
      <c r="H1157" s="21">
        <f t="shared" si="37"/>
        <v>-1.601164483260531E-3</v>
      </c>
    </row>
    <row r="1158" spans="2:8" x14ac:dyDescent="0.25">
      <c r="B1158" s="30">
        <v>45498</v>
      </c>
      <c r="C1158" s="31">
        <v>24406.1</v>
      </c>
      <c r="D1158" s="21">
        <f t="shared" si="36"/>
        <v>-3.0311098367707956E-4</v>
      </c>
      <c r="F1158" s="30">
        <v>45540</v>
      </c>
      <c r="G1158" s="32">
        <v>6.8550000000000004</v>
      </c>
      <c r="H1158" s="21">
        <f t="shared" si="37"/>
        <v>-5.8317538999852481E-4</v>
      </c>
    </row>
    <row r="1159" spans="2:8" x14ac:dyDescent="0.25">
      <c r="B1159" s="30">
        <v>45499</v>
      </c>
      <c r="C1159" s="31">
        <v>24834.85</v>
      </c>
      <c r="D1159" s="21">
        <f t="shared" si="36"/>
        <v>1.7567329479105664E-2</v>
      </c>
      <c r="F1159" s="30">
        <v>45541</v>
      </c>
      <c r="G1159" s="32">
        <v>6.8540000000000001</v>
      </c>
      <c r="H1159" s="21">
        <f t="shared" si="37"/>
        <v>-1.4587892049600093E-4</v>
      </c>
    </row>
    <row r="1160" spans="2:8" x14ac:dyDescent="0.25">
      <c r="B1160" s="30">
        <v>45502</v>
      </c>
      <c r="C1160" s="31">
        <v>24836.1</v>
      </c>
      <c r="D1160" s="21">
        <f t="shared" si="36"/>
        <v>5.0332496471794386E-5</v>
      </c>
      <c r="F1160" s="30">
        <v>45544</v>
      </c>
      <c r="G1160" s="32">
        <v>6.8540000000000001</v>
      </c>
      <c r="H1160" s="21">
        <f t="shared" si="37"/>
        <v>0</v>
      </c>
    </row>
    <row r="1161" spans="2:8" x14ac:dyDescent="0.25">
      <c r="B1161" s="30">
        <v>45503</v>
      </c>
      <c r="C1161" s="31">
        <v>24857.3</v>
      </c>
      <c r="D1161" s="21">
        <f t="shared" si="36"/>
        <v>8.5359617653346653E-4</v>
      </c>
      <c r="F1161" s="30">
        <v>45545</v>
      </c>
      <c r="G1161" s="32">
        <v>6.851</v>
      </c>
      <c r="H1161" s="21">
        <f t="shared" si="37"/>
        <v>-4.3770061278092243E-4</v>
      </c>
    </row>
    <row r="1162" spans="2:8" x14ac:dyDescent="0.25">
      <c r="B1162" s="30">
        <v>45504</v>
      </c>
      <c r="C1162" s="31">
        <v>24951.15</v>
      </c>
      <c r="D1162" s="21">
        <f t="shared" si="36"/>
        <v>3.7755508442189889E-3</v>
      </c>
      <c r="F1162" s="30">
        <v>45546</v>
      </c>
      <c r="G1162" s="32">
        <v>6.83</v>
      </c>
      <c r="H1162" s="21">
        <f t="shared" si="37"/>
        <v>-3.0652459494964202E-3</v>
      </c>
    </row>
    <row r="1163" spans="2:8" x14ac:dyDescent="0.25">
      <c r="B1163" s="30">
        <v>45505</v>
      </c>
      <c r="C1163" s="31">
        <v>25010.9</v>
      </c>
      <c r="D1163" s="21">
        <f t="shared" si="36"/>
        <v>2.3946792031630526E-3</v>
      </c>
      <c r="F1163" s="30">
        <v>45547</v>
      </c>
      <c r="G1163" s="32">
        <v>6.8109999999999999</v>
      </c>
      <c r="H1163" s="21">
        <f t="shared" si="37"/>
        <v>-2.7818448023426701E-3</v>
      </c>
    </row>
    <row r="1164" spans="2:8" x14ac:dyDescent="0.25">
      <c r="B1164" s="30">
        <v>45506</v>
      </c>
      <c r="C1164" s="31">
        <v>24717.7</v>
      </c>
      <c r="D1164" s="21">
        <f t="shared" si="36"/>
        <v>-1.1722888820474342E-2</v>
      </c>
      <c r="F1164" s="30">
        <v>45548</v>
      </c>
      <c r="G1164" s="32">
        <v>6.7919999999999998</v>
      </c>
      <c r="H1164" s="21">
        <f t="shared" si="37"/>
        <v>-2.7896050506533987E-3</v>
      </c>
    </row>
    <row r="1165" spans="2:8" x14ac:dyDescent="0.25">
      <c r="B1165" s="30">
        <v>45509</v>
      </c>
      <c r="C1165" s="31">
        <v>24055.599999999999</v>
      </c>
      <c r="D1165" s="21">
        <f t="shared" si="36"/>
        <v>-2.6786472851438536E-2</v>
      </c>
      <c r="F1165" s="30">
        <v>45551</v>
      </c>
      <c r="G1165" s="32">
        <v>6.7619999999999996</v>
      </c>
      <c r="H1165" s="21">
        <f t="shared" si="37"/>
        <v>-4.4169611307420809E-3</v>
      </c>
    </row>
    <row r="1166" spans="2:8" x14ac:dyDescent="0.25">
      <c r="B1166" s="30">
        <v>45510</v>
      </c>
      <c r="C1166" s="31">
        <v>23992.55</v>
      </c>
      <c r="D1166" s="21">
        <f t="shared" si="36"/>
        <v>-2.6210113237665755E-3</v>
      </c>
      <c r="F1166" s="30">
        <v>45552</v>
      </c>
      <c r="G1166" s="32">
        <v>6.7789999999999999</v>
      </c>
      <c r="H1166" s="21">
        <f t="shared" si="37"/>
        <v>2.5140490979000951E-3</v>
      </c>
    </row>
    <row r="1167" spans="2:8" x14ac:dyDescent="0.25">
      <c r="B1167" s="30">
        <v>45511</v>
      </c>
      <c r="C1167" s="31">
        <v>24297.5</v>
      </c>
      <c r="D1167" s="21">
        <f t="shared" si="36"/>
        <v>1.2710195456506312E-2</v>
      </c>
      <c r="F1167" s="30">
        <v>45554</v>
      </c>
      <c r="G1167" s="32">
        <v>6.758</v>
      </c>
      <c r="H1167" s="21">
        <f t="shared" si="37"/>
        <v>-3.097802035698427E-3</v>
      </c>
    </row>
    <row r="1168" spans="2:8" x14ac:dyDescent="0.25">
      <c r="B1168" s="30">
        <v>45512</v>
      </c>
      <c r="C1168" s="31">
        <v>24117</v>
      </c>
      <c r="D1168" s="21">
        <f t="shared" si="36"/>
        <v>-7.4287478135610652E-3</v>
      </c>
      <c r="F1168" s="30">
        <v>45555</v>
      </c>
      <c r="G1168" s="32">
        <v>6.7610000000000001</v>
      </c>
      <c r="H1168" s="21">
        <f t="shared" si="37"/>
        <v>4.4391831902923506E-4</v>
      </c>
    </row>
    <row r="1169" spans="2:8" x14ac:dyDescent="0.25">
      <c r="B1169" s="30">
        <v>45513</v>
      </c>
      <c r="C1169" s="31">
        <v>24367.5</v>
      </c>
      <c r="D1169" s="21">
        <f t="shared" si="36"/>
        <v>1.0386864037815746E-2</v>
      </c>
      <c r="F1169" s="30">
        <v>45558</v>
      </c>
      <c r="G1169" s="32">
        <v>6.7670000000000003</v>
      </c>
      <c r="H1169" s="21">
        <f t="shared" si="37"/>
        <v>8.8744268599327825E-4</v>
      </c>
    </row>
    <row r="1170" spans="2:8" x14ac:dyDescent="0.25">
      <c r="B1170" s="30">
        <v>45516</v>
      </c>
      <c r="C1170" s="31">
        <v>24347</v>
      </c>
      <c r="D1170" s="21">
        <f t="shared" si="36"/>
        <v>-8.4128449779419245E-4</v>
      </c>
      <c r="F1170" s="30">
        <v>45559</v>
      </c>
      <c r="G1170" s="32">
        <v>6.7610000000000001</v>
      </c>
      <c r="H1170" s="21">
        <f t="shared" si="37"/>
        <v>-8.8665582976210633E-4</v>
      </c>
    </row>
    <row r="1171" spans="2:8" x14ac:dyDescent="0.25">
      <c r="B1171" s="30">
        <v>45517</v>
      </c>
      <c r="C1171" s="31">
        <v>24139</v>
      </c>
      <c r="D1171" s="21">
        <f t="shared" si="36"/>
        <v>-8.5431469996303244E-3</v>
      </c>
      <c r="F1171" s="30">
        <v>45560</v>
      </c>
      <c r="G1171" s="32">
        <v>6.7380000000000004</v>
      </c>
      <c r="H1171" s="21">
        <f t="shared" si="37"/>
        <v>-3.4018636296405669E-3</v>
      </c>
    </row>
    <row r="1172" spans="2:8" x14ac:dyDescent="0.25">
      <c r="B1172" s="30">
        <v>45518</v>
      </c>
      <c r="C1172" s="31">
        <v>24143.75</v>
      </c>
      <c r="D1172" s="21">
        <f t="shared" si="36"/>
        <v>1.9677699987563635E-4</v>
      </c>
      <c r="F1172" s="30">
        <v>45561</v>
      </c>
      <c r="G1172" s="32">
        <v>6.718</v>
      </c>
      <c r="H1172" s="21">
        <f t="shared" si="37"/>
        <v>-2.9682398337785854E-3</v>
      </c>
    </row>
    <row r="1173" spans="2:8" x14ac:dyDescent="0.25">
      <c r="B1173" s="30">
        <v>45520</v>
      </c>
      <c r="C1173" s="31">
        <v>24541.15</v>
      </c>
      <c r="D1173" s="21">
        <f t="shared" si="36"/>
        <v>1.6459746311157097E-2</v>
      </c>
      <c r="F1173" s="30">
        <v>45562</v>
      </c>
      <c r="G1173" s="32">
        <v>6.7590000000000003</v>
      </c>
      <c r="H1173" s="21">
        <f t="shared" si="37"/>
        <v>6.103006847276049E-3</v>
      </c>
    </row>
    <row r="1174" spans="2:8" x14ac:dyDescent="0.25">
      <c r="B1174" s="30">
        <v>45523</v>
      </c>
      <c r="C1174" s="31">
        <v>24572.65</v>
      </c>
      <c r="D1174" s="21">
        <f t="shared" si="36"/>
        <v>1.283558431450782E-3</v>
      </c>
      <c r="F1174" s="30">
        <v>45565</v>
      </c>
      <c r="G1174" s="32">
        <v>6.75</v>
      </c>
      <c r="H1174" s="21">
        <f t="shared" si="37"/>
        <v>-1.3315579227697327E-3</v>
      </c>
    </row>
    <row r="1175" spans="2:8" x14ac:dyDescent="0.25">
      <c r="B1175" s="30">
        <v>45524</v>
      </c>
      <c r="C1175" s="31">
        <v>24698.85</v>
      </c>
      <c r="D1175" s="21">
        <f t="shared" si="36"/>
        <v>5.1357912150296059E-3</v>
      </c>
      <c r="F1175" s="30">
        <v>45566</v>
      </c>
      <c r="G1175" s="32">
        <v>6.7320000000000002</v>
      </c>
      <c r="H1175" s="21">
        <f t="shared" si="37"/>
        <v>-2.666666666666595E-3</v>
      </c>
    </row>
    <row r="1176" spans="2:8" x14ac:dyDescent="0.25">
      <c r="B1176" s="30">
        <v>45525</v>
      </c>
      <c r="C1176" s="31">
        <v>24770.2</v>
      </c>
      <c r="D1176" s="21">
        <f t="shared" si="36"/>
        <v>2.888798466325504E-3</v>
      </c>
      <c r="F1176" s="30">
        <v>45568</v>
      </c>
      <c r="G1176" s="32">
        <v>6.7770000000000001</v>
      </c>
      <c r="H1176" s="21">
        <f t="shared" si="37"/>
        <v>6.6844919786095414E-3</v>
      </c>
    </row>
    <row r="1177" spans="2:8" x14ac:dyDescent="0.25">
      <c r="B1177" s="30">
        <v>45526</v>
      </c>
      <c r="C1177" s="31">
        <v>24811.5</v>
      </c>
      <c r="D1177" s="21">
        <f t="shared" ref="D1177:D1240" si="38">C1177/C1176-1</f>
        <v>1.6673260611541618E-3</v>
      </c>
      <c r="F1177" s="30">
        <v>45569</v>
      </c>
      <c r="G1177" s="32">
        <v>6.8289999999999997</v>
      </c>
      <c r="H1177" s="21">
        <f t="shared" ref="H1177:H1235" si="39">G1177/G1176-1</f>
        <v>7.6730116570753459E-3</v>
      </c>
    </row>
    <row r="1178" spans="2:8" x14ac:dyDescent="0.25">
      <c r="B1178" s="30">
        <v>45527</v>
      </c>
      <c r="C1178" s="31">
        <v>24823.15</v>
      </c>
      <c r="D1178" s="21">
        <f t="shared" si="38"/>
        <v>4.6954033411927831E-4</v>
      </c>
      <c r="F1178" s="30">
        <v>45572</v>
      </c>
      <c r="G1178" s="32">
        <v>6.8460000000000001</v>
      </c>
      <c r="H1178" s="21">
        <f t="shared" si="39"/>
        <v>2.4893835114951912E-3</v>
      </c>
    </row>
    <row r="1179" spans="2:8" x14ac:dyDescent="0.25">
      <c r="B1179" s="30">
        <v>45530</v>
      </c>
      <c r="C1179" s="31">
        <v>25010.6</v>
      </c>
      <c r="D1179" s="21">
        <f t="shared" si="38"/>
        <v>7.5514187361394036E-3</v>
      </c>
      <c r="F1179" s="30">
        <v>45573</v>
      </c>
      <c r="G1179" s="32">
        <v>6.806</v>
      </c>
      <c r="H1179" s="21">
        <f t="shared" si="39"/>
        <v>-5.8428279287174867E-3</v>
      </c>
    </row>
    <row r="1180" spans="2:8" x14ac:dyDescent="0.25">
      <c r="B1180" s="30">
        <v>45531</v>
      </c>
      <c r="C1180" s="31">
        <v>25017.75</v>
      </c>
      <c r="D1180" s="21">
        <f t="shared" si="38"/>
        <v>2.8587878739427808E-4</v>
      </c>
      <c r="F1180" s="30">
        <v>45574</v>
      </c>
      <c r="G1180" s="32">
        <v>6.766</v>
      </c>
      <c r="H1180" s="21">
        <f t="shared" si="39"/>
        <v>-5.8771672054069857E-3</v>
      </c>
    </row>
    <row r="1181" spans="2:8" x14ac:dyDescent="0.25">
      <c r="B1181" s="30">
        <v>45532</v>
      </c>
      <c r="C1181" s="31">
        <v>25052.35</v>
      </c>
      <c r="D1181" s="21">
        <f t="shared" si="38"/>
        <v>1.3830180571794415E-3</v>
      </c>
      <c r="F1181" s="30">
        <v>45575</v>
      </c>
      <c r="G1181" s="32">
        <v>6.7759999999999998</v>
      </c>
      <c r="H1181" s="21">
        <f t="shared" si="39"/>
        <v>1.4779781259237623E-3</v>
      </c>
    </row>
    <row r="1182" spans="2:8" x14ac:dyDescent="0.25">
      <c r="B1182" s="30">
        <v>45533</v>
      </c>
      <c r="C1182" s="31">
        <v>25151.95</v>
      </c>
      <c r="D1182" s="21">
        <f t="shared" si="38"/>
        <v>3.975674936682605E-3</v>
      </c>
      <c r="F1182" s="30">
        <v>45576</v>
      </c>
      <c r="G1182" s="32">
        <v>6.7880000000000003</v>
      </c>
      <c r="H1182" s="21">
        <f t="shared" si="39"/>
        <v>1.7709563164109987E-3</v>
      </c>
    </row>
    <row r="1183" spans="2:8" x14ac:dyDescent="0.25">
      <c r="B1183" s="30">
        <v>45534</v>
      </c>
      <c r="C1183" s="31">
        <v>25235.9</v>
      </c>
      <c r="D1183" s="21">
        <f t="shared" si="38"/>
        <v>3.3377133780880808E-3</v>
      </c>
      <c r="F1183" s="30">
        <v>45579</v>
      </c>
      <c r="G1183" s="32">
        <v>6.782</v>
      </c>
      <c r="H1183" s="21">
        <f t="shared" si="39"/>
        <v>-8.839127872717345E-4</v>
      </c>
    </row>
    <row r="1184" spans="2:8" x14ac:dyDescent="0.25">
      <c r="B1184" s="30">
        <v>45537</v>
      </c>
      <c r="C1184" s="31">
        <v>25278.7</v>
      </c>
      <c r="D1184" s="21">
        <f t="shared" si="38"/>
        <v>1.6959965763059248E-3</v>
      </c>
      <c r="F1184" s="30">
        <v>45580</v>
      </c>
      <c r="G1184" s="32">
        <v>6.7690000000000001</v>
      </c>
      <c r="H1184" s="21">
        <f t="shared" si="39"/>
        <v>-1.9168386906517343E-3</v>
      </c>
    </row>
    <row r="1185" spans="2:8" x14ac:dyDescent="0.25">
      <c r="B1185" s="30">
        <v>45538</v>
      </c>
      <c r="C1185" s="31">
        <v>25279.85</v>
      </c>
      <c r="D1185" s="21">
        <f t="shared" si="38"/>
        <v>4.5492845755390476E-5</v>
      </c>
      <c r="F1185" s="30">
        <v>45581</v>
      </c>
      <c r="G1185" s="32">
        <v>6.7729999999999997</v>
      </c>
      <c r="H1185" s="21">
        <f t="shared" si="39"/>
        <v>5.9092923622383609E-4</v>
      </c>
    </row>
    <row r="1186" spans="2:8" x14ac:dyDescent="0.25">
      <c r="B1186" s="30">
        <v>45539</v>
      </c>
      <c r="C1186" s="31">
        <v>25198.7</v>
      </c>
      <c r="D1186" s="21">
        <f t="shared" si="38"/>
        <v>-3.2100665154262131E-3</v>
      </c>
      <c r="F1186" s="30">
        <v>45582</v>
      </c>
      <c r="G1186" s="32">
        <v>6.7839999999999998</v>
      </c>
      <c r="H1186" s="21">
        <f t="shared" si="39"/>
        <v>1.6240956739996815E-3</v>
      </c>
    </row>
    <row r="1187" spans="2:8" x14ac:dyDescent="0.25">
      <c r="B1187" s="30">
        <v>45540</v>
      </c>
      <c r="C1187" s="31">
        <v>25145.1</v>
      </c>
      <c r="D1187" s="21">
        <f t="shared" si="38"/>
        <v>-2.127093858016571E-3</v>
      </c>
      <c r="F1187" s="30">
        <v>45583</v>
      </c>
      <c r="G1187" s="32">
        <v>6.8090000000000002</v>
      </c>
      <c r="H1187" s="21">
        <f t="shared" si="39"/>
        <v>3.6851415094341089E-3</v>
      </c>
    </row>
    <row r="1188" spans="2:8" x14ac:dyDescent="0.25">
      <c r="B1188" s="30">
        <v>45541</v>
      </c>
      <c r="C1188" s="31">
        <v>24852.15</v>
      </c>
      <c r="D1188" s="21">
        <f t="shared" si="38"/>
        <v>-1.16503811875871E-2</v>
      </c>
      <c r="F1188" s="30">
        <v>45586</v>
      </c>
      <c r="G1188" s="32">
        <v>6.8369999999999997</v>
      </c>
      <c r="H1188" s="21">
        <f t="shared" si="39"/>
        <v>4.1122044353061327E-3</v>
      </c>
    </row>
    <row r="1189" spans="2:8" x14ac:dyDescent="0.25">
      <c r="B1189" s="30">
        <v>45544</v>
      </c>
      <c r="C1189" s="31">
        <v>24936.400000000001</v>
      </c>
      <c r="D1189" s="21">
        <f t="shared" si="38"/>
        <v>3.3900487482974029E-3</v>
      </c>
      <c r="F1189" s="30">
        <v>45587</v>
      </c>
      <c r="G1189" s="32">
        <v>6.8319999999999999</v>
      </c>
      <c r="H1189" s="21">
        <f t="shared" si="39"/>
        <v>-7.3131490419775513E-4</v>
      </c>
    </row>
    <row r="1190" spans="2:8" x14ac:dyDescent="0.25">
      <c r="B1190" s="30">
        <v>45545</v>
      </c>
      <c r="C1190" s="31">
        <v>25041.1</v>
      </c>
      <c r="D1190" s="21">
        <f t="shared" si="38"/>
        <v>4.1986814455974297E-3</v>
      </c>
      <c r="F1190" s="30">
        <v>45588</v>
      </c>
      <c r="G1190" s="32">
        <v>6.8179999999999996</v>
      </c>
      <c r="H1190" s="21">
        <f t="shared" si="39"/>
        <v>-2.049180327868938E-3</v>
      </c>
    </row>
    <row r="1191" spans="2:8" x14ac:dyDescent="0.25">
      <c r="B1191" s="30">
        <v>45546</v>
      </c>
      <c r="C1191" s="31">
        <v>24918.45</v>
      </c>
      <c r="D1191" s="21">
        <f t="shared" si="38"/>
        <v>-4.8979477738596566E-3</v>
      </c>
      <c r="F1191" s="30">
        <v>45589</v>
      </c>
      <c r="G1191" s="32">
        <v>6.8220000000000001</v>
      </c>
      <c r="H1191" s="21">
        <f t="shared" si="39"/>
        <v>5.866823115283637E-4</v>
      </c>
    </row>
    <row r="1192" spans="2:8" x14ac:dyDescent="0.25">
      <c r="B1192" s="30">
        <v>45547</v>
      </c>
      <c r="C1192" s="31">
        <v>25388.9</v>
      </c>
      <c r="D1192" s="21">
        <f t="shared" si="38"/>
        <v>1.8879585206944993E-2</v>
      </c>
      <c r="F1192" s="30">
        <v>45590</v>
      </c>
      <c r="G1192" s="32">
        <v>6.8449999999999998</v>
      </c>
      <c r="H1192" s="21">
        <f t="shared" si="39"/>
        <v>3.3714453239519493E-3</v>
      </c>
    </row>
    <row r="1193" spans="2:8" x14ac:dyDescent="0.25">
      <c r="B1193" s="30">
        <v>45548</v>
      </c>
      <c r="C1193" s="31">
        <v>25356.5</v>
      </c>
      <c r="D1193" s="21">
        <f t="shared" si="38"/>
        <v>-1.276148238009589E-3</v>
      </c>
      <c r="F1193" s="30">
        <v>45593</v>
      </c>
      <c r="G1193" s="32">
        <v>6.8609999999999998</v>
      </c>
      <c r="H1193" s="21">
        <f t="shared" si="39"/>
        <v>2.3374726077429742E-3</v>
      </c>
    </row>
    <row r="1194" spans="2:8" x14ac:dyDescent="0.25">
      <c r="B1194" s="30">
        <v>45551</v>
      </c>
      <c r="C1194" s="31">
        <v>25383.75</v>
      </c>
      <c r="D1194" s="21">
        <f t="shared" si="38"/>
        <v>1.0746751326089488E-3</v>
      </c>
      <c r="F1194" s="30">
        <v>45594</v>
      </c>
      <c r="G1194" s="32">
        <v>6.8470000000000004</v>
      </c>
      <c r="H1194" s="21">
        <f t="shared" si="39"/>
        <v>-2.0405188747995018E-3</v>
      </c>
    </row>
    <row r="1195" spans="2:8" x14ac:dyDescent="0.25">
      <c r="B1195" s="30">
        <v>45552</v>
      </c>
      <c r="C1195" s="31">
        <v>25418.55</v>
      </c>
      <c r="D1195" s="21">
        <f t="shared" si="38"/>
        <v>1.3709558280394774E-3</v>
      </c>
      <c r="F1195" s="30">
        <v>45595</v>
      </c>
      <c r="G1195" s="32">
        <v>6.827</v>
      </c>
      <c r="H1195" s="21">
        <f t="shared" si="39"/>
        <v>-2.9209872937053794E-3</v>
      </c>
    </row>
    <row r="1196" spans="2:8" x14ac:dyDescent="0.25">
      <c r="B1196" s="30">
        <v>45553</v>
      </c>
      <c r="C1196" s="31">
        <v>25377.55</v>
      </c>
      <c r="D1196" s="21">
        <f t="shared" si="38"/>
        <v>-1.6129952337957665E-3</v>
      </c>
      <c r="F1196" s="30">
        <v>45596</v>
      </c>
      <c r="G1196" s="32">
        <v>6.8410000000000002</v>
      </c>
      <c r="H1196" s="21">
        <f t="shared" si="39"/>
        <v>2.0506811190859064E-3</v>
      </c>
    </row>
    <row r="1197" spans="2:8" x14ac:dyDescent="0.25">
      <c r="B1197" s="30">
        <v>45554</v>
      </c>
      <c r="C1197" s="31">
        <v>25415.8</v>
      </c>
      <c r="D1197" s="21">
        <f t="shared" si="38"/>
        <v>1.5072376963103373E-3</v>
      </c>
      <c r="F1197" s="30">
        <v>45600</v>
      </c>
      <c r="G1197" s="32">
        <v>6.7969999999999997</v>
      </c>
      <c r="H1197" s="21">
        <f t="shared" si="39"/>
        <v>-6.4318082151733069E-3</v>
      </c>
    </row>
    <row r="1198" spans="2:8" x14ac:dyDescent="0.25">
      <c r="B1198" s="30">
        <v>45555</v>
      </c>
      <c r="C1198" s="31">
        <v>25790.95</v>
      </c>
      <c r="D1198" s="21">
        <f t="shared" si="38"/>
        <v>1.4760503308965278E-2</v>
      </c>
      <c r="F1198" s="30">
        <v>45601</v>
      </c>
      <c r="G1198" s="32">
        <v>6.7990000000000004</v>
      </c>
      <c r="H1198" s="21">
        <f t="shared" si="39"/>
        <v>2.9424746211570429E-4</v>
      </c>
    </row>
    <row r="1199" spans="2:8" x14ac:dyDescent="0.25">
      <c r="B1199" s="30">
        <v>45558</v>
      </c>
      <c r="C1199" s="31">
        <v>25939.05</v>
      </c>
      <c r="D1199" s="21">
        <f t="shared" si="38"/>
        <v>5.7423243424534753E-3</v>
      </c>
      <c r="F1199" s="30">
        <v>45602</v>
      </c>
      <c r="G1199" s="32">
        <v>6.798</v>
      </c>
      <c r="H1199" s="21">
        <f t="shared" si="39"/>
        <v>-1.4708045300781958E-4</v>
      </c>
    </row>
    <row r="1200" spans="2:8" x14ac:dyDescent="0.25">
      <c r="B1200" s="30">
        <v>45559</v>
      </c>
      <c r="C1200" s="31">
        <v>25940.400000000001</v>
      </c>
      <c r="D1200" s="21">
        <f t="shared" si="38"/>
        <v>5.2045082607143911E-5</v>
      </c>
      <c r="F1200" s="30">
        <v>45603</v>
      </c>
      <c r="G1200" s="32">
        <v>6.7960000000000003</v>
      </c>
      <c r="H1200" s="21">
        <f t="shared" si="39"/>
        <v>-2.9420417769931984E-4</v>
      </c>
    </row>
    <row r="1201" spans="2:8" x14ac:dyDescent="0.25">
      <c r="B1201" s="30">
        <v>45560</v>
      </c>
      <c r="C1201" s="31">
        <v>26004.15</v>
      </c>
      <c r="D1201" s="21">
        <f t="shared" si="38"/>
        <v>2.4575565527131804E-3</v>
      </c>
      <c r="F1201" s="30">
        <v>45604</v>
      </c>
      <c r="G1201" s="32">
        <v>6.774</v>
      </c>
      <c r="H1201" s="21">
        <f t="shared" si="39"/>
        <v>-3.2371983519717817E-3</v>
      </c>
    </row>
    <row r="1202" spans="2:8" x14ac:dyDescent="0.25">
      <c r="B1202" s="30">
        <v>45561</v>
      </c>
      <c r="C1202" s="31">
        <v>26216.05</v>
      </c>
      <c r="D1202" s="21">
        <f t="shared" si="38"/>
        <v>8.1486993422204002E-3</v>
      </c>
      <c r="F1202" s="30">
        <v>45607</v>
      </c>
      <c r="G1202" s="32">
        <v>6.7850000000000001</v>
      </c>
      <c r="H1202" s="21">
        <f t="shared" si="39"/>
        <v>1.6238559196930513E-3</v>
      </c>
    </row>
    <row r="1203" spans="2:8" x14ac:dyDescent="0.25">
      <c r="B1203" s="30">
        <v>45562</v>
      </c>
      <c r="C1203" s="31">
        <v>26178.95</v>
      </c>
      <c r="D1203" s="21">
        <f t="shared" si="38"/>
        <v>-1.4151636116043198E-3</v>
      </c>
      <c r="F1203" s="30">
        <v>45608</v>
      </c>
      <c r="G1203" s="32">
        <v>6.7949999999999999</v>
      </c>
      <c r="H1203" s="21">
        <f t="shared" si="39"/>
        <v>1.4738393515105752E-3</v>
      </c>
    </row>
    <row r="1204" spans="2:8" x14ac:dyDescent="0.25">
      <c r="B1204" s="30">
        <v>45565</v>
      </c>
      <c r="C1204" s="31">
        <v>25810.85</v>
      </c>
      <c r="D1204" s="21">
        <f t="shared" si="38"/>
        <v>-1.4060915353747983E-2</v>
      </c>
      <c r="F1204" s="30">
        <v>45609</v>
      </c>
      <c r="G1204" s="32">
        <v>6.8040000000000003</v>
      </c>
      <c r="H1204" s="21">
        <f t="shared" si="39"/>
        <v>1.3245033112583293E-3</v>
      </c>
    </row>
    <row r="1205" spans="2:8" x14ac:dyDescent="0.25">
      <c r="B1205" s="30">
        <v>45566</v>
      </c>
      <c r="C1205" s="31">
        <v>25796.9</v>
      </c>
      <c r="D1205" s="21">
        <f t="shared" si="38"/>
        <v>-5.4047038357885047E-4</v>
      </c>
      <c r="F1205" s="30">
        <v>45610</v>
      </c>
      <c r="G1205" s="32">
        <v>6.827</v>
      </c>
      <c r="H1205" s="21">
        <f t="shared" si="39"/>
        <v>3.380364491475607E-3</v>
      </c>
    </row>
    <row r="1206" spans="2:8" x14ac:dyDescent="0.25">
      <c r="B1206" s="30">
        <v>45568</v>
      </c>
      <c r="C1206" s="31">
        <v>25250.1</v>
      </c>
      <c r="D1206" s="21">
        <f t="shared" si="38"/>
        <v>-2.1196345297303298E-2</v>
      </c>
      <c r="F1206" s="30">
        <v>45614</v>
      </c>
      <c r="G1206" s="32">
        <v>6.8209999999999997</v>
      </c>
      <c r="H1206" s="21">
        <f t="shared" si="39"/>
        <v>-8.7886333675113448E-4</v>
      </c>
    </row>
    <row r="1207" spans="2:8" x14ac:dyDescent="0.25">
      <c r="B1207" s="30">
        <v>45569</v>
      </c>
      <c r="C1207" s="31">
        <v>25014.6</v>
      </c>
      <c r="D1207" s="21">
        <f t="shared" si="38"/>
        <v>-9.3266957358584257E-3</v>
      </c>
      <c r="F1207" s="30">
        <v>45615</v>
      </c>
      <c r="G1207" s="32">
        <v>6.8109999999999999</v>
      </c>
      <c r="H1207" s="21">
        <f t="shared" si="39"/>
        <v>-1.4660606949127297E-3</v>
      </c>
    </row>
    <row r="1208" spans="2:8" x14ac:dyDescent="0.25">
      <c r="B1208" s="30">
        <v>45572</v>
      </c>
      <c r="C1208" s="31">
        <v>24795.75</v>
      </c>
      <c r="D1208" s="21">
        <f t="shared" si="38"/>
        <v>-8.7488906478615514E-3</v>
      </c>
      <c r="F1208" s="30">
        <v>45617</v>
      </c>
      <c r="G1208" s="32">
        <v>6.8310000000000004</v>
      </c>
      <c r="H1208" s="21">
        <f t="shared" si="39"/>
        <v>2.9364263691089576E-3</v>
      </c>
    </row>
    <row r="1209" spans="2:8" x14ac:dyDescent="0.25">
      <c r="B1209" s="30">
        <v>45573</v>
      </c>
      <c r="C1209" s="31">
        <v>25013.15</v>
      </c>
      <c r="D1209" s="21">
        <f t="shared" si="38"/>
        <v>8.7676315497615676E-3</v>
      </c>
      <c r="F1209" s="30">
        <v>45618</v>
      </c>
      <c r="G1209" s="32">
        <v>6.85</v>
      </c>
      <c r="H1209" s="21">
        <f t="shared" si="39"/>
        <v>2.7814375640462519E-3</v>
      </c>
    </row>
    <row r="1210" spans="2:8" x14ac:dyDescent="0.25">
      <c r="B1210" s="30">
        <v>45574</v>
      </c>
      <c r="C1210" s="31">
        <v>24981.95</v>
      </c>
      <c r="D1210" s="21">
        <f t="shared" si="38"/>
        <v>-1.2473438971101203E-3</v>
      </c>
      <c r="F1210" s="30">
        <v>45621</v>
      </c>
      <c r="G1210" s="32">
        <v>6.8220000000000001</v>
      </c>
      <c r="H1210" s="21">
        <f t="shared" si="39"/>
        <v>-4.0875912408758763E-3</v>
      </c>
    </row>
    <row r="1211" spans="2:8" x14ac:dyDescent="0.25">
      <c r="B1211" s="30">
        <v>45575</v>
      </c>
      <c r="C1211" s="31">
        <v>24998.45</v>
      </c>
      <c r="D1211" s="21">
        <f t="shared" si="38"/>
        <v>6.6047686429593355E-4</v>
      </c>
      <c r="F1211" s="30">
        <v>45622</v>
      </c>
      <c r="G1211" s="32">
        <v>6.827</v>
      </c>
      <c r="H1211" s="21">
        <f t="shared" si="39"/>
        <v>7.3292289651116782E-4</v>
      </c>
    </row>
    <row r="1212" spans="2:8" x14ac:dyDescent="0.25">
      <c r="B1212" s="30">
        <v>45576</v>
      </c>
      <c r="C1212" s="31">
        <v>24964.25</v>
      </c>
      <c r="D1212" s="21">
        <f t="shared" si="38"/>
        <v>-1.3680848212589414E-3</v>
      </c>
      <c r="F1212" s="30">
        <v>45623</v>
      </c>
      <c r="G1212" s="32">
        <v>6.8120000000000003</v>
      </c>
      <c r="H1212" s="21">
        <f t="shared" si="39"/>
        <v>-2.1971583418778362E-3</v>
      </c>
    </row>
    <row r="1213" spans="2:8" x14ac:dyDescent="0.25">
      <c r="B1213" s="30">
        <v>45579</v>
      </c>
      <c r="C1213" s="31">
        <v>25127.95</v>
      </c>
      <c r="D1213" s="21">
        <f t="shared" si="38"/>
        <v>6.5573770491802463E-3</v>
      </c>
      <c r="F1213" s="30">
        <v>45624</v>
      </c>
      <c r="G1213" s="32">
        <v>6.8049999999999997</v>
      </c>
      <c r="H1213" s="21">
        <f t="shared" si="39"/>
        <v>-1.0275983558427626E-3</v>
      </c>
    </row>
    <row r="1214" spans="2:8" x14ac:dyDescent="0.25">
      <c r="B1214" s="30">
        <v>45580</v>
      </c>
      <c r="C1214" s="31">
        <v>25057.35</v>
      </c>
      <c r="D1214" s="21">
        <f t="shared" si="38"/>
        <v>-2.809620362982379E-3</v>
      </c>
      <c r="F1214" s="30">
        <v>45625</v>
      </c>
      <c r="G1214" s="32">
        <v>6.7510000000000003</v>
      </c>
      <c r="H1214" s="21">
        <f t="shared" si="39"/>
        <v>-7.93534166054366E-3</v>
      </c>
    </row>
    <row r="1215" spans="2:8" x14ac:dyDescent="0.25">
      <c r="B1215" s="30">
        <v>45581</v>
      </c>
      <c r="C1215" s="31">
        <v>24971.3</v>
      </c>
      <c r="D1215" s="21">
        <f t="shared" si="38"/>
        <v>-3.4341221238478603E-3</v>
      </c>
      <c r="F1215" s="30">
        <v>45628</v>
      </c>
      <c r="G1215" s="32">
        <v>6.71</v>
      </c>
      <c r="H1215" s="21">
        <f t="shared" si="39"/>
        <v>-6.0731743445415765E-3</v>
      </c>
    </row>
    <row r="1216" spans="2:8" x14ac:dyDescent="0.25">
      <c r="B1216" s="30">
        <v>45582</v>
      </c>
      <c r="C1216" s="31">
        <v>24749.85</v>
      </c>
      <c r="D1216" s="21">
        <f t="shared" si="38"/>
        <v>-8.8681806714108191E-3</v>
      </c>
      <c r="F1216" s="30">
        <v>45629</v>
      </c>
      <c r="G1216" s="32">
        <v>6.7140000000000004</v>
      </c>
      <c r="H1216" s="21">
        <f t="shared" si="39"/>
        <v>5.9612518628915367E-4</v>
      </c>
    </row>
    <row r="1217" spans="2:8" x14ac:dyDescent="0.25">
      <c r="B1217" s="30">
        <v>45583</v>
      </c>
      <c r="C1217" s="31">
        <v>24854.05</v>
      </c>
      <c r="D1217" s="21">
        <f t="shared" si="38"/>
        <v>4.2101265260194864E-3</v>
      </c>
      <c r="F1217" s="30">
        <v>45630</v>
      </c>
      <c r="G1217" s="32">
        <v>6.6859999999999999</v>
      </c>
      <c r="H1217" s="21">
        <f t="shared" si="39"/>
        <v>-4.1703902293714901E-3</v>
      </c>
    </row>
    <row r="1218" spans="2:8" x14ac:dyDescent="0.25">
      <c r="B1218" s="30">
        <v>45586</v>
      </c>
      <c r="C1218" s="31">
        <v>24781.1</v>
      </c>
      <c r="D1218" s="21">
        <f t="shared" si="38"/>
        <v>-2.9351353199982277E-3</v>
      </c>
      <c r="F1218" s="30">
        <v>45631</v>
      </c>
      <c r="G1218" s="32">
        <v>6.68</v>
      </c>
      <c r="H1218" s="21">
        <f t="shared" si="39"/>
        <v>-8.973975471133766E-4</v>
      </c>
    </row>
    <row r="1219" spans="2:8" x14ac:dyDescent="0.25">
      <c r="B1219" s="30">
        <v>45587</v>
      </c>
      <c r="C1219" s="31">
        <v>24472.1</v>
      </c>
      <c r="D1219" s="21">
        <f t="shared" si="38"/>
        <v>-1.2469180141317371E-2</v>
      </c>
      <c r="F1219" s="30">
        <v>45632</v>
      </c>
      <c r="G1219" s="32">
        <v>6.74</v>
      </c>
      <c r="H1219" s="21">
        <f t="shared" si="39"/>
        <v>8.9820359281438389E-3</v>
      </c>
    </row>
    <row r="1220" spans="2:8" x14ac:dyDescent="0.25">
      <c r="B1220" s="30">
        <v>45588</v>
      </c>
      <c r="C1220" s="31">
        <v>24435.5</v>
      </c>
      <c r="D1220" s="21">
        <f t="shared" si="38"/>
        <v>-1.4955806816742134E-3</v>
      </c>
      <c r="F1220" s="30">
        <v>45635</v>
      </c>
      <c r="G1220" s="32">
        <v>6.7169999999999996</v>
      </c>
      <c r="H1220" s="21">
        <f t="shared" si="39"/>
        <v>-3.4124629080120039E-3</v>
      </c>
    </row>
    <row r="1221" spans="2:8" x14ac:dyDescent="0.25">
      <c r="B1221" s="30">
        <v>45589</v>
      </c>
      <c r="C1221" s="31">
        <v>24399.4</v>
      </c>
      <c r="D1221" s="21">
        <f t="shared" si="38"/>
        <v>-1.4773587608192251E-3</v>
      </c>
      <c r="F1221" s="30">
        <v>45636</v>
      </c>
      <c r="G1221" s="32">
        <v>6.7050000000000001</v>
      </c>
      <c r="H1221" s="21">
        <f t="shared" si="39"/>
        <v>-1.7865118356408249E-3</v>
      </c>
    </row>
    <row r="1222" spans="2:8" x14ac:dyDescent="0.25">
      <c r="B1222" s="30">
        <v>45590</v>
      </c>
      <c r="C1222" s="31">
        <v>24180.799999999999</v>
      </c>
      <c r="D1222" s="21">
        <f t="shared" si="38"/>
        <v>-8.9592367025419506E-3</v>
      </c>
      <c r="F1222" s="30">
        <v>45637</v>
      </c>
      <c r="G1222" s="32">
        <v>6.718</v>
      </c>
      <c r="H1222" s="21">
        <f t="shared" si="39"/>
        <v>1.938851603281222E-3</v>
      </c>
    </row>
    <row r="1223" spans="2:8" x14ac:dyDescent="0.25">
      <c r="B1223" s="30">
        <v>45593</v>
      </c>
      <c r="C1223" s="31">
        <v>24339.15</v>
      </c>
      <c r="D1223" s="21">
        <f t="shared" si="38"/>
        <v>6.5485840005294893E-3</v>
      </c>
      <c r="F1223" s="30">
        <v>45638</v>
      </c>
      <c r="G1223" s="32">
        <v>6.7359999999999998</v>
      </c>
      <c r="H1223" s="21">
        <f t="shared" si="39"/>
        <v>2.6793688597797072E-3</v>
      </c>
    </row>
    <row r="1224" spans="2:8" x14ac:dyDescent="0.25">
      <c r="B1224" s="30">
        <v>45594</v>
      </c>
      <c r="C1224" s="31">
        <v>24466.85</v>
      </c>
      <c r="D1224" s="21">
        <f t="shared" si="38"/>
        <v>5.2466910307056303E-3</v>
      </c>
      <c r="F1224" s="30">
        <v>45639</v>
      </c>
      <c r="G1224" s="32">
        <v>6.7290000000000001</v>
      </c>
      <c r="H1224" s="21">
        <f t="shared" si="39"/>
        <v>-1.0391923990498153E-3</v>
      </c>
    </row>
    <row r="1225" spans="2:8" x14ac:dyDescent="0.25">
      <c r="B1225" s="30">
        <v>45595</v>
      </c>
      <c r="C1225" s="31">
        <v>24340.85</v>
      </c>
      <c r="D1225" s="21">
        <f t="shared" si="38"/>
        <v>-5.1498251716097787E-3</v>
      </c>
      <c r="F1225" s="30">
        <v>45642</v>
      </c>
      <c r="G1225" s="32">
        <v>6.7409999999999997</v>
      </c>
      <c r="H1225" s="21">
        <f t="shared" si="39"/>
        <v>1.7833259028086079E-3</v>
      </c>
    </row>
    <row r="1226" spans="2:8" x14ac:dyDescent="0.25">
      <c r="B1226" s="30">
        <v>45596</v>
      </c>
      <c r="C1226" s="31">
        <v>24205.35</v>
      </c>
      <c r="D1226" s="21">
        <f t="shared" si="38"/>
        <v>-5.5667735514577377E-3</v>
      </c>
      <c r="F1226" s="30">
        <v>45643</v>
      </c>
      <c r="G1226" s="32">
        <v>6.7590000000000003</v>
      </c>
      <c r="H1226" s="21">
        <f t="shared" si="39"/>
        <v>2.6702269692924219E-3</v>
      </c>
    </row>
    <row r="1227" spans="2:8" x14ac:dyDescent="0.25">
      <c r="B1227" s="30">
        <v>45597</v>
      </c>
      <c r="C1227" s="31">
        <v>24304.35</v>
      </c>
      <c r="D1227" s="21">
        <f t="shared" si="38"/>
        <v>4.0900048956118429E-3</v>
      </c>
      <c r="F1227" s="30">
        <v>45644</v>
      </c>
      <c r="G1227" s="32">
        <v>6.7510000000000003</v>
      </c>
      <c r="H1227" s="21">
        <f t="shared" si="39"/>
        <v>-1.1836070424618983E-3</v>
      </c>
    </row>
    <row r="1228" spans="2:8" x14ac:dyDescent="0.25">
      <c r="B1228" s="30">
        <v>45600</v>
      </c>
      <c r="C1228" s="31">
        <v>23995.35</v>
      </c>
      <c r="D1228" s="21">
        <f t="shared" si="38"/>
        <v>-1.2713773460306443E-2</v>
      </c>
      <c r="F1228" s="30">
        <v>45645</v>
      </c>
      <c r="G1228" s="32">
        <v>6.7869999999999999</v>
      </c>
      <c r="H1228" s="21">
        <f t="shared" si="39"/>
        <v>5.3325433269144629E-3</v>
      </c>
    </row>
    <row r="1229" spans="2:8" x14ac:dyDescent="0.25">
      <c r="B1229" s="30">
        <v>45601</v>
      </c>
      <c r="C1229" s="31">
        <v>24213.3</v>
      </c>
      <c r="D1229" s="21">
        <f t="shared" si="38"/>
        <v>9.0830098331551312E-3</v>
      </c>
      <c r="F1229" s="30">
        <v>45646</v>
      </c>
      <c r="G1229" s="32">
        <v>6.7910000000000004</v>
      </c>
      <c r="H1229" s="21">
        <f t="shared" si="39"/>
        <v>5.8936201561810009E-4</v>
      </c>
    </row>
    <row r="1230" spans="2:8" x14ac:dyDescent="0.25">
      <c r="B1230" s="30">
        <v>45602</v>
      </c>
      <c r="C1230" s="31">
        <v>24484.05</v>
      </c>
      <c r="D1230" s="21">
        <f t="shared" si="38"/>
        <v>1.1181871120417242E-2</v>
      </c>
      <c r="F1230" s="30">
        <v>45649</v>
      </c>
      <c r="G1230" s="32">
        <v>6.7759999999999998</v>
      </c>
      <c r="H1230" s="21">
        <f t="shared" si="39"/>
        <v>-2.2088057723458343E-3</v>
      </c>
    </row>
    <row r="1231" spans="2:8" x14ac:dyDescent="0.25">
      <c r="B1231" s="30">
        <v>45603</v>
      </c>
      <c r="C1231" s="31">
        <v>24199.35</v>
      </c>
      <c r="D1231" s="21">
        <f t="shared" si="38"/>
        <v>-1.1627978214388546E-2</v>
      </c>
      <c r="F1231" s="30">
        <v>45650</v>
      </c>
      <c r="G1231" s="32">
        <v>6.7759999999999998</v>
      </c>
      <c r="H1231" s="21">
        <f t="shared" si="39"/>
        <v>0</v>
      </c>
    </row>
    <row r="1232" spans="2:8" x14ac:dyDescent="0.25">
      <c r="B1232" s="30">
        <v>45604</v>
      </c>
      <c r="C1232" s="31">
        <v>24148.2</v>
      </c>
      <c r="D1232" s="21">
        <f t="shared" si="38"/>
        <v>-2.1136931363857636E-3</v>
      </c>
      <c r="F1232" s="30">
        <v>45652</v>
      </c>
      <c r="G1232" s="32">
        <v>6.7839999999999998</v>
      </c>
      <c r="H1232" s="21">
        <f t="shared" si="39"/>
        <v>1.1806375442739991E-3</v>
      </c>
    </row>
    <row r="1233" spans="2:8" x14ac:dyDescent="0.25">
      <c r="B1233" s="30">
        <v>45607</v>
      </c>
      <c r="C1233" s="31">
        <v>24141.3</v>
      </c>
      <c r="D1233" s="21">
        <f t="shared" si="38"/>
        <v>-2.8573558277644739E-4</v>
      </c>
      <c r="F1233" s="30">
        <v>45653</v>
      </c>
      <c r="G1233" s="32">
        <v>6.7869999999999999</v>
      </c>
      <c r="H1233" s="21">
        <f t="shared" si="39"/>
        <v>4.4221698113200425E-4</v>
      </c>
    </row>
    <row r="1234" spans="2:8" x14ac:dyDescent="0.25">
      <c r="B1234" s="30">
        <v>45608</v>
      </c>
      <c r="C1234" s="31">
        <v>23883.45</v>
      </c>
      <c r="D1234" s="21">
        <f t="shared" si="38"/>
        <v>-1.0680866399075395E-2</v>
      </c>
      <c r="F1234" s="30">
        <v>45656</v>
      </c>
      <c r="G1234" s="32">
        <v>6.7750000000000004</v>
      </c>
      <c r="H1234" s="21">
        <f t="shared" si="39"/>
        <v>-1.7680860468541892E-3</v>
      </c>
    </row>
    <row r="1235" spans="2:8" x14ac:dyDescent="0.25">
      <c r="B1235" s="30">
        <v>45609</v>
      </c>
      <c r="C1235" s="31">
        <v>23559.05</v>
      </c>
      <c r="D1235" s="21">
        <f t="shared" si="38"/>
        <v>-1.3582627300494754E-2</v>
      </c>
      <c r="F1235" s="30">
        <v>45657</v>
      </c>
      <c r="G1235" s="32">
        <v>6.7590000000000003</v>
      </c>
      <c r="H1235" s="21">
        <f t="shared" si="39"/>
        <v>-2.3616236162361526E-3</v>
      </c>
    </row>
    <row r="1236" spans="2:8" x14ac:dyDescent="0.25">
      <c r="B1236" s="30">
        <v>45610</v>
      </c>
      <c r="C1236" s="31">
        <v>23532.7</v>
      </c>
      <c r="D1236" s="21">
        <f t="shared" si="38"/>
        <v>-1.1184661520731165E-3</v>
      </c>
    </row>
    <row r="1237" spans="2:8" x14ac:dyDescent="0.25">
      <c r="B1237" s="30">
        <v>45614</v>
      </c>
      <c r="C1237" s="31">
        <v>23453.8</v>
      </c>
      <c r="D1237" s="21">
        <f t="shared" si="38"/>
        <v>-3.3527814487925856E-3</v>
      </c>
    </row>
    <row r="1238" spans="2:8" x14ac:dyDescent="0.25">
      <c r="B1238" s="30">
        <v>45615</v>
      </c>
      <c r="C1238" s="31">
        <v>23518.5</v>
      </c>
      <c r="D1238" s="21">
        <f t="shared" si="38"/>
        <v>2.758614808687776E-3</v>
      </c>
    </row>
    <row r="1239" spans="2:8" x14ac:dyDescent="0.25">
      <c r="B1239" s="30">
        <v>45617</v>
      </c>
      <c r="C1239" s="31">
        <v>23349.9</v>
      </c>
      <c r="D1239" s="21">
        <f t="shared" si="38"/>
        <v>-7.1688245423814356E-3</v>
      </c>
    </row>
    <row r="1240" spans="2:8" x14ac:dyDescent="0.25">
      <c r="B1240" s="30">
        <v>45618</v>
      </c>
      <c r="C1240" s="31">
        <v>23907.25</v>
      </c>
      <c r="D1240" s="21">
        <f t="shared" si="38"/>
        <v>2.3869481239748191E-2</v>
      </c>
    </row>
    <row r="1241" spans="2:8" x14ac:dyDescent="0.25">
      <c r="B1241" s="30">
        <v>45621</v>
      </c>
      <c r="C1241" s="31">
        <v>24221.9</v>
      </c>
      <c r="D1241" s="21">
        <f t="shared" ref="D1241:D1266" si="40">C1241/C1240-1</f>
        <v>1.3161279528176584E-2</v>
      </c>
    </row>
    <row r="1242" spans="2:8" x14ac:dyDescent="0.25">
      <c r="B1242" s="30">
        <v>45622</v>
      </c>
      <c r="C1242" s="31">
        <v>24194.5</v>
      </c>
      <c r="D1242" s="21">
        <f t="shared" si="40"/>
        <v>-1.1312077087264338E-3</v>
      </c>
    </row>
    <row r="1243" spans="2:8" x14ac:dyDescent="0.25">
      <c r="B1243" s="30">
        <v>45623</v>
      </c>
      <c r="C1243" s="31">
        <v>24274.9</v>
      </c>
      <c r="D1243" s="21">
        <f t="shared" si="40"/>
        <v>3.3230692926078387E-3</v>
      </c>
    </row>
    <row r="1244" spans="2:8" x14ac:dyDescent="0.25">
      <c r="B1244" s="30">
        <v>45624</v>
      </c>
      <c r="C1244" s="31">
        <v>23914.15</v>
      </c>
      <c r="D1244" s="21">
        <f t="shared" si="40"/>
        <v>-1.4861029293632533E-2</v>
      </c>
    </row>
    <row r="1245" spans="2:8" x14ac:dyDescent="0.25">
      <c r="B1245" s="30">
        <v>45625</v>
      </c>
      <c r="C1245" s="31">
        <v>24131.1</v>
      </c>
      <c r="D1245" s="21">
        <f t="shared" si="40"/>
        <v>9.0720347576642713E-3</v>
      </c>
    </row>
    <row r="1246" spans="2:8" x14ac:dyDescent="0.25">
      <c r="B1246" s="30">
        <v>45628</v>
      </c>
      <c r="C1246" s="31">
        <v>24276.05</v>
      </c>
      <c r="D1246" s="21">
        <f t="shared" si="40"/>
        <v>6.0067713448621607E-3</v>
      </c>
    </row>
    <row r="1247" spans="2:8" x14ac:dyDescent="0.25">
      <c r="B1247" s="30">
        <v>45629</v>
      </c>
      <c r="C1247" s="31">
        <v>24457.15</v>
      </c>
      <c r="D1247" s="21">
        <f t="shared" si="40"/>
        <v>7.4600274756395635E-3</v>
      </c>
    </row>
    <row r="1248" spans="2:8" x14ac:dyDescent="0.25">
      <c r="B1248" s="30">
        <v>45630</v>
      </c>
      <c r="C1248" s="31">
        <v>24467.45</v>
      </c>
      <c r="D1248" s="21">
        <f t="shared" si="40"/>
        <v>4.2114473681520437E-4</v>
      </c>
    </row>
    <row r="1249" spans="2:4" x14ac:dyDescent="0.25">
      <c r="B1249" s="30">
        <v>45631</v>
      </c>
      <c r="C1249" s="31">
        <v>24708.400000000001</v>
      </c>
      <c r="D1249" s="21">
        <f t="shared" si="40"/>
        <v>9.8477773531773227E-3</v>
      </c>
    </row>
    <row r="1250" spans="2:4" x14ac:dyDescent="0.25">
      <c r="B1250" s="30">
        <v>45632</v>
      </c>
      <c r="C1250" s="31">
        <v>24677.8</v>
      </c>
      <c r="D1250" s="21">
        <f t="shared" si="40"/>
        <v>-1.2384452251057443E-3</v>
      </c>
    </row>
    <row r="1251" spans="2:4" x14ac:dyDescent="0.25">
      <c r="B1251" s="30">
        <v>45635</v>
      </c>
      <c r="C1251" s="31">
        <v>24619</v>
      </c>
      <c r="D1251" s="21">
        <f t="shared" si="40"/>
        <v>-2.3827083451523068E-3</v>
      </c>
    </row>
    <row r="1252" spans="2:4" x14ac:dyDescent="0.25">
      <c r="B1252" s="30">
        <v>45636</v>
      </c>
      <c r="C1252" s="31">
        <v>24610.05</v>
      </c>
      <c r="D1252" s="21">
        <f t="shared" si="40"/>
        <v>-3.6354035501040549E-4</v>
      </c>
    </row>
    <row r="1253" spans="2:4" x14ac:dyDescent="0.25">
      <c r="B1253" s="30">
        <v>45637</v>
      </c>
      <c r="C1253" s="31">
        <v>24641.8</v>
      </c>
      <c r="D1253" s="21">
        <f t="shared" si="40"/>
        <v>1.2901233439184256E-3</v>
      </c>
    </row>
    <row r="1254" spans="2:4" x14ac:dyDescent="0.25">
      <c r="B1254" s="30">
        <v>45638</v>
      </c>
      <c r="C1254" s="31">
        <v>24548.7</v>
      </c>
      <c r="D1254" s="21">
        <f t="shared" si="40"/>
        <v>-3.778133090926783E-3</v>
      </c>
    </row>
    <row r="1255" spans="2:4" x14ac:dyDescent="0.25">
      <c r="B1255" s="30">
        <v>45639</v>
      </c>
      <c r="C1255" s="31">
        <v>24768.3</v>
      </c>
      <c r="D1255" s="21">
        <f t="shared" si="40"/>
        <v>8.9454838749098986E-3</v>
      </c>
    </row>
    <row r="1256" spans="2:4" x14ac:dyDescent="0.25">
      <c r="B1256" s="30">
        <v>45642</v>
      </c>
      <c r="C1256" s="31">
        <v>24668.25</v>
      </c>
      <c r="D1256" s="21">
        <f t="shared" si="40"/>
        <v>-4.0394375068131261E-3</v>
      </c>
    </row>
    <row r="1257" spans="2:4" x14ac:dyDescent="0.25">
      <c r="B1257" s="30">
        <v>45643</v>
      </c>
      <c r="C1257" s="31">
        <v>24336</v>
      </c>
      <c r="D1257" s="21">
        <f t="shared" si="40"/>
        <v>-1.3468730047733413E-2</v>
      </c>
    </row>
    <row r="1258" spans="2:4" x14ac:dyDescent="0.25">
      <c r="B1258" s="30">
        <v>45644</v>
      </c>
      <c r="C1258" s="31">
        <v>24198.85</v>
      </c>
      <c r="D1258" s="21">
        <f t="shared" si="40"/>
        <v>-5.6356837606837962E-3</v>
      </c>
    </row>
    <row r="1259" spans="2:4" x14ac:dyDescent="0.25">
      <c r="B1259" s="30">
        <v>45645</v>
      </c>
      <c r="C1259" s="31">
        <v>23951.7</v>
      </c>
      <c r="D1259" s="21">
        <f t="shared" si="40"/>
        <v>-1.0213295259898669E-2</v>
      </c>
    </row>
    <row r="1260" spans="2:4" x14ac:dyDescent="0.25">
      <c r="B1260" s="30">
        <v>45646</v>
      </c>
      <c r="C1260" s="31">
        <v>23587.5</v>
      </c>
      <c r="D1260" s="21">
        <f t="shared" si="40"/>
        <v>-1.5205601272561098E-2</v>
      </c>
    </row>
    <row r="1261" spans="2:4" x14ac:dyDescent="0.25">
      <c r="B1261" s="30">
        <v>45649</v>
      </c>
      <c r="C1261" s="31">
        <v>23753.45</v>
      </c>
      <c r="D1261" s="21">
        <f t="shared" si="40"/>
        <v>7.0355060943296799E-3</v>
      </c>
    </row>
    <row r="1262" spans="2:4" x14ac:dyDescent="0.25">
      <c r="B1262" s="30">
        <v>45650</v>
      </c>
      <c r="C1262" s="31">
        <v>23727.65</v>
      </c>
      <c r="D1262" s="21">
        <f t="shared" si="40"/>
        <v>-1.0861580107310864E-3</v>
      </c>
    </row>
    <row r="1263" spans="2:4" x14ac:dyDescent="0.25">
      <c r="B1263" s="30">
        <v>45652</v>
      </c>
      <c r="C1263" s="31">
        <v>23750.2</v>
      </c>
      <c r="D1263" s="21">
        <f t="shared" si="40"/>
        <v>9.5036803054671104E-4</v>
      </c>
    </row>
    <row r="1264" spans="2:4" x14ac:dyDescent="0.25">
      <c r="B1264" s="30">
        <v>45653</v>
      </c>
      <c r="C1264" s="31">
        <v>23813.4</v>
      </c>
      <c r="D1264" s="21">
        <f t="shared" si="40"/>
        <v>2.6610302229033156E-3</v>
      </c>
    </row>
    <row r="1265" spans="2:4" x14ac:dyDescent="0.25">
      <c r="B1265" s="30">
        <v>45656</v>
      </c>
      <c r="C1265" s="31">
        <v>23644.9</v>
      </c>
      <c r="D1265" s="21">
        <f t="shared" si="40"/>
        <v>-7.0758480519371725E-3</v>
      </c>
    </row>
    <row r="1266" spans="2:4" x14ac:dyDescent="0.25">
      <c r="B1266" s="30">
        <v>45657</v>
      </c>
      <c r="C1266" s="31">
        <v>23644.799999999999</v>
      </c>
      <c r="D1266" s="21">
        <f t="shared" si="40"/>
        <v>-4.2292418238609741E-6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60525-9E5B-47F2-81FA-97722C596C65}">
  <sheetPr>
    <tabColor rgb="FFC0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E8CE2-EC18-460F-892A-A208778E91AE}">
  <dimension ref="B2:F98"/>
  <sheetViews>
    <sheetView showGridLines="0" topLeftCell="A72" workbookViewId="0">
      <selection activeCell="D93" sqref="D93"/>
    </sheetView>
  </sheetViews>
  <sheetFormatPr defaultRowHeight="15" x14ac:dyDescent="0.25"/>
  <cols>
    <col min="1" max="1" width="1.85546875" customWidth="1"/>
    <col min="2" max="2" width="15.42578125" customWidth="1"/>
    <col min="3" max="3" width="23.42578125" customWidth="1"/>
    <col min="4" max="4" width="24" customWidth="1"/>
  </cols>
  <sheetData>
    <row r="2" spans="2:6" ht="18.75" x14ac:dyDescent="0.3">
      <c r="B2" s="36" t="s">
        <v>26</v>
      </c>
    </row>
    <row r="3" spans="2:6" ht="3.95" customHeight="1" x14ac:dyDescent="0.25"/>
    <row r="4" spans="2:6" x14ac:dyDescent="0.25">
      <c r="B4" s="4" t="s">
        <v>27</v>
      </c>
      <c r="C4" s="39">
        <v>1.6999999999999999E-3</v>
      </c>
    </row>
    <row r="5" spans="2:6" ht="3.95" customHeight="1" x14ac:dyDescent="0.25"/>
    <row r="6" spans="2:6" x14ac:dyDescent="0.25">
      <c r="B6" s="16" t="s">
        <v>24</v>
      </c>
      <c r="C6" s="40" t="s">
        <v>28</v>
      </c>
      <c r="D6" s="15" t="s">
        <v>29</v>
      </c>
    </row>
    <row r="7" spans="2:6" ht="3.95" customHeight="1" x14ac:dyDescent="0.25">
      <c r="B7" s="19"/>
      <c r="C7" s="41"/>
      <c r="D7" s="18"/>
    </row>
    <row r="8" spans="2:6" x14ac:dyDescent="0.25">
      <c r="B8" s="32" t="s">
        <v>30</v>
      </c>
      <c r="C8" s="38">
        <v>6.7999999999999996E-3</v>
      </c>
      <c r="D8" s="38">
        <v>5.0999999999999995E-3</v>
      </c>
      <c r="F8" s="34" t="s">
        <v>23</v>
      </c>
    </row>
    <row r="9" spans="2:6" x14ac:dyDescent="0.25">
      <c r="B9" s="32" t="s">
        <v>31</v>
      </c>
      <c r="C9" s="38">
        <v>1.4E-2</v>
      </c>
      <c r="D9" s="38">
        <v>1.23E-2</v>
      </c>
    </row>
    <row r="10" spans="2:6" x14ac:dyDescent="0.25">
      <c r="B10" s="32" t="s">
        <v>32</v>
      </c>
      <c r="C10" s="38">
        <v>7.1599999999999997E-2</v>
      </c>
      <c r="D10" s="38">
        <v>6.9900000000000004E-2</v>
      </c>
    </row>
    <row r="11" spans="2:6" x14ac:dyDescent="0.25">
      <c r="B11" s="32" t="s">
        <v>33</v>
      </c>
      <c r="C11" s="38">
        <v>8.3699999999999997E-2</v>
      </c>
      <c r="D11" s="38">
        <v>8.2000000000000003E-2</v>
      </c>
    </row>
    <row r="12" spans="2:6" x14ac:dyDescent="0.25">
      <c r="B12" s="32" t="s">
        <v>34</v>
      </c>
      <c r="C12" s="38">
        <v>1.8E-3</v>
      </c>
      <c r="D12" s="38">
        <v>1.0000000000000005E-4</v>
      </c>
      <c r="F12" s="34"/>
    </row>
    <row r="13" spans="2:6" x14ac:dyDescent="0.25">
      <c r="B13" s="32" t="s">
        <v>35</v>
      </c>
      <c r="C13" s="38">
        <v>3.2000000000000002E-3</v>
      </c>
      <c r="D13" s="38">
        <v>1.5000000000000002E-3</v>
      </c>
    </row>
    <row r="14" spans="2:6" x14ac:dyDescent="0.25">
      <c r="B14" s="32" t="s">
        <v>36</v>
      </c>
      <c r="C14" s="38">
        <v>2.7900000000000001E-2</v>
      </c>
      <c r="D14" s="38">
        <v>2.6200000000000001E-2</v>
      </c>
    </row>
    <row r="15" spans="2:6" x14ac:dyDescent="0.25">
      <c r="B15" s="32" t="s">
        <v>37</v>
      </c>
      <c r="C15" s="38">
        <v>5.0000000000000001E-3</v>
      </c>
      <c r="D15" s="38">
        <v>3.3E-3</v>
      </c>
    </row>
    <row r="16" spans="2:6" x14ac:dyDescent="0.25">
      <c r="B16" s="32" t="s">
        <v>38</v>
      </c>
      <c r="C16" s="38">
        <v>2.5499999999999998E-2</v>
      </c>
      <c r="D16" s="38">
        <v>2.3799999999999998E-2</v>
      </c>
    </row>
    <row r="17" spans="2:4" x14ac:dyDescent="0.25">
      <c r="B17" s="32" t="s">
        <v>39</v>
      </c>
      <c r="C17" s="38">
        <v>1.12E-2</v>
      </c>
      <c r="D17" s="38">
        <v>9.4999999999999998E-3</v>
      </c>
    </row>
    <row r="18" spans="2:4" x14ac:dyDescent="0.25">
      <c r="B18" s="32" t="s">
        <v>40</v>
      </c>
      <c r="C18" s="38">
        <v>8.0299999999999996E-2</v>
      </c>
      <c r="D18" s="38">
        <v>7.8600000000000003E-2</v>
      </c>
    </row>
    <row r="19" spans="2:4" x14ac:dyDescent="0.25">
      <c r="B19" s="32" t="s">
        <v>41</v>
      </c>
      <c r="C19" s="38">
        <v>3.7000000000000002E-3</v>
      </c>
      <c r="D19" s="38">
        <v>2E-3</v>
      </c>
    </row>
    <row r="20" spans="2:4" x14ac:dyDescent="0.25">
      <c r="B20" s="32" t="s">
        <v>42</v>
      </c>
      <c r="C20" s="38">
        <v>1.04E-2</v>
      </c>
      <c r="D20" s="38">
        <v>8.6999999999999994E-3</v>
      </c>
    </row>
    <row r="21" spans="2:4" x14ac:dyDescent="0.25">
      <c r="B21" s="32" t="s">
        <v>43</v>
      </c>
      <c r="C21" s="38">
        <v>7.4999999999999997E-3</v>
      </c>
      <c r="D21" s="38">
        <v>5.7999999999999996E-3</v>
      </c>
    </row>
    <row r="22" spans="2:4" x14ac:dyDescent="0.25">
      <c r="B22" s="32" t="s">
        <v>44</v>
      </c>
      <c r="C22" s="38">
        <v>3.4799999999999998E-2</v>
      </c>
      <c r="D22" s="38">
        <v>3.3099999999999997E-2</v>
      </c>
    </row>
    <row r="23" spans="2:4" x14ac:dyDescent="0.25">
      <c r="B23" s="32" t="s">
        <v>45</v>
      </c>
      <c r="C23" s="38">
        <v>2.5000000000000001E-2</v>
      </c>
      <c r="D23" s="38">
        <v>2.3300000000000001E-2</v>
      </c>
    </row>
    <row r="24" spans="2:4" x14ac:dyDescent="0.25">
      <c r="B24" s="32" t="s">
        <v>46</v>
      </c>
      <c r="C24" s="38">
        <v>1.24E-2</v>
      </c>
      <c r="D24" s="38">
        <v>1.0699999999999999E-2</v>
      </c>
    </row>
    <row r="25" spans="2:4" x14ac:dyDescent="0.25">
      <c r="B25" s="32" t="s">
        <v>47</v>
      </c>
      <c r="C25" s="38">
        <v>8.2000000000000007E-3</v>
      </c>
      <c r="D25" s="38">
        <v>6.5000000000000006E-3</v>
      </c>
    </row>
    <row r="26" spans="2:4" x14ac:dyDescent="0.25">
      <c r="B26" s="32" t="s">
        <v>48</v>
      </c>
      <c r="C26" s="38">
        <v>5.4000000000000003E-3</v>
      </c>
      <c r="D26" s="38">
        <v>3.7000000000000002E-3</v>
      </c>
    </row>
    <row r="27" spans="2:4" x14ac:dyDescent="0.25">
      <c r="B27" s="32" t="s">
        <v>49</v>
      </c>
      <c r="C27" s="38">
        <v>2.0999999999999999E-3</v>
      </c>
      <c r="D27" s="38">
        <v>3.9999999999999996E-4</v>
      </c>
    </row>
    <row r="28" spans="2:4" x14ac:dyDescent="0.25">
      <c r="B28" s="32" t="s">
        <v>50</v>
      </c>
      <c r="C28" s="38">
        <v>9.7999999999999997E-3</v>
      </c>
      <c r="D28" s="38">
        <v>8.0999999999999996E-3</v>
      </c>
    </row>
    <row r="29" spans="2:4" x14ac:dyDescent="0.25">
      <c r="B29" s="32" t="s">
        <v>51</v>
      </c>
      <c r="C29" s="38">
        <v>0.1242</v>
      </c>
      <c r="D29" s="38">
        <v>0.12250000000000001</v>
      </c>
    </row>
    <row r="30" spans="2:4" x14ac:dyDescent="0.25">
      <c r="B30" s="32" t="s">
        <v>52</v>
      </c>
      <c r="C30" s="38">
        <v>6.6100000000000006E-2</v>
      </c>
      <c r="D30" s="38">
        <v>6.4400000000000013E-2</v>
      </c>
    </row>
    <row r="31" spans="2:4" x14ac:dyDescent="0.25">
      <c r="B31" s="32" t="s">
        <v>53</v>
      </c>
      <c r="C31" s="38">
        <v>4.4699999999999997E-2</v>
      </c>
      <c r="D31" s="38">
        <v>4.2999999999999997E-2</v>
      </c>
    </row>
    <row r="32" spans="2:4" x14ac:dyDescent="0.25">
      <c r="B32" s="32" t="s">
        <v>54</v>
      </c>
      <c r="C32" s="38">
        <v>9.2999999999999992E-3</v>
      </c>
      <c r="D32" s="38">
        <v>7.5999999999999991E-3</v>
      </c>
    </row>
    <row r="33" spans="2:4" x14ac:dyDescent="0.25">
      <c r="B33" s="32" t="s">
        <v>55</v>
      </c>
      <c r="C33" s="38" t="s">
        <v>25</v>
      </c>
      <c r="D33" s="38" t="s">
        <v>25</v>
      </c>
    </row>
    <row r="34" spans="2:4" x14ac:dyDescent="0.25">
      <c r="B34" s="32" t="s">
        <v>56</v>
      </c>
      <c r="C34" s="38">
        <v>3.2000000000000002E-3</v>
      </c>
      <c r="D34" s="38">
        <v>1.5000000000000002E-3</v>
      </c>
    </row>
    <row r="35" spans="2:4" x14ac:dyDescent="0.25">
      <c r="B35" s="32" t="s">
        <v>57</v>
      </c>
      <c r="C35" s="38">
        <v>6.7999999999999996E-3</v>
      </c>
      <c r="D35" s="38">
        <v>5.0999999999999995E-3</v>
      </c>
    </row>
    <row r="36" spans="2:4" x14ac:dyDescent="0.25">
      <c r="B36" s="32" t="s">
        <v>58</v>
      </c>
      <c r="C36" s="38">
        <v>7.8600000000000003E-2</v>
      </c>
      <c r="D36" s="38">
        <v>7.690000000000001E-2</v>
      </c>
    </row>
    <row r="37" spans="2:4" x14ac:dyDescent="0.25">
      <c r="B37" s="32" t="s">
        <v>59</v>
      </c>
      <c r="C37" s="38">
        <v>2.3999999999999998E-3</v>
      </c>
      <c r="D37" s="38">
        <v>6.9999999999999988E-4</v>
      </c>
    </row>
    <row r="38" spans="2:4" x14ac:dyDescent="0.25">
      <c r="B38" s="32" t="s">
        <v>60</v>
      </c>
      <c r="C38" s="38">
        <v>1.04E-2</v>
      </c>
      <c r="D38" s="38">
        <v>8.6999999999999994E-3</v>
      </c>
    </row>
    <row r="39" spans="2:4" x14ac:dyDescent="0.25">
      <c r="B39" s="32" t="s">
        <v>61</v>
      </c>
      <c r="C39" s="38">
        <v>2.2100000000000002E-2</v>
      </c>
      <c r="D39" s="38">
        <v>2.0400000000000001E-2</v>
      </c>
    </row>
    <row r="40" spans="2:4" x14ac:dyDescent="0.25">
      <c r="B40" s="32" t="s">
        <v>62</v>
      </c>
      <c r="C40" s="38">
        <v>5.8999999999999999E-3</v>
      </c>
      <c r="D40" s="38">
        <v>4.1999999999999997E-3</v>
      </c>
    </row>
    <row r="41" spans="2:4" x14ac:dyDescent="0.25">
      <c r="B41" s="32" t="s">
        <v>63</v>
      </c>
      <c r="C41" s="38">
        <v>1.83E-2</v>
      </c>
      <c r="D41" s="38">
        <v>1.66E-2</v>
      </c>
    </row>
    <row r="42" spans="2:4" x14ac:dyDescent="0.25">
      <c r="B42" s="32" t="s">
        <v>64</v>
      </c>
      <c r="C42" s="38">
        <v>4.7000000000000002E-3</v>
      </c>
      <c r="D42" s="38">
        <v>3.0000000000000001E-3</v>
      </c>
    </row>
    <row r="43" spans="2:4" x14ac:dyDescent="0.25">
      <c r="B43" s="32" t="s">
        <v>1</v>
      </c>
      <c r="C43" s="38">
        <v>8.3999999999999995E-3</v>
      </c>
      <c r="D43" s="38">
        <v>6.6999999999999994E-3</v>
      </c>
    </row>
    <row r="44" spans="2:4" x14ac:dyDescent="0.25">
      <c r="B44" s="32" t="s">
        <v>65</v>
      </c>
      <c r="C44" s="38">
        <v>1.34E-2</v>
      </c>
      <c r="D44" s="38">
        <v>1.17E-2</v>
      </c>
    </row>
    <row r="45" spans="2:4" x14ac:dyDescent="0.25">
      <c r="B45" s="32" t="s">
        <v>66</v>
      </c>
      <c r="C45" s="38">
        <v>4.0500000000000001E-2</v>
      </c>
      <c r="D45" s="38">
        <v>3.8800000000000001E-2</v>
      </c>
    </row>
    <row r="46" spans="2:4" x14ac:dyDescent="0.25">
      <c r="B46" s="32" t="s">
        <v>67</v>
      </c>
      <c r="C46" s="38">
        <v>3.8E-3</v>
      </c>
      <c r="D46" s="38">
        <v>2.1000000000000003E-3</v>
      </c>
    </row>
    <row r="47" spans="2:4" x14ac:dyDescent="0.25">
      <c r="B47" s="32" t="s">
        <v>68</v>
      </c>
      <c r="C47" s="38">
        <v>1.3899999999999999E-2</v>
      </c>
      <c r="D47" s="38">
        <v>1.2199999999999999E-2</v>
      </c>
    </row>
    <row r="48" spans="2:4" x14ac:dyDescent="0.25">
      <c r="B48" s="32" t="s">
        <v>69</v>
      </c>
      <c r="C48" s="38">
        <v>9.7999999999999997E-3</v>
      </c>
      <c r="D48" s="38">
        <v>8.0999999999999996E-3</v>
      </c>
    </row>
    <row r="49" spans="2:4" x14ac:dyDescent="0.25">
      <c r="B49" s="32" t="s">
        <v>70</v>
      </c>
      <c r="C49" s="38">
        <v>3.5999999999999999E-3</v>
      </c>
      <c r="D49" s="38">
        <v>1.9E-3</v>
      </c>
    </row>
    <row r="50" spans="2:4" x14ac:dyDescent="0.25">
      <c r="B50" s="32" t="s">
        <v>71</v>
      </c>
      <c r="C50" s="38">
        <v>1.46E-2</v>
      </c>
      <c r="D50" s="38">
        <v>1.29E-2</v>
      </c>
    </row>
    <row r="51" spans="2:4" x14ac:dyDescent="0.25">
      <c r="B51" s="32" t="s">
        <v>72</v>
      </c>
      <c r="C51" s="38">
        <v>6.3399999999999998E-2</v>
      </c>
      <c r="D51" s="38">
        <v>6.1699999999999998E-2</v>
      </c>
    </row>
    <row r="52" spans="2:4" x14ac:dyDescent="0.25">
      <c r="B52" s="32" t="s">
        <v>73</v>
      </c>
      <c r="C52" s="38">
        <v>3.7000000000000002E-3</v>
      </c>
      <c r="D52" s="38">
        <v>2E-3</v>
      </c>
    </row>
    <row r="53" spans="2:4" x14ac:dyDescent="0.25">
      <c r="B53" s="32" t="s">
        <v>74</v>
      </c>
      <c r="C53" s="38">
        <v>8.6999999999999994E-3</v>
      </c>
      <c r="D53" s="38">
        <v>6.9999999999999993E-3</v>
      </c>
    </row>
    <row r="54" spans="2:4" x14ac:dyDescent="0.25">
      <c r="B54" s="32" t="s">
        <v>75</v>
      </c>
      <c r="C54" s="38">
        <v>9.7999999999999997E-3</v>
      </c>
      <c r="D54" s="38">
        <v>8.0999999999999996E-3</v>
      </c>
    </row>
    <row r="55" spans="2:4" x14ac:dyDescent="0.25">
      <c r="B55" s="32" t="s">
        <v>76</v>
      </c>
      <c r="C55" s="38" t="s">
        <v>25</v>
      </c>
      <c r="D55" s="38" t="s">
        <v>25</v>
      </c>
    </row>
    <row r="56" spans="2:4" x14ac:dyDescent="0.25">
      <c r="B56" s="32" t="s">
        <v>77</v>
      </c>
      <c r="C56" s="38">
        <v>8.9999999999999993E-3</v>
      </c>
      <c r="D56" s="38">
        <v>7.2999999999999992E-3</v>
      </c>
    </row>
    <row r="57" spans="2:4" x14ac:dyDescent="0.25">
      <c r="B57" s="32" t="s">
        <v>78</v>
      </c>
      <c r="C57" s="38">
        <v>8.0999999999999996E-3</v>
      </c>
      <c r="D57" s="38">
        <v>6.3999999999999994E-3</v>
      </c>
    </row>
    <row r="58" spans="2:4" x14ac:dyDescent="0.25">
      <c r="B58" s="32" t="s">
        <v>79</v>
      </c>
      <c r="C58" s="38">
        <v>1.8599999999999998E-2</v>
      </c>
      <c r="D58" s="38">
        <v>1.6899999999999998E-2</v>
      </c>
    </row>
    <row r="59" spans="2:4" x14ac:dyDescent="0.25">
      <c r="B59" s="32" t="s">
        <v>80</v>
      </c>
      <c r="C59" s="38">
        <v>4.3799999999999999E-2</v>
      </c>
      <c r="D59" s="38">
        <v>4.2099999999999999E-2</v>
      </c>
    </row>
    <row r="60" spans="2:4" x14ac:dyDescent="0.25">
      <c r="B60" s="32" t="s">
        <v>81</v>
      </c>
      <c r="C60" s="38">
        <v>1.6E-2</v>
      </c>
      <c r="D60" s="38">
        <v>1.43E-2</v>
      </c>
    </row>
    <row r="61" spans="2:4" x14ac:dyDescent="0.25">
      <c r="B61" s="32" t="s">
        <v>82</v>
      </c>
      <c r="C61" s="38">
        <v>3.6499999999999998E-2</v>
      </c>
      <c r="D61" s="38">
        <v>3.4799999999999998E-2</v>
      </c>
    </row>
    <row r="62" spans="2:4" x14ac:dyDescent="0.25">
      <c r="B62" s="32" t="s">
        <v>83</v>
      </c>
      <c r="C62" s="38">
        <v>2.5000000000000001E-3</v>
      </c>
      <c r="D62" s="38">
        <v>8.0000000000000015E-4</v>
      </c>
    </row>
    <row r="63" spans="2:4" x14ac:dyDescent="0.25">
      <c r="B63" s="32" t="s">
        <v>84</v>
      </c>
      <c r="C63" s="38">
        <v>2.3E-3</v>
      </c>
      <c r="D63" s="38">
        <v>6.0000000000000006E-4</v>
      </c>
    </row>
    <row r="64" spans="2:4" x14ac:dyDescent="0.25">
      <c r="B64" s="32" t="s">
        <v>85</v>
      </c>
      <c r="C64" s="38">
        <v>6.3700000000000007E-2</v>
      </c>
      <c r="D64" s="38">
        <v>6.2000000000000006E-2</v>
      </c>
    </row>
    <row r="65" spans="2:4" x14ac:dyDescent="0.25">
      <c r="B65" s="32" t="s">
        <v>86</v>
      </c>
      <c r="C65" s="38">
        <v>6.0499999999999998E-2</v>
      </c>
      <c r="D65" s="38">
        <v>5.8799999999999998E-2</v>
      </c>
    </row>
    <row r="66" spans="2:4" x14ac:dyDescent="0.25">
      <c r="B66" s="32" t="s">
        <v>87</v>
      </c>
      <c r="C66" s="38">
        <v>2.2000000000000001E-3</v>
      </c>
      <c r="D66" s="38">
        <v>5.0000000000000023E-4</v>
      </c>
    </row>
    <row r="67" spans="2:4" x14ac:dyDescent="0.25">
      <c r="B67" s="32" t="s">
        <v>88</v>
      </c>
      <c r="C67" s="38">
        <v>1.66E-2</v>
      </c>
      <c r="D67" s="38">
        <v>1.49E-2</v>
      </c>
    </row>
    <row r="68" spans="2:4" x14ac:dyDescent="0.25">
      <c r="B68" s="32" t="s">
        <v>89</v>
      </c>
      <c r="C68" s="38">
        <v>7.6399999999999996E-2</v>
      </c>
      <c r="D68" s="38">
        <v>7.4700000000000003E-2</v>
      </c>
    </row>
    <row r="69" spans="2:4" x14ac:dyDescent="0.25">
      <c r="B69" s="32" t="s">
        <v>90</v>
      </c>
      <c r="C69" s="38">
        <v>2.9600000000000001E-2</v>
      </c>
      <c r="D69" s="38">
        <v>2.7900000000000001E-2</v>
      </c>
    </row>
    <row r="70" spans="2:4" x14ac:dyDescent="0.25">
      <c r="B70" s="32" t="s">
        <v>91</v>
      </c>
      <c r="C70" s="38">
        <v>1.3899999999999999E-2</v>
      </c>
      <c r="D70" s="38">
        <v>1.2199999999999999E-2</v>
      </c>
    </row>
    <row r="71" spans="2:4" x14ac:dyDescent="0.25">
      <c r="B71" s="32" t="s">
        <v>92</v>
      </c>
      <c r="C71" s="38">
        <v>1.15E-2</v>
      </c>
      <c r="D71" s="38">
        <v>9.7999999999999997E-3</v>
      </c>
    </row>
    <row r="72" spans="2:4" x14ac:dyDescent="0.25">
      <c r="B72" s="32" t="s">
        <v>93</v>
      </c>
      <c r="C72" s="38">
        <v>1.0999999999999999E-2</v>
      </c>
      <c r="D72" s="38">
        <v>9.2999999999999992E-3</v>
      </c>
    </row>
    <row r="73" spans="2:4" x14ac:dyDescent="0.25">
      <c r="B73" s="32" t="s">
        <v>94</v>
      </c>
      <c r="C73" s="38">
        <v>5.4999999999999997E-3</v>
      </c>
      <c r="D73" s="38">
        <v>3.7999999999999996E-3</v>
      </c>
    </row>
    <row r="74" spans="2:4" x14ac:dyDescent="0.25">
      <c r="B74" s="32" t="s">
        <v>95</v>
      </c>
      <c r="C74" s="38">
        <v>6.7999999999999996E-3</v>
      </c>
      <c r="D74" s="38">
        <v>5.0999999999999995E-3</v>
      </c>
    </row>
    <row r="75" spans="2:4" x14ac:dyDescent="0.25">
      <c r="B75" s="32" t="s">
        <v>96</v>
      </c>
      <c r="C75" s="38">
        <v>2.6700000000000002E-2</v>
      </c>
      <c r="D75" s="38">
        <v>2.5000000000000001E-2</v>
      </c>
    </row>
    <row r="76" spans="2:4" x14ac:dyDescent="0.25">
      <c r="B76" s="32" t="s">
        <v>97</v>
      </c>
      <c r="C76" s="38" t="s">
        <v>25</v>
      </c>
      <c r="D76" s="38" t="s">
        <v>25</v>
      </c>
    </row>
    <row r="77" spans="2:4" x14ac:dyDescent="0.25">
      <c r="B77" s="32" t="s">
        <v>98</v>
      </c>
      <c r="C77" s="38">
        <v>5.4300000000000001E-2</v>
      </c>
      <c r="D77" s="38">
        <v>5.2600000000000001E-2</v>
      </c>
    </row>
    <row r="78" spans="2:4" x14ac:dyDescent="0.25">
      <c r="B78" s="32" t="s">
        <v>99</v>
      </c>
      <c r="C78" s="38">
        <v>1.12E-2</v>
      </c>
      <c r="D78" s="38">
        <v>9.4999999999999998E-3</v>
      </c>
    </row>
    <row r="79" spans="2:4" x14ac:dyDescent="0.25">
      <c r="B79" s="32" t="s">
        <v>100</v>
      </c>
      <c r="C79" s="38">
        <v>7.8299999999999995E-2</v>
      </c>
      <c r="D79" s="38">
        <v>7.6600000000000001E-2</v>
      </c>
    </row>
    <row r="80" spans="2:4" x14ac:dyDescent="0.25">
      <c r="B80" s="32" t="s">
        <v>101</v>
      </c>
      <c r="C80" s="38">
        <v>2.3E-2</v>
      </c>
      <c r="D80" s="38">
        <v>2.1299999999999999E-2</v>
      </c>
    </row>
    <row r="81" spans="2:4" x14ac:dyDescent="0.25">
      <c r="B81" s="32" t="s">
        <v>102</v>
      </c>
      <c r="C81" s="38">
        <v>6.1000000000000004E-3</v>
      </c>
      <c r="D81" s="38">
        <v>4.4000000000000003E-3</v>
      </c>
    </row>
    <row r="82" spans="2:4" x14ac:dyDescent="0.25">
      <c r="B82" s="32" t="s">
        <v>103</v>
      </c>
      <c r="C82" s="38">
        <v>7.0000000000000001E-3</v>
      </c>
      <c r="D82" s="38">
        <v>5.3E-3</v>
      </c>
    </row>
    <row r="83" spans="2:4" x14ac:dyDescent="0.25">
      <c r="B83" s="32" t="s">
        <v>104</v>
      </c>
      <c r="C83" s="38">
        <v>3.0099999999999998E-2</v>
      </c>
      <c r="D83" s="38">
        <v>2.8399999999999998E-2</v>
      </c>
    </row>
    <row r="84" spans="2:4" x14ac:dyDescent="0.25">
      <c r="B84" s="32" t="s">
        <v>105</v>
      </c>
      <c r="C84" s="38">
        <v>6.4000000000000003E-3</v>
      </c>
      <c r="D84" s="38">
        <v>4.7000000000000002E-3</v>
      </c>
    </row>
    <row r="85" spans="2:4" x14ac:dyDescent="0.25">
      <c r="B85" s="32" t="s">
        <v>106</v>
      </c>
      <c r="C85" s="38">
        <v>4.8599999999999997E-2</v>
      </c>
      <c r="D85" s="38">
        <v>4.6899999999999997E-2</v>
      </c>
    </row>
    <row r="86" spans="2:4" x14ac:dyDescent="0.25">
      <c r="B86" s="32" t="s">
        <v>107</v>
      </c>
      <c r="C86" s="38">
        <v>2.5000000000000001E-3</v>
      </c>
      <c r="D86" s="38">
        <v>8.0000000000000015E-4</v>
      </c>
    </row>
    <row r="87" spans="2:4" x14ac:dyDescent="0.25">
      <c r="B87" s="32" t="s">
        <v>108</v>
      </c>
      <c r="C87" s="38">
        <v>1.6999999999999999E-3</v>
      </c>
      <c r="D87" s="38">
        <v>0</v>
      </c>
    </row>
    <row r="88" spans="2:4" x14ac:dyDescent="0.25">
      <c r="B88" s="32" t="s">
        <v>109</v>
      </c>
      <c r="C88" s="38">
        <v>7.1999999999999998E-3</v>
      </c>
      <c r="D88" s="38">
        <v>5.4999999999999997E-3</v>
      </c>
    </row>
    <row r="89" spans="2:4" x14ac:dyDescent="0.25">
      <c r="B89" s="32" t="s">
        <v>110</v>
      </c>
      <c r="C89" s="38">
        <v>7.4200000000000002E-2</v>
      </c>
      <c r="D89" s="38">
        <v>7.2500000000000009E-2</v>
      </c>
    </row>
    <row r="90" spans="2:4" x14ac:dyDescent="0.25">
      <c r="B90" s="32" t="s">
        <v>111</v>
      </c>
      <c r="C90" s="38">
        <v>3.7999999999999999E-2</v>
      </c>
      <c r="D90" s="38">
        <v>3.6299999999999999E-2</v>
      </c>
    </row>
    <row r="91" spans="2:4" x14ac:dyDescent="0.25">
      <c r="B91" s="32" t="s">
        <v>112</v>
      </c>
      <c r="C91" s="38" t="s">
        <v>25</v>
      </c>
      <c r="D91" s="38" t="s">
        <v>25</v>
      </c>
    </row>
    <row r="92" spans="2:4" x14ac:dyDescent="0.25">
      <c r="B92" s="32" t="s">
        <v>113</v>
      </c>
      <c r="C92" s="38">
        <v>3.7000000000000002E-3</v>
      </c>
      <c r="D92" s="38">
        <v>2E-3</v>
      </c>
    </row>
    <row r="93" spans="2:4" x14ac:dyDescent="0.25">
      <c r="B93" s="32" t="s">
        <v>114</v>
      </c>
      <c r="C93" s="38">
        <v>5.0000000000000001E-3</v>
      </c>
      <c r="D93" s="38">
        <v>3.3E-3</v>
      </c>
    </row>
    <row r="94" spans="2:4" x14ac:dyDescent="0.25">
      <c r="B94" s="32" t="s">
        <v>115</v>
      </c>
      <c r="C94" s="38">
        <v>1.1900000000000001E-2</v>
      </c>
      <c r="D94" s="38">
        <v>1.0200000000000001E-2</v>
      </c>
    </row>
    <row r="95" spans="2:4" x14ac:dyDescent="0.25">
      <c r="B95" s="32" t="s">
        <v>116</v>
      </c>
      <c r="C95" s="38" t="s">
        <v>25</v>
      </c>
      <c r="D95" s="38" t="s">
        <v>25</v>
      </c>
    </row>
    <row r="96" spans="2:4" x14ac:dyDescent="0.25">
      <c r="B96" s="32" t="s">
        <v>117</v>
      </c>
      <c r="C96" s="38">
        <v>1.5699999999999999E-2</v>
      </c>
      <c r="D96" s="38">
        <v>1.3999999999999999E-2</v>
      </c>
    </row>
    <row r="97" spans="2:4" x14ac:dyDescent="0.25">
      <c r="B97" s="32" t="s">
        <v>118</v>
      </c>
      <c r="C97" s="38" t="s">
        <v>25</v>
      </c>
      <c r="D97" s="38" t="s">
        <v>25</v>
      </c>
    </row>
    <row r="98" spans="2:4" x14ac:dyDescent="0.25">
      <c r="D98" s="9"/>
    </row>
  </sheetData>
  <conditionalFormatting sqref="C8:D97">
    <cfRule type="containsText" dxfId="0" priority="1" operator="containsText" text="NA">
      <formula>NOT(ISERROR(SEARCH("NA",C8)))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EDB71-AE31-4DD0-934B-53680C2CF4DB}">
  <dimension ref="B2:G160"/>
  <sheetViews>
    <sheetView showGridLines="0" topLeftCell="A134" workbookViewId="0">
      <selection activeCell="G150" sqref="G150"/>
    </sheetView>
  </sheetViews>
  <sheetFormatPr defaultRowHeight="15" x14ac:dyDescent="0.25"/>
  <cols>
    <col min="1" max="1" width="1.85546875" customWidth="1"/>
    <col min="2" max="2" width="29.42578125" bestFit="1" customWidth="1"/>
    <col min="3" max="4" width="14.5703125" bestFit="1" customWidth="1"/>
    <col min="5" max="5" width="12" bestFit="1" customWidth="1"/>
  </cols>
  <sheetData>
    <row r="2" spans="2:7" x14ac:dyDescent="0.25">
      <c r="B2" s="16" t="s">
        <v>24</v>
      </c>
      <c r="C2" s="37" t="s">
        <v>119</v>
      </c>
      <c r="D2" s="37" t="s">
        <v>120</v>
      </c>
      <c r="E2" s="37" t="s">
        <v>121</v>
      </c>
    </row>
    <row r="3" spans="2:7" ht="3.95" customHeight="1" x14ac:dyDescent="0.25">
      <c r="C3" s="42"/>
      <c r="D3" s="42"/>
      <c r="E3" s="42"/>
    </row>
    <row r="4" spans="2:7" x14ac:dyDescent="0.25">
      <c r="B4" s="32" t="s">
        <v>30</v>
      </c>
      <c r="C4" s="43" t="s">
        <v>122</v>
      </c>
      <c r="D4" s="43" t="s">
        <v>123</v>
      </c>
      <c r="E4" s="43" t="s">
        <v>123</v>
      </c>
      <c r="G4" s="34" t="s">
        <v>23</v>
      </c>
    </row>
    <row r="5" spans="2:7" x14ac:dyDescent="0.25">
      <c r="B5" s="32" t="s">
        <v>124</v>
      </c>
      <c r="C5" s="43" t="s">
        <v>125</v>
      </c>
      <c r="D5" s="43" t="s">
        <v>126</v>
      </c>
      <c r="E5" s="43" t="s">
        <v>123</v>
      </c>
    </row>
    <row r="6" spans="2:7" x14ac:dyDescent="0.25">
      <c r="B6" s="32" t="s">
        <v>127</v>
      </c>
      <c r="C6" s="43" t="s">
        <v>128</v>
      </c>
      <c r="D6" s="43" t="s">
        <v>129</v>
      </c>
      <c r="E6" s="43" t="s">
        <v>130</v>
      </c>
    </row>
    <row r="7" spans="2:7" x14ac:dyDescent="0.25">
      <c r="B7" s="32" t="s">
        <v>32</v>
      </c>
      <c r="C7" s="43" t="s">
        <v>131</v>
      </c>
      <c r="D7" s="43" t="s">
        <v>132</v>
      </c>
      <c r="E7" s="43" t="s">
        <v>132</v>
      </c>
    </row>
    <row r="8" spans="2:7" x14ac:dyDescent="0.25">
      <c r="B8" s="32" t="s">
        <v>33</v>
      </c>
      <c r="C8" s="43" t="s">
        <v>133</v>
      </c>
      <c r="D8" s="43" t="s">
        <v>134</v>
      </c>
      <c r="E8" s="43" t="s">
        <v>134</v>
      </c>
    </row>
    <row r="9" spans="2:7" x14ac:dyDescent="0.25">
      <c r="B9" s="32" t="s">
        <v>135</v>
      </c>
      <c r="C9" s="43" t="s">
        <v>125</v>
      </c>
      <c r="D9" s="43" t="s">
        <v>126</v>
      </c>
      <c r="E9" s="43" t="s">
        <v>136</v>
      </c>
    </row>
    <row r="10" spans="2:7" x14ac:dyDescent="0.25">
      <c r="B10" s="32" t="s">
        <v>137</v>
      </c>
      <c r="C10" s="43" t="s">
        <v>138</v>
      </c>
      <c r="D10" s="43" t="s">
        <v>139</v>
      </c>
      <c r="E10" s="43" t="s">
        <v>123</v>
      </c>
    </row>
    <row r="11" spans="2:7" x14ac:dyDescent="0.25">
      <c r="B11" s="32" t="s">
        <v>34</v>
      </c>
      <c r="C11" s="43" t="s">
        <v>140</v>
      </c>
      <c r="D11" s="43" t="s">
        <v>141</v>
      </c>
      <c r="E11" s="43" t="s">
        <v>141</v>
      </c>
    </row>
    <row r="12" spans="2:7" x14ac:dyDescent="0.25">
      <c r="B12" s="32" t="s">
        <v>35</v>
      </c>
      <c r="C12" s="43" t="s">
        <v>143</v>
      </c>
      <c r="D12" s="43" t="s">
        <v>144</v>
      </c>
      <c r="E12" s="43" t="s">
        <v>145</v>
      </c>
    </row>
    <row r="13" spans="2:7" x14ac:dyDescent="0.25">
      <c r="B13" s="32" t="s">
        <v>142</v>
      </c>
      <c r="C13" s="43" t="s">
        <v>147</v>
      </c>
      <c r="D13" s="43" t="s">
        <v>148</v>
      </c>
      <c r="E13" s="43" t="s">
        <v>148</v>
      </c>
    </row>
    <row r="14" spans="2:7" x14ac:dyDescent="0.25">
      <c r="B14" s="32" t="s">
        <v>146</v>
      </c>
      <c r="C14" s="43" t="s">
        <v>149</v>
      </c>
      <c r="D14" s="43" t="s">
        <v>136</v>
      </c>
      <c r="E14" s="43" t="s">
        <v>123</v>
      </c>
    </row>
    <row r="15" spans="2:7" x14ac:dyDescent="0.25">
      <c r="B15" s="32" t="s">
        <v>36</v>
      </c>
      <c r="C15" s="43" t="s">
        <v>151</v>
      </c>
      <c r="D15" s="43" t="s">
        <v>136</v>
      </c>
      <c r="E15" s="43" t="s">
        <v>136</v>
      </c>
    </row>
    <row r="16" spans="2:7" x14ac:dyDescent="0.25">
      <c r="B16" s="32" t="s">
        <v>150</v>
      </c>
      <c r="C16" s="43" t="s">
        <v>151</v>
      </c>
      <c r="D16" s="43" t="s">
        <v>136</v>
      </c>
      <c r="E16" s="43" t="s">
        <v>136</v>
      </c>
    </row>
    <row r="17" spans="2:5" x14ac:dyDescent="0.25">
      <c r="B17" s="32" t="s">
        <v>153</v>
      </c>
      <c r="C17" s="43" t="s">
        <v>131</v>
      </c>
      <c r="D17" s="43" t="s">
        <v>154</v>
      </c>
      <c r="E17" s="43" t="s">
        <v>136</v>
      </c>
    </row>
    <row r="18" spans="2:5" x14ac:dyDescent="0.25">
      <c r="B18" s="32" t="s">
        <v>152</v>
      </c>
      <c r="C18" s="43" t="s">
        <v>156</v>
      </c>
      <c r="D18" s="43" t="s">
        <v>123</v>
      </c>
      <c r="E18" s="43" t="s">
        <v>123</v>
      </c>
    </row>
    <row r="19" spans="2:5" x14ac:dyDescent="0.25">
      <c r="B19" s="32" t="s">
        <v>37</v>
      </c>
      <c r="C19" s="43" t="s">
        <v>158</v>
      </c>
      <c r="D19" s="43" t="s">
        <v>159</v>
      </c>
      <c r="E19" s="43" t="s">
        <v>160</v>
      </c>
    </row>
    <row r="20" spans="2:5" x14ac:dyDescent="0.25">
      <c r="B20" s="32" t="s">
        <v>161</v>
      </c>
      <c r="C20" s="43" t="s">
        <v>162</v>
      </c>
      <c r="D20" s="43" t="s">
        <v>132</v>
      </c>
      <c r="E20" s="43" t="s">
        <v>123</v>
      </c>
    </row>
    <row r="21" spans="2:5" x14ac:dyDescent="0.25">
      <c r="B21" s="32" t="s">
        <v>163</v>
      </c>
      <c r="C21" s="43" t="s">
        <v>149</v>
      </c>
      <c r="D21" s="43" t="s">
        <v>164</v>
      </c>
      <c r="E21" s="43" t="s">
        <v>136</v>
      </c>
    </row>
    <row r="22" spans="2:5" x14ac:dyDescent="0.25">
      <c r="B22" s="32" t="s">
        <v>165</v>
      </c>
      <c r="C22" s="43" t="s">
        <v>166</v>
      </c>
      <c r="D22" s="43" t="s">
        <v>167</v>
      </c>
      <c r="E22" s="43" t="s">
        <v>123</v>
      </c>
    </row>
    <row r="23" spans="2:5" x14ac:dyDescent="0.25">
      <c r="B23" s="32" t="s">
        <v>155</v>
      </c>
      <c r="C23" s="43" t="s">
        <v>169</v>
      </c>
      <c r="D23" s="43" t="s">
        <v>170</v>
      </c>
      <c r="E23" s="43" t="s">
        <v>134</v>
      </c>
    </row>
    <row r="24" spans="2:5" x14ac:dyDescent="0.25">
      <c r="B24" s="32" t="s">
        <v>171</v>
      </c>
      <c r="C24" s="43" t="s">
        <v>131</v>
      </c>
      <c r="D24" s="43" t="s">
        <v>136</v>
      </c>
      <c r="E24" s="43" t="s">
        <v>123</v>
      </c>
    </row>
    <row r="25" spans="2:5" x14ac:dyDescent="0.25">
      <c r="B25" s="32" t="s">
        <v>157</v>
      </c>
      <c r="C25" s="43" t="s">
        <v>172</v>
      </c>
      <c r="D25" s="43" t="s">
        <v>173</v>
      </c>
      <c r="E25" s="43" t="s">
        <v>123</v>
      </c>
    </row>
    <row r="26" spans="2:5" x14ac:dyDescent="0.25">
      <c r="B26" s="32" t="s">
        <v>38</v>
      </c>
      <c r="C26" s="43" t="s">
        <v>147</v>
      </c>
      <c r="D26" s="43" t="s">
        <v>174</v>
      </c>
      <c r="E26" s="43" t="s">
        <v>174</v>
      </c>
    </row>
    <row r="27" spans="2:5" x14ac:dyDescent="0.25">
      <c r="B27" s="32" t="s">
        <v>39</v>
      </c>
      <c r="C27" s="43" t="s">
        <v>128</v>
      </c>
      <c r="D27" s="43" t="s">
        <v>139</v>
      </c>
      <c r="E27" s="43" t="s">
        <v>175</v>
      </c>
    </row>
    <row r="28" spans="2:5" x14ac:dyDescent="0.25">
      <c r="B28" s="32" t="s">
        <v>168</v>
      </c>
      <c r="C28" s="43" t="s">
        <v>162</v>
      </c>
      <c r="D28" s="43" t="s">
        <v>176</v>
      </c>
      <c r="E28" s="43" t="s">
        <v>123</v>
      </c>
    </row>
    <row r="29" spans="2:5" x14ac:dyDescent="0.25">
      <c r="B29" s="32" t="s">
        <v>177</v>
      </c>
      <c r="C29" s="43" t="s">
        <v>151</v>
      </c>
      <c r="D29" s="43" t="s">
        <v>123</v>
      </c>
      <c r="E29" s="43" t="s">
        <v>123</v>
      </c>
    </row>
    <row r="30" spans="2:5" x14ac:dyDescent="0.25">
      <c r="B30" s="32" t="s">
        <v>40</v>
      </c>
      <c r="C30" s="43" t="s">
        <v>162</v>
      </c>
      <c r="D30" s="43" t="s">
        <v>132</v>
      </c>
      <c r="E30" s="43" t="s">
        <v>178</v>
      </c>
    </row>
    <row r="31" spans="2:5" x14ac:dyDescent="0.25">
      <c r="B31" s="32" t="s">
        <v>41</v>
      </c>
      <c r="C31" s="43" t="s">
        <v>140</v>
      </c>
      <c r="D31" s="43" t="s">
        <v>141</v>
      </c>
      <c r="E31" s="43" t="s">
        <v>145</v>
      </c>
    </row>
    <row r="32" spans="2:5" x14ac:dyDescent="0.25">
      <c r="B32" s="32" t="s">
        <v>179</v>
      </c>
      <c r="C32" s="43" t="s">
        <v>151</v>
      </c>
      <c r="D32" s="43" t="s">
        <v>178</v>
      </c>
      <c r="E32" s="43" t="s">
        <v>178</v>
      </c>
    </row>
    <row r="33" spans="2:5" x14ac:dyDescent="0.25">
      <c r="B33" s="32" t="s">
        <v>180</v>
      </c>
      <c r="C33" s="43" t="s">
        <v>158</v>
      </c>
      <c r="D33" s="43" t="s">
        <v>123</v>
      </c>
      <c r="E33" s="43" t="s">
        <v>123</v>
      </c>
    </row>
    <row r="34" spans="2:5" x14ac:dyDescent="0.25">
      <c r="B34" s="32" t="s">
        <v>42</v>
      </c>
      <c r="C34" s="43" t="s">
        <v>166</v>
      </c>
      <c r="D34" s="43" t="s">
        <v>182</v>
      </c>
      <c r="E34" s="43" t="s">
        <v>130</v>
      </c>
    </row>
    <row r="35" spans="2:5" x14ac:dyDescent="0.25">
      <c r="B35" s="32" t="s">
        <v>43</v>
      </c>
      <c r="C35" s="43" t="s">
        <v>183</v>
      </c>
      <c r="D35" s="43" t="s">
        <v>167</v>
      </c>
      <c r="E35" s="43" t="s">
        <v>123</v>
      </c>
    </row>
    <row r="36" spans="2:5" x14ac:dyDescent="0.25">
      <c r="B36" s="32" t="s">
        <v>44</v>
      </c>
      <c r="C36" s="43" t="s">
        <v>184</v>
      </c>
      <c r="D36" s="43" t="s">
        <v>185</v>
      </c>
      <c r="E36" s="43" t="s">
        <v>148</v>
      </c>
    </row>
    <row r="37" spans="2:5" x14ac:dyDescent="0.25">
      <c r="B37" s="32" t="s">
        <v>186</v>
      </c>
      <c r="C37" s="43" t="s">
        <v>131</v>
      </c>
      <c r="D37" s="43" t="s">
        <v>132</v>
      </c>
      <c r="E37" s="43" t="s">
        <v>123</v>
      </c>
    </row>
    <row r="38" spans="2:5" x14ac:dyDescent="0.25">
      <c r="B38" s="32" t="s">
        <v>188</v>
      </c>
      <c r="C38" s="43" t="s">
        <v>189</v>
      </c>
      <c r="D38" s="43" t="s">
        <v>176</v>
      </c>
      <c r="E38" s="43" t="s">
        <v>123</v>
      </c>
    </row>
    <row r="39" spans="2:5" x14ac:dyDescent="0.25">
      <c r="B39" s="32" t="s">
        <v>190</v>
      </c>
      <c r="C39" s="43" t="s">
        <v>149</v>
      </c>
      <c r="D39" s="43" t="s">
        <v>136</v>
      </c>
      <c r="E39" s="43" t="s">
        <v>123</v>
      </c>
    </row>
    <row r="40" spans="2:5" x14ac:dyDescent="0.25">
      <c r="B40" s="32" t="s">
        <v>45</v>
      </c>
      <c r="C40" s="43" t="s">
        <v>125</v>
      </c>
      <c r="D40" s="43" t="s">
        <v>164</v>
      </c>
      <c r="E40" s="43" t="s">
        <v>174</v>
      </c>
    </row>
    <row r="41" spans="2:5" x14ac:dyDescent="0.25">
      <c r="B41" s="32" t="s">
        <v>191</v>
      </c>
      <c r="C41" s="43" t="s">
        <v>192</v>
      </c>
      <c r="D41" s="43" t="s">
        <v>123</v>
      </c>
      <c r="E41" s="43" t="s">
        <v>123</v>
      </c>
    </row>
    <row r="42" spans="2:5" x14ac:dyDescent="0.25">
      <c r="B42" s="32" t="s">
        <v>46</v>
      </c>
      <c r="C42" s="43" t="s">
        <v>172</v>
      </c>
      <c r="D42" s="43" t="s">
        <v>129</v>
      </c>
      <c r="E42" s="43" t="s">
        <v>173</v>
      </c>
    </row>
    <row r="43" spans="2:5" x14ac:dyDescent="0.25">
      <c r="B43" s="32" t="s">
        <v>181</v>
      </c>
      <c r="C43" s="43" t="s">
        <v>133</v>
      </c>
      <c r="D43" s="43">
        <v>0</v>
      </c>
      <c r="E43" s="43" t="s">
        <v>123</v>
      </c>
    </row>
    <row r="44" spans="2:5" x14ac:dyDescent="0.25">
      <c r="B44" s="32" t="s">
        <v>193</v>
      </c>
      <c r="C44" s="43" t="s">
        <v>138</v>
      </c>
      <c r="D44" s="43" t="s">
        <v>194</v>
      </c>
      <c r="E44" s="43" t="s">
        <v>123</v>
      </c>
    </row>
    <row r="45" spans="2:5" x14ac:dyDescent="0.25">
      <c r="B45" s="32" t="s">
        <v>47</v>
      </c>
      <c r="C45" s="43" t="s">
        <v>172</v>
      </c>
      <c r="D45" s="43" t="s">
        <v>130</v>
      </c>
      <c r="E45" s="43" t="s">
        <v>130</v>
      </c>
    </row>
    <row r="46" spans="2:5" x14ac:dyDescent="0.25">
      <c r="B46" s="32" t="s">
        <v>48</v>
      </c>
      <c r="C46" s="43" t="s">
        <v>158</v>
      </c>
      <c r="D46" s="43" t="s">
        <v>160</v>
      </c>
      <c r="E46" s="43" t="s">
        <v>160</v>
      </c>
    </row>
    <row r="47" spans="2:5" x14ac:dyDescent="0.25">
      <c r="B47" s="32" t="s">
        <v>49</v>
      </c>
      <c r="C47" s="43" t="s">
        <v>140</v>
      </c>
      <c r="D47" s="43" t="s">
        <v>141</v>
      </c>
      <c r="E47" s="43" t="s">
        <v>141</v>
      </c>
    </row>
    <row r="48" spans="2:5" x14ac:dyDescent="0.25">
      <c r="B48" s="32" t="s">
        <v>187</v>
      </c>
      <c r="C48" s="43" t="s">
        <v>125</v>
      </c>
      <c r="D48" s="43" t="s">
        <v>174</v>
      </c>
      <c r="E48" s="43" t="s">
        <v>126</v>
      </c>
    </row>
    <row r="49" spans="2:5" x14ac:dyDescent="0.25">
      <c r="B49" s="32" t="s">
        <v>51</v>
      </c>
      <c r="C49" s="43" t="s">
        <v>169</v>
      </c>
      <c r="D49" s="43" t="s">
        <v>196</v>
      </c>
      <c r="E49" s="43" t="s">
        <v>176</v>
      </c>
    </row>
    <row r="50" spans="2:5" x14ac:dyDescent="0.25">
      <c r="B50" s="32" t="s">
        <v>52</v>
      </c>
      <c r="C50" s="43" t="s">
        <v>162</v>
      </c>
      <c r="D50" s="43" t="s">
        <v>196</v>
      </c>
      <c r="E50" s="43" t="s">
        <v>132</v>
      </c>
    </row>
    <row r="51" spans="2:5" x14ac:dyDescent="0.25">
      <c r="B51" s="32" t="s">
        <v>53</v>
      </c>
      <c r="C51" s="43" t="s">
        <v>131</v>
      </c>
      <c r="D51" s="43" t="s">
        <v>132</v>
      </c>
      <c r="E51" s="43" t="s">
        <v>197</v>
      </c>
    </row>
    <row r="52" spans="2:5" x14ac:dyDescent="0.25">
      <c r="B52" s="32" t="s">
        <v>54</v>
      </c>
      <c r="C52" s="43" t="s">
        <v>183</v>
      </c>
      <c r="D52" s="43" t="s">
        <v>123</v>
      </c>
      <c r="E52" s="43" t="s">
        <v>160</v>
      </c>
    </row>
    <row r="53" spans="2:5" x14ac:dyDescent="0.25">
      <c r="B53" s="32" t="s">
        <v>55</v>
      </c>
      <c r="C53" s="43" t="s">
        <v>189</v>
      </c>
      <c r="D53" s="43" t="s">
        <v>198</v>
      </c>
      <c r="E53" s="43" t="s">
        <v>123</v>
      </c>
    </row>
    <row r="54" spans="2:5" x14ac:dyDescent="0.25">
      <c r="B54" s="32" t="s">
        <v>199</v>
      </c>
      <c r="C54" s="43" t="s">
        <v>149</v>
      </c>
      <c r="D54" s="43" t="s">
        <v>136</v>
      </c>
      <c r="E54" s="43" t="s">
        <v>123</v>
      </c>
    </row>
    <row r="55" spans="2:5" x14ac:dyDescent="0.25">
      <c r="B55" s="32" t="s">
        <v>56</v>
      </c>
      <c r="C55" s="43" t="s">
        <v>143</v>
      </c>
      <c r="D55" s="43" t="s">
        <v>145</v>
      </c>
      <c r="E55" s="43" t="s">
        <v>145</v>
      </c>
    </row>
    <row r="56" spans="2:5" x14ac:dyDescent="0.25">
      <c r="B56" s="32" t="s">
        <v>57</v>
      </c>
      <c r="C56" s="43" t="s">
        <v>158</v>
      </c>
      <c r="D56" s="43" t="s">
        <v>160</v>
      </c>
      <c r="E56" s="43" t="s">
        <v>160</v>
      </c>
    </row>
    <row r="57" spans="2:5" x14ac:dyDescent="0.25">
      <c r="B57" s="32" t="s">
        <v>58</v>
      </c>
      <c r="C57" s="43" t="s">
        <v>189</v>
      </c>
      <c r="D57" s="43" t="s">
        <v>123</v>
      </c>
      <c r="E57" s="43" t="s">
        <v>132</v>
      </c>
    </row>
    <row r="58" spans="2:5" x14ac:dyDescent="0.25">
      <c r="B58" s="32" t="s">
        <v>201</v>
      </c>
      <c r="C58" s="43" t="s">
        <v>192</v>
      </c>
      <c r="D58" s="43" t="s">
        <v>174</v>
      </c>
      <c r="E58" s="43" t="s">
        <v>174</v>
      </c>
    </row>
    <row r="59" spans="2:5" x14ac:dyDescent="0.25">
      <c r="B59" s="32" t="s">
        <v>59</v>
      </c>
      <c r="C59" s="43" t="s">
        <v>140</v>
      </c>
      <c r="D59" s="43" t="s">
        <v>141</v>
      </c>
      <c r="E59" s="43" t="s">
        <v>141</v>
      </c>
    </row>
    <row r="60" spans="2:5" x14ac:dyDescent="0.25">
      <c r="B60" s="32" t="s">
        <v>195</v>
      </c>
      <c r="C60" s="43" t="s">
        <v>189</v>
      </c>
      <c r="D60" s="43" t="s">
        <v>198</v>
      </c>
      <c r="E60" s="43" t="s">
        <v>123</v>
      </c>
    </row>
    <row r="61" spans="2:5" x14ac:dyDescent="0.25">
      <c r="B61" s="32" t="s">
        <v>60</v>
      </c>
      <c r="C61" s="43" t="s">
        <v>147</v>
      </c>
      <c r="D61" s="43" t="s">
        <v>202</v>
      </c>
      <c r="E61" s="43" t="s">
        <v>194</v>
      </c>
    </row>
    <row r="62" spans="2:5" x14ac:dyDescent="0.25">
      <c r="B62" s="32" t="s">
        <v>61</v>
      </c>
      <c r="C62" s="43" t="s">
        <v>147</v>
      </c>
      <c r="D62" s="43" t="s">
        <v>203</v>
      </c>
      <c r="E62" s="43" t="s">
        <v>174</v>
      </c>
    </row>
    <row r="63" spans="2:5" x14ac:dyDescent="0.25">
      <c r="B63" s="32" t="s">
        <v>204</v>
      </c>
      <c r="C63" s="43" t="s">
        <v>183</v>
      </c>
      <c r="D63" s="43" t="s">
        <v>123</v>
      </c>
      <c r="E63" s="43" t="s">
        <v>123</v>
      </c>
    </row>
    <row r="64" spans="2:5" x14ac:dyDescent="0.25">
      <c r="B64" s="32" t="s">
        <v>200</v>
      </c>
      <c r="C64" s="43" t="s">
        <v>149</v>
      </c>
      <c r="D64" s="43" t="s">
        <v>164</v>
      </c>
      <c r="E64" s="43" t="s">
        <v>123</v>
      </c>
    </row>
    <row r="65" spans="2:5" x14ac:dyDescent="0.25">
      <c r="B65" s="32" t="s">
        <v>62</v>
      </c>
      <c r="C65" s="43" t="s">
        <v>158</v>
      </c>
      <c r="D65" s="43" t="s">
        <v>145</v>
      </c>
      <c r="E65" s="43" t="s">
        <v>160</v>
      </c>
    </row>
    <row r="66" spans="2:5" x14ac:dyDescent="0.25">
      <c r="B66" s="32" t="s">
        <v>63</v>
      </c>
      <c r="C66" s="43" t="s">
        <v>184</v>
      </c>
      <c r="D66" s="43" t="s">
        <v>194</v>
      </c>
      <c r="E66" s="43" t="s">
        <v>175</v>
      </c>
    </row>
    <row r="67" spans="2:5" x14ac:dyDescent="0.25">
      <c r="B67" s="32" t="s">
        <v>64</v>
      </c>
      <c r="C67" s="43" t="s">
        <v>183</v>
      </c>
      <c r="D67" s="43" t="s">
        <v>167</v>
      </c>
      <c r="E67" s="43" t="s">
        <v>182</v>
      </c>
    </row>
    <row r="68" spans="2:5" x14ac:dyDescent="0.25">
      <c r="B68" s="32" t="s">
        <v>1</v>
      </c>
      <c r="C68" s="43" t="s">
        <v>138</v>
      </c>
      <c r="D68" s="43" t="s">
        <v>202</v>
      </c>
      <c r="E68" s="43" t="s">
        <v>194</v>
      </c>
    </row>
    <row r="69" spans="2:5" x14ac:dyDescent="0.25">
      <c r="B69" s="32" t="s">
        <v>65</v>
      </c>
      <c r="C69" s="43" t="s">
        <v>184</v>
      </c>
      <c r="D69" s="43" t="s">
        <v>175</v>
      </c>
      <c r="E69" s="43" t="s">
        <v>175</v>
      </c>
    </row>
    <row r="70" spans="2:5" x14ac:dyDescent="0.25">
      <c r="B70" s="32" t="s">
        <v>66</v>
      </c>
      <c r="C70" s="43" t="s">
        <v>162</v>
      </c>
      <c r="D70" s="43" t="s">
        <v>132</v>
      </c>
      <c r="E70" s="43" t="s">
        <v>132</v>
      </c>
    </row>
    <row r="71" spans="2:5" x14ac:dyDescent="0.25">
      <c r="B71" s="32" t="s">
        <v>67</v>
      </c>
      <c r="C71" s="43" t="s">
        <v>158</v>
      </c>
      <c r="D71" s="43" t="s">
        <v>207</v>
      </c>
      <c r="E71" s="43" t="s">
        <v>160</v>
      </c>
    </row>
    <row r="72" spans="2:5" x14ac:dyDescent="0.25">
      <c r="B72" s="32" t="s">
        <v>208</v>
      </c>
      <c r="C72" s="43" t="s">
        <v>158</v>
      </c>
      <c r="D72" s="43" t="s">
        <v>123</v>
      </c>
      <c r="E72" s="43" t="s">
        <v>123</v>
      </c>
    </row>
    <row r="73" spans="2:5" x14ac:dyDescent="0.25">
      <c r="B73" s="32" t="s">
        <v>68</v>
      </c>
      <c r="C73" s="43" t="s">
        <v>128</v>
      </c>
      <c r="D73" s="43" t="s">
        <v>209</v>
      </c>
      <c r="E73" s="43" t="s">
        <v>182</v>
      </c>
    </row>
    <row r="74" spans="2:5" x14ac:dyDescent="0.25">
      <c r="B74" s="32" t="s">
        <v>69</v>
      </c>
      <c r="C74" s="43" t="s">
        <v>138</v>
      </c>
      <c r="D74" s="43" t="s">
        <v>175</v>
      </c>
      <c r="E74" s="43" t="s">
        <v>175</v>
      </c>
    </row>
    <row r="75" spans="2:5" x14ac:dyDescent="0.25">
      <c r="B75" s="32" t="s">
        <v>205</v>
      </c>
      <c r="C75" s="43" t="s">
        <v>149</v>
      </c>
      <c r="D75" s="43" t="s">
        <v>164</v>
      </c>
      <c r="E75" s="43" t="s">
        <v>126</v>
      </c>
    </row>
    <row r="76" spans="2:5" x14ac:dyDescent="0.25">
      <c r="B76" s="32" t="s">
        <v>70</v>
      </c>
      <c r="C76" s="43" t="s">
        <v>183</v>
      </c>
      <c r="D76" s="43" t="s">
        <v>167</v>
      </c>
      <c r="E76" s="43" t="s">
        <v>182</v>
      </c>
    </row>
    <row r="77" spans="2:5" x14ac:dyDescent="0.25">
      <c r="B77" s="32" t="s">
        <v>210</v>
      </c>
      <c r="C77" s="43" t="s">
        <v>122</v>
      </c>
      <c r="D77" s="43" t="s">
        <v>159</v>
      </c>
      <c r="E77" s="43" t="s">
        <v>123</v>
      </c>
    </row>
    <row r="78" spans="2:5" x14ac:dyDescent="0.25">
      <c r="B78" s="32" t="s">
        <v>206</v>
      </c>
      <c r="C78" s="43" t="s">
        <v>125</v>
      </c>
      <c r="D78" s="43" t="s">
        <v>126</v>
      </c>
      <c r="E78" s="43" t="s">
        <v>126</v>
      </c>
    </row>
    <row r="79" spans="2:5" x14ac:dyDescent="0.25">
      <c r="B79" s="32" t="s">
        <v>71</v>
      </c>
      <c r="C79" s="43" t="s">
        <v>128</v>
      </c>
      <c r="D79" s="43" t="s">
        <v>194</v>
      </c>
      <c r="E79" s="43" t="s">
        <v>175</v>
      </c>
    </row>
    <row r="80" spans="2:5" x14ac:dyDescent="0.25">
      <c r="B80" s="32" t="s">
        <v>72</v>
      </c>
      <c r="C80" s="43" t="s">
        <v>162</v>
      </c>
      <c r="D80" s="43" t="s">
        <v>132</v>
      </c>
      <c r="E80" s="43" t="s">
        <v>132</v>
      </c>
    </row>
    <row r="81" spans="2:5" x14ac:dyDescent="0.25">
      <c r="B81" s="32" t="s">
        <v>73</v>
      </c>
      <c r="C81" s="43" t="s">
        <v>122</v>
      </c>
      <c r="D81" s="43" t="s">
        <v>123</v>
      </c>
      <c r="E81" s="43" t="s">
        <v>123</v>
      </c>
    </row>
    <row r="82" spans="2:5" x14ac:dyDescent="0.25">
      <c r="B82" s="32" t="s">
        <v>74</v>
      </c>
      <c r="C82" s="43" t="s">
        <v>183</v>
      </c>
      <c r="D82" s="43" t="s">
        <v>167</v>
      </c>
      <c r="E82" s="43" t="s">
        <v>160</v>
      </c>
    </row>
    <row r="83" spans="2:5" x14ac:dyDescent="0.25">
      <c r="B83" s="32" t="s">
        <v>212</v>
      </c>
      <c r="C83" s="43" t="s">
        <v>131</v>
      </c>
      <c r="D83" s="43" t="s">
        <v>123</v>
      </c>
      <c r="E83" s="43" t="s">
        <v>123</v>
      </c>
    </row>
    <row r="84" spans="2:5" x14ac:dyDescent="0.25">
      <c r="B84" s="32" t="s">
        <v>214</v>
      </c>
      <c r="C84" s="43" t="s">
        <v>169</v>
      </c>
      <c r="D84" s="43">
        <v>0</v>
      </c>
      <c r="E84" s="43" t="s">
        <v>215</v>
      </c>
    </row>
    <row r="85" spans="2:5" x14ac:dyDescent="0.25">
      <c r="B85" s="32" t="s">
        <v>75</v>
      </c>
      <c r="C85" s="43" t="s">
        <v>172</v>
      </c>
      <c r="D85" s="43" t="s">
        <v>182</v>
      </c>
      <c r="E85" s="43" t="s">
        <v>130</v>
      </c>
    </row>
    <row r="86" spans="2:5" x14ac:dyDescent="0.25">
      <c r="B86" s="32" t="s">
        <v>76</v>
      </c>
      <c r="C86" s="43" t="s">
        <v>156</v>
      </c>
      <c r="D86" s="43" t="s">
        <v>217</v>
      </c>
      <c r="E86" s="43" t="s">
        <v>123</v>
      </c>
    </row>
    <row r="87" spans="2:5" x14ac:dyDescent="0.25">
      <c r="B87" s="32" t="s">
        <v>219</v>
      </c>
      <c r="C87" s="43" t="s">
        <v>140</v>
      </c>
      <c r="D87" s="43" t="s">
        <v>141</v>
      </c>
      <c r="E87" s="43" t="s">
        <v>123</v>
      </c>
    </row>
    <row r="88" spans="2:5" x14ac:dyDescent="0.25">
      <c r="B88" s="32" t="s">
        <v>77</v>
      </c>
      <c r="C88" s="43" t="s">
        <v>166</v>
      </c>
      <c r="D88" s="43" t="s">
        <v>182</v>
      </c>
      <c r="E88" s="43" t="s">
        <v>182</v>
      </c>
    </row>
    <row r="89" spans="2:5" x14ac:dyDescent="0.25">
      <c r="B89" s="32" t="s">
        <v>211</v>
      </c>
      <c r="C89" s="43" t="s">
        <v>140</v>
      </c>
      <c r="D89" s="43" t="s">
        <v>141</v>
      </c>
      <c r="E89" s="43" t="s">
        <v>141</v>
      </c>
    </row>
    <row r="90" spans="2:5" x14ac:dyDescent="0.25">
      <c r="B90" s="32" t="s">
        <v>221</v>
      </c>
      <c r="C90" s="43" t="s">
        <v>158</v>
      </c>
      <c r="D90" s="43" t="s">
        <v>123</v>
      </c>
      <c r="E90" s="43" t="s">
        <v>123</v>
      </c>
    </row>
    <row r="91" spans="2:5" x14ac:dyDescent="0.25">
      <c r="B91" s="32" t="s">
        <v>222</v>
      </c>
      <c r="C91" s="43" t="s">
        <v>125</v>
      </c>
      <c r="D91" s="43" t="s">
        <v>126</v>
      </c>
      <c r="E91" s="43" t="s">
        <v>123</v>
      </c>
    </row>
    <row r="92" spans="2:5" x14ac:dyDescent="0.25">
      <c r="B92" s="32" t="s">
        <v>78</v>
      </c>
      <c r="C92" s="43" t="s">
        <v>172</v>
      </c>
      <c r="D92" s="43" t="s">
        <v>130</v>
      </c>
      <c r="E92" s="43" t="s">
        <v>173</v>
      </c>
    </row>
    <row r="93" spans="2:5" x14ac:dyDescent="0.25">
      <c r="B93" s="32" t="s">
        <v>223</v>
      </c>
      <c r="C93" s="43" t="s">
        <v>189</v>
      </c>
      <c r="D93" s="43">
        <v>0</v>
      </c>
      <c r="E93" s="43" t="s">
        <v>197</v>
      </c>
    </row>
    <row r="94" spans="2:5" x14ac:dyDescent="0.25">
      <c r="B94" s="32" t="s">
        <v>213</v>
      </c>
      <c r="C94" s="43" t="s">
        <v>189</v>
      </c>
      <c r="D94" s="43">
        <v>0</v>
      </c>
      <c r="E94" s="43" t="s">
        <v>123</v>
      </c>
    </row>
    <row r="95" spans="2:5" x14ac:dyDescent="0.25">
      <c r="B95" s="32" t="s">
        <v>216</v>
      </c>
      <c r="C95" s="43" t="s">
        <v>166</v>
      </c>
      <c r="D95" s="43" t="s">
        <v>130</v>
      </c>
      <c r="E95" s="43" t="s">
        <v>167</v>
      </c>
    </row>
    <row r="96" spans="2:5" x14ac:dyDescent="0.25">
      <c r="B96" s="32" t="s">
        <v>225</v>
      </c>
      <c r="C96" s="43" t="s">
        <v>138</v>
      </c>
      <c r="D96" s="43" t="s">
        <v>194</v>
      </c>
      <c r="E96" s="43" t="s">
        <v>123</v>
      </c>
    </row>
    <row r="97" spans="2:5" x14ac:dyDescent="0.25">
      <c r="B97" s="32" t="s">
        <v>79</v>
      </c>
      <c r="C97" s="43" t="s">
        <v>184</v>
      </c>
      <c r="D97" s="43" t="s">
        <v>175</v>
      </c>
      <c r="E97" s="43" t="s">
        <v>194</v>
      </c>
    </row>
    <row r="98" spans="2:5" x14ac:dyDescent="0.25">
      <c r="B98" s="32" t="s">
        <v>218</v>
      </c>
      <c r="C98" s="43" t="s">
        <v>131</v>
      </c>
      <c r="D98" s="43">
        <v>0</v>
      </c>
      <c r="E98" s="43" t="s">
        <v>136</v>
      </c>
    </row>
    <row r="99" spans="2:5" x14ac:dyDescent="0.25">
      <c r="B99" s="32" t="s">
        <v>80</v>
      </c>
      <c r="C99" s="43" t="s">
        <v>151</v>
      </c>
      <c r="D99" s="43" t="s">
        <v>226</v>
      </c>
      <c r="E99" s="43" t="s">
        <v>136</v>
      </c>
    </row>
    <row r="100" spans="2:5" x14ac:dyDescent="0.25">
      <c r="B100" s="32" t="s">
        <v>227</v>
      </c>
      <c r="C100" s="43" t="s">
        <v>149</v>
      </c>
      <c r="D100" s="43" t="s">
        <v>136</v>
      </c>
      <c r="E100" s="43" t="s">
        <v>123</v>
      </c>
    </row>
    <row r="101" spans="2:5" x14ac:dyDescent="0.25">
      <c r="B101" s="32" t="s">
        <v>228</v>
      </c>
      <c r="C101" s="43" t="s">
        <v>138</v>
      </c>
      <c r="D101" s="43" t="s">
        <v>194</v>
      </c>
      <c r="E101" s="43" t="s">
        <v>123</v>
      </c>
    </row>
    <row r="102" spans="2:5" x14ac:dyDescent="0.25">
      <c r="B102" s="32" t="s">
        <v>81</v>
      </c>
      <c r="C102" s="43" t="s">
        <v>147</v>
      </c>
      <c r="D102" s="43" t="s">
        <v>185</v>
      </c>
      <c r="E102" s="43" t="s">
        <v>148</v>
      </c>
    </row>
    <row r="103" spans="2:5" x14ac:dyDescent="0.25">
      <c r="B103" s="32" t="s">
        <v>220</v>
      </c>
      <c r="C103" s="43" t="s">
        <v>189</v>
      </c>
      <c r="D103" s="43" t="s">
        <v>176</v>
      </c>
      <c r="E103" s="43" t="s">
        <v>134</v>
      </c>
    </row>
    <row r="104" spans="2:5" x14ac:dyDescent="0.25">
      <c r="B104" s="32" t="s">
        <v>82</v>
      </c>
      <c r="C104" s="43" t="s">
        <v>149</v>
      </c>
      <c r="D104" s="43">
        <v>0</v>
      </c>
      <c r="E104" s="43" t="s">
        <v>174</v>
      </c>
    </row>
    <row r="105" spans="2:5" x14ac:dyDescent="0.25">
      <c r="B105" s="32" t="s">
        <v>231</v>
      </c>
      <c r="C105" s="43" t="s">
        <v>125</v>
      </c>
      <c r="D105" s="43" t="s">
        <v>123</v>
      </c>
      <c r="E105" s="43" t="s">
        <v>126</v>
      </c>
    </row>
    <row r="106" spans="2:5" x14ac:dyDescent="0.25">
      <c r="B106" s="32" t="s">
        <v>83</v>
      </c>
      <c r="C106" s="43" t="s">
        <v>140</v>
      </c>
      <c r="D106" s="43" t="s">
        <v>141</v>
      </c>
      <c r="E106" s="43" t="s">
        <v>141</v>
      </c>
    </row>
    <row r="107" spans="2:5" x14ac:dyDescent="0.25">
      <c r="B107" s="32" t="s">
        <v>84</v>
      </c>
      <c r="C107" s="43" t="s">
        <v>140</v>
      </c>
      <c r="D107" s="43" t="s">
        <v>145</v>
      </c>
      <c r="E107" s="43" t="s">
        <v>145</v>
      </c>
    </row>
    <row r="108" spans="2:5" x14ac:dyDescent="0.25">
      <c r="B108" s="32" t="s">
        <v>85</v>
      </c>
      <c r="C108" s="43" t="s">
        <v>151</v>
      </c>
      <c r="D108" s="43" t="s">
        <v>136</v>
      </c>
      <c r="E108" s="43" t="s">
        <v>178</v>
      </c>
    </row>
    <row r="109" spans="2:5" x14ac:dyDescent="0.25">
      <c r="B109" s="32" t="s">
        <v>224</v>
      </c>
      <c r="C109" s="43" t="s">
        <v>169</v>
      </c>
      <c r="D109" s="43">
        <v>0</v>
      </c>
      <c r="E109" s="43" t="s">
        <v>123</v>
      </c>
    </row>
    <row r="110" spans="2:5" x14ac:dyDescent="0.25">
      <c r="B110" s="32" t="s">
        <v>86</v>
      </c>
      <c r="C110" s="43" t="s">
        <v>162</v>
      </c>
      <c r="D110" s="43" t="s">
        <v>132</v>
      </c>
      <c r="E110" s="43" t="s">
        <v>132</v>
      </c>
    </row>
    <row r="111" spans="2:5" x14ac:dyDescent="0.25">
      <c r="B111" s="32" t="s">
        <v>87</v>
      </c>
      <c r="C111" s="43" t="s">
        <v>140</v>
      </c>
      <c r="D111" s="43" t="s">
        <v>141</v>
      </c>
      <c r="E111" s="43" t="s">
        <v>141</v>
      </c>
    </row>
    <row r="112" spans="2:5" x14ac:dyDescent="0.25">
      <c r="B112" s="32" t="s">
        <v>88</v>
      </c>
      <c r="C112" s="43" t="s">
        <v>147</v>
      </c>
      <c r="D112" s="43" t="s">
        <v>194</v>
      </c>
      <c r="E112" s="43" t="s">
        <v>148</v>
      </c>
    </row>
    <row r="113" spans="2:5" x14ac:dyDescent="0.25">
      <c r="B113" s="32" t="s">
        <v>89</v>
      </c>
      <c r="C113" s="43" t="s">
        <v>189</v>
      </c>
      <c r="D113" s="43" t="s">
        <v>176</v>
      </c>
      <c r="E113" s="43" t="s">
        <v>176</v>
      </c>
    </row>
    <row r="114" spans="2:5" x14ac:dyDescent="0.25">
      <c r="B114" s="32" t="s">
        <v>90</v>
      </c>
      <c r="C114" s="43" t="s">
        <v>138</v>
      </c>
      <c r="D114" s="43" t="s">
        <v>194</v>
      </c>
      <c r="E114" s="43" t="s">
        <v>148</v>
      </c>
    </row>
    <row r="115" spans="2:5" x14ac:dyDescent="0.25">
      <c r="B115" s="32" t="s">
        <v>229</v>
      </c>
      <c r="C115" s="43" t="s">
        <v>151</v>
      </c>
      <c r="D115" s="43" t="s">
        <v>132</v>
      </c>
      <c r="E115" s="43" t="s">
        <v>123</v>
      </c>
    </row>
    <row r="116" spans="2:5" x14ac:dyDescent="0.25">
      <c r="B116" s="32" t="s">
        <v>230</v>
      </c>
      <c r="C116" s="43" t="s">
        <v>138</v>
      </c>
      <c r="D116" s="43" t="s">
        <v>148</v>
      </c>
      <c r="E116" s="43" t="s">
        <v>148</v>
      </c>
    </row>
    <row r="117" spans="2:5" x14ac:dyDescent="0.25">
      <c r="B117" s="32" t="s">
        <v>91</v>
      </c>
      <c r="C117" s="43" t="s">
        <v>128</v>
      </c>
      <c r="D117" s="43" t="s">
        <v>194</v>
      </c>
      <c r="E117" s="43" t="s">
        <v>175</v>
      </c>
    </row>
    <row r="118" spans="2:5" x14ac:dyDescent="0.25">
      <c r="B118" s="32" t="s">
        <v>92</v>
      </c>
      <c r="C118" s="43" t="s">
        <v>184</v>
      </c>
      <c r="D118" s="43" t="s">
        <v>233</v>
      </c>
      <c r="E118" s="43" t="s">
        <v>175</v>
      </c>
    </row>
    <row r="119" spans="2:5" x14ac:dyDescent="0.25">
      <c r="B119" s="32" t="s">
        <v>93</v>
      </c>
      <c r="C119" s="43" t="s">
        <v>166</v>
      </c>
      <c r="D119" s="43" t="s">
        <v>130</v>
      </c>
      <c r="E119" s="43" t="s">
        <v>130</v>
      </c>
    </row>
    <row r="120" spans="2:5" x14ac:dyDescent="0.25">
      <c r="B120" s="32" t="s">
        <v>94</v>
      </c>
      <c r="C120" s="43" t="s">
        <v>172</v>
      </c>
      <c r="D120" s="43" t="s">
        <v>129</v>
      </c>
      <c r="E120" s="43" t="s">
        <v>130</v>
      </c>
    </row>
    <row r="121" spans="2:5" x14ac:dyDescent="0.25">
      <c r="B121" s="32" t="s">
        <v>95</v>
      </c>
      <c r="C121" s="43" t="s">
        <v>122</v>
      </c>
      <c r="D121" s="43" t="s">
        <v>159</v>
      </c>
      <c r="E121" s="43" t="s">
        <v>159</v>
      </c>
    </row>
    <row r="122" spans="2:5" x14ac:dyDescent="0.25">
      <c r="B122" s="32" t="s">
        <v>234</v>
      </c>
      <c r="C122" s="43" t="s">
        <v>172</v>
      </c>
      <c r="D122" s="43" t="s">
        <v>182</v>
      </c>
      <c r="E122" s="43" t="s">
        <v>123</v>
      </c>
    </row>
    <row r="123" spans="2:5" x14ac:dyDescent="0.25">
      <c r="B123" s="32" t="s">
        <v>96</v>
      </c>
      <c r="C123" s="43" t="s">
        <v>138</v>
      </c>
      <c r="D123" s="43" t="s">
        <v>194</v>
      </c>
      <c r="E123" s="43" t="s">
        <v>194</v>
      </c>
    </row>
    <row r="124" spans="2:5" x14ac:dyDescent="0.25">
      <c r="B124" s="32" t="s">
        <v>98</v>
      </c>
      <c r="C124" s="43" t="s">
        <v>151</v>
      </c>
      <c r="D124" s="43" t="s">
        <v>136</v>
      </c>
      <c r="E124" s="43" t="s">
        <v>136</v>
      </c>
    </row>
    <row r="125" spans="2:5" x14ac:dyDescent="0.25">
      <c r="B125" s="32" t="s">
        <v>99</v>
      </c>
      <c r="C125" s="43" t="s">
        <v>158</v>
      </c>
      <c r="D125" s="43" t="s">
        <v>209</v>
      </c>
      <c r="E125" s="43" t="s">
        <v>167</v>
      </c>
    </row>
    <row r="126" spans="2:5" x14ac:dyDescent="0.25">
      <c r="B126" s="32" t="s">
        <v>100</v>
      </c>
      <c r="C126" s="43" t="s">
        <v>149</v>
      </c>
      <c r="D126" s="43" t="s">
        <v>226</v>
      </c>
      <c r="E126" s="43" t="s">
        <v>123</v>
      </c>
    </row>
    <row r="127" spans="2:5" x14ac:dyDescent="0.25">
      <c r="B127" s="32" t="s">
        <v>101</v>
      </c>
      <c r="C127" s="43" t="s">
        <v>192</v>
      </c>
      <c r="D127" s="43" t="s">
        <v>194</v>
      </c>
      <c r="E127" s="43" t="s">
        <v>148</v>
      </c>
    </row>
    <row r="128" spans="2:5" x14ac:dyDescent="0.25">
      <c r="B128" s="32" t="s">
        <v>238</v>
      </c>
      <c r="C128" s="43" t="s">
        <v>147</v>
      </c>
      <c r="D128" s="43" t="s">
        <v>123</v>
      </c>
      <c r="E128" s="43" t="s">
        <v>123</v>
      </c>
    </row>
    <row r="129" spans="2:5" x14ac:dyDescent="0.25">
      <c r="B129" s="32" t="s">
        <v>232</v>
      </c>
      <c r="C129" s="43" t="s">
        <v>140</v>
      </c>
      <c r="D129" s="43" t="s">
        <v>141</v>
      </c>
      <c r="E129" s="43" t="s">
        <v>141</v>
      </c>
    </row>
    <row r="130" spans="2:5" x14ac:dyDescent="0.25">
      <c r="B130" s="32" t="s">
        <v>102</v>
      </c>
      <c r="C130" s="43" t="s">
        <v>172</v>
      </c>
      <c r="D130" s="43" t="s">
        <v>167</v>
      </c>
      <c r="E130" s="43" t="s">
        <v>182</v>
      </c>
    </row>
    <row r="131" spans="2:5" x14ac:dyDescent="0.25">
      <c r="B131" s="32" t="s">
        <v>103</v>
      </c>
      <c r="C131" s="43" t="s">
        <v>172</v>
      </c>
      <c r="D131" s="43" t="s">
        <v>240</v>
      </c>
      <c r="E131" s="43" t="s">
        <v>182</v>
      </c>
    </row>
    <row r="132" spans="2:5" x14ac:dyDescent="0.25">
      <c r="B132" s="32" t="s">
        <v>241</v>
      </c>
      <c r="C132" s="43" t="s">
        <v>162</v>
      </c>
      <c r="D132" s="43">
        <v>0</v>
      </c>
      <c r="E132" s="43" t="s">
        <v>123</v>
      </c>
    </row>
    <row r="133" spans="2:5" x14ac:dyDescent="0.25">
      <c r="B133" s="32" t="s">
        <v>104</v>
      </c>
      <c r="C133" s="43" t="s">
        <v>192</v>
      </c>
      <c r="D133" s="43" t="s">
        <v>164</v>
      </c>
      <c r="E133" s="43" t="s">
        <v>126</v>
      </c>
    </row>
    <row r="134" spans="2:5" x14ac:dyDescent="0.25">
      <c r="B134" s="32" t="s">
        <v>105</v>
      </c>
      <c r="C134" s="43" t="s">
        <v>128</v>
      </c>
      <c r="D134" s="43" t="s">
        <v>129</v>
      </c>
      <c r="E134" s="43" t="s">
        <v>130</v>
      </c>
    </row>
    <row r="135" spans="2:5" x14ac:dyDescent="0.25">
      <c r="B135" s="32" t="s">
        <v>106</v>
      </c>
      <c r="C135" s="43" t="s">
        <v>133</v>
      </c>
      <c r="D135" s="43" t="s">
        <v>198</v>
      </c>
      <c r="E135" s="43" t="s">
        <v>123</v>
      </c>
    </row>
    <row r="136" spans="2:5" x14ac:dyDescent="0.25">
      <c r="B136" s="32" t="s">
        <v>244</v>
      </c>
      <c r="C136" s="43" t="s">
        <v>192</v>
      </c>
      <c r="D136" s="43" t="s">
        <v>123</v>
      </c>
      <c r="E136" s="43" t="s">
        <v>123</v>
      </c>
    </row>
    <row r="137" spans="2:5" x14ac:dyDescent="0.25">
      <c r="B137" s="32" t="s">
        <v>245</v>
      </c>
      <c r="C137" s="43" t="s">
        <v>131</v>
      </c>
      <c r="D137" s="43" t="s">
        <v>123</v>
      </c>
      <c r="E137" s="43" t="s">
        <v>123</v>
      </c>
    </row>
    <row r="138" spans="2:5" x14ac:dyDescent="0.25">
      <c r="B138" s="32" t="s">
        <v>235</v>
      </c>
      <c r="C138" s="43" t="s">
        <v>162</v>
      </c>
      <c r="D138" s="43" t="s">
        <v>176</v>
      </c>
      <c r="E138" s="43" t="s">
        <v>123</v>
      </c>
    </row>
    <row r="139" spans="2:5" x14ac:dyDescent="0.25">
      <c r="B139" s="32" t="s">
        <v>246</v>
      </c>
      <c r="C139" s="43" t="s">
        <v>151</v>
      </c>
      <c r="D139" s="43" t="s">
        <v>123</v>
      </c>
      <c r="E139" s="43" t="s">
        <v>123</v>
      </c>
    </row>
    <row r="140" spans="2:5" x14ac:dyDescent="0.25">
      <c r="B140" s="32" t="s">
        <v>107</v>
      </c>
      <c r="C140" s="43" t="s">
        <v>140</v>
      </c>
      <c r="D140" s="43" t="s">
        <v>141</v>
      </c>
      <c r="E140" s="43" t="s">
        <v>141</v>
      </c>
    </row>
    <row r="141" spans="2:5" x14ac:dyDescent="0.25">
      <c r="B141" s="32" t="s">
        <v>108</v>
      </c>
      <c r="C141" s="43" t="s">
        <v>140</v>
      </c>
      <c r="D141" s="43" t="s">
        <v>141</v>
      </c>
      <c r="E141" s="43" t="s">
        <v>141</v>
      </c>
    </row>
    <row r="142" spans="2:5" x14ac:dyDescent="0.25">
      <c r="B142" s="32" t="s">
        <v>236</v>
      </c>
      <c r="C142" s="43" t="s">
        <v>158</v>
      </c>
      <c r="D142" s="43" t="s">
        <v>145</v>
      </c>
      <c r="E142" s="43" t="s">
        <v>159</v>
      </c>
    </row>
    <row r="143" spans="2:5" x14ac:dyDescent="0.25">
      <c r="B143" s="32" t="s">
        <v>248</v>
      </c>
      <c r="C143" s="43" t="s">
        <v>131</v>
      </c>
      <c r="D143" s="43" t="s">
        <v>178</v>
      </c>
      <c r="E143" s="43" t="s">
        <v>123</v>
      </c>
    </row>
    <row r="144" spans="2:5" x14ac:dyDescent="0.25">
      <c r="B144" s="32" t="s">
        <v>237</v>
      </c>
      <c r="C144" s="43" t="s">
        <v>149</v>
      </c>
      <c r="D144" s="43">
        <v>0</v>
      </c>
      <c r="E144" s="43" t="s">
        <v>136</v>
      </c>
    </row>
    <row r="145" spans="2:5" x14ac:dyDescent="0.25">
      <c r="B145" s="32" t="s">
        <v>109</v>
      </c>
      <c r="C145" s="43" t="s">
        <v>128</v>
      </c>
      <c r="D145" s="43" t="s">
        <v>173</v>
      </c>
      <c r="E145" s="43" t="s">
        <v>173</v>
      </c>
    </row>
    <row r="146" spans="2:5" x14ac:dyDescent="0.25">
      <c r="B146" s="32" t="s">
        <v>239</v>
      </c>
      <c r="C146" s="43" t="s">
        <v>131</v>
      </c>
      <c r="D146" s="43" t="s">
        <v>154</v>
      </c>
      <c r="E146" s="43" t="s">
        <v>123</v>
      </c>
    </row>
    <row r="147" spans="2:5" x14ac:dyDescent="0.25">
      <c r="B147" s="32" t="s">
        <v>249</v>
      </c>
      <c r="C147" s="43" t="s">
        <v>192</v>
      </c>
      <c r="D147" s="43" t="s">
        <v>194</v>
      </c>
      <c r="E147" s="43" t="s">
        <v>123</v>
      </c>
    </row>
    <row r="148" spans="2:5" x14ac:dyDescent="0.25">
      <c r="B148" s="32" t="s">
        <v>110</v>
      </c>
      <c r="C148" s="43" t="s">
        <v>189</v>
      </c>
      <c r="D148" s="43" t="s">
        <v>123</v>
      </c>
      <c r="E148" s="43" t="s">
        <v>176</v>
      </c>
    </row>
    <row r="149" spans="2:5" x14ac:dyDescent="0.25">
      <c r="B149" s="32" t="s">
        <v>111</v>
      </c>
      <c r="C149" s="43" t="s">
        <v>149</v>
      </c>
      <c r="D149" s="43" t="s">
        <v>126</v>
      </c>
      <c r="E149" s="43" t="s">
        <v>136</v>
      </c>
    </row>
    <row r="150" spans="2:5" x14ac:dyDescent="0.25">
      <c r="B150" s="32" t="s">
        <v>250</v>
      </c>
      <c r="C150" s="43" t="s">
        <v>128</v>
      </c>
      <c r="D150" s="43" t="s">
        <v>175</v>
      </c>
      <c r="E150" s="43" t="s">
        <v>123</v>
      </c>
    </row>
    <row r="151" spans="2:5" x14ac:dyDescent="0.25">
      <c r="B151" s="32" t="s">
        <v>242</v>
      </c>
      <c r="C151" s="43" t="s">
        <v>131</v>
      </c>
      <c r="D151" s="43" t="s">
        <v>132</v>
      </c>
      <c r="E151" s="43" t="s">
        <v>178</v>
      </c>
    </row>
    <row r="152" spans="2:5" x14ac:dyDescent="0.25">
      <c r="B152" s="32" t="s">
        <v>112</v>
      </c>
      <c r="C152" s="43" t="s">
        <v>133</v>
      </c>
      <c r="D152" s="43" t="s">
        <v>198</v>
      </c>
      <c r="E152" s="43" t="s">
        <v>123</v>
      </c>
    </row>
    <row r="153" spans="2:5" x14ac:dyDescent="0.25">
      <c r="B153" s="32" t="s">
        <v>243</v>
      </c>
      <c r="C153" s="43" t="s">
        <v>122</v>
      </c>
      <c r="D153" s="43" t="s">
        <v>159</v>
      </c>
      <c r="E153" s="43" t="s">
        <v>160</v>
      </c>
    </row>
    <row r="154" spans="2:5" x14ac:dyDescent="0.25">
      <c r="B154" s="32" t="s">
        <v>113</v>
      </c>
      <c r="C154" s="43" t="s">
        <v>158</v>
      </c>
      <c r="D154" s="43" t="s">
        <v>159</v>
      </c>
      <c r="E154" s="43" t="s">
        <v>160</v>
      </c>
    </row>
    <row r="155" spans="2:5" x14ac:dyDescent="0.25">
      <c r="B155" s="32" t="s">
        <v>114</v>
      </c>
      <c r="C155" s="43" t="s">
        <v>140</v>
      </c>
      <c r="D155" s="43" t="s">
        <v>145</v>
      </c>
      <c r="E155" s="43" t="s">
        <v>123</v>
      </c>
    </row>
    <row r="156" spans="2:5" x14ac:dyDescent="0.25">
      <c r="B156" s="32" t="s">
        <v>115</v>
      </c>
      <c r="C156" s="43" t="s">
        <v>128</v>
      </c>
      <c r="D156" s="43" t="s">
        <v>173</v>
      </c>
      <c r="E156" s="43" t="s">
        <v>175</v>
      </c>
    </row>
    <row r="157" spans="2:5" x14ac:dyDescent="0.25">
      <c r="B157" s="32" t="s">
        <v>247</v>
      </c>
      <c r="C157" s="43" t="s">
        <v>125</v>
      </c>
      <c r="D157" s="43" t="s">
        <v>126</v>
      </c>
      <c r="E157" s="43" t="s">
        <v>126</v>
      </c>
    </row>
    <row r="158" spans="2:5" x14ac:dyDescent="0.25">
      <c r="B158" s="32" t="s">
        <v>116</v>
      </c>
      <c r="C158" s="43" t="s">
        <v>156</v>
      </c>
      <c r="D158" s="43" t="s">
        <v>123</v>
      </c>
      <c r="E158" s="43" t="s">
        <v>123</v>
      </c>
    </row>
    <row r="159" spans="2:5" x14ac:dyDescent="0.25">
      <c r="B159" s="32" t="s">
        <v>117</v>
      </c>
      <c r="C159" s="43" t="s">
        <v>192</v>
      </c>
      <c r="D159" s="43" t="s">
        <v>148</v>
      </c>
      <c r="E159" s="43" t="s">
        <v>148</v>
      </c>
    </row>
    <row r="160" spans="2:5" x14ac:dyDescent="0.25">
      <c r="B160" s="32" t="s">
        <v>118</v>
      </c>
      <c r="C160" s="43" t="s">
        <v>189</v>
      </c>
      <c r="D160" s="43" t="s">
        <v>198</v>
      </c>
      <c r="E160" s="43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E6F01-3CCD-4CA8-8CA3-CDE40768ED83}">
  <dimension ref="B2:AB30"/>
  <sheetViews>
    <sheetView showGridLines="0" zoomScale="91" zoomScaleNormal="89" workbookViewId="0">
      <selection activeCell="N14" sqref="N14"/>
    </sheetView>
  </sheetViews>
  <sheetFormatPr defaultRowHeight="15" x14ac:dyDescent="0.25"/>
  <cols>
    <col min="1" max="1" width="1.85546875" customWidth="1"/>
    <col min="2" max="2" width="17.140625" customWidth="1"/>
    <col min="3" max="3" width="18.42578125" customWidth="1"/>
    <col min="4" max="4" width="26.28515625" bestFit="1" customWidth="1"/>
    <col min="5" max="5" width="17.42578125" customWidth="1"/>
  </cols>
  <sheetData>
    <row r="2" spans="2:28" ht="19.5" x14ac:dyDescent="0.3">
      <c r="B2" s="35" t="s">
        <v>251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4" spans="2:28" x14ac:dyDescent="0.25">
      <c r="B4" s="4" t="s">
        <v>252</v>
      </c>
    </row>
    <row r="5" spans="2:28" ht="3.95" customHeight="1" x14ac:dyDescent="0.25"/>
    <row r="6" spans="2:28" x14ac:dyDescent="0.25">
      <c r="B6" s="16" t="s">
        <v>253</v>
      </c>
      <c r="C6" s="16" t="s">
        <v>254</v>
      </c>
      <c r="D6" s="16" t="s">
        <v>255</v>
      </c>
      <c r="E6" s="19"/>
    </row>
    <row r="7" spans="2:28" ht="3.95" customHeight="1" x14ac:dyDescent="0.25"/>
    <row r="8" spans="2:28" x14ac:dyDescent="0.25">
      <c r="B8" s="44" t="s">
        <v>141</v>
      </c>
      <c r="C8" s="44" t="s">
        <v>140</v>
      </c>
      <c r="D8" s="45">
        <v>0</v>
      </c>
      <c r="E8" s="46"/>
    </row>
    <row r="9" spans="2:28" x14ac:dyDescent="0.25">
      <c r="B9" s="44" t="s">
        <v>145</v>
      </c>
      <c r="C9" s="44" t="s">
        <v>143</v>
      </c>
      <c r="D9" s="45">
        <v>39.577444416893947</v>
      </c>
      <c r="E9" s="46"/>
    </row>
    <row r="10" spans="2:28" x14ac:dyDescent="0.25">
      <c r="B10" s="44" t="s">
        <v>159</v>
      </c>
      <c r="C10" s="44" t="s">
        <v>122</v>
      </c>
      <c r="D10" s="45">
        <v>48.889784279692527</v>
      </c>
      <c r="E10" s="46"/>
    </row>
    <row r="11" spans="2:28" x14ac:dyDescent="0.25">
      <c r="B11" s="44" t="s">
        <v>160</v>
      </c>
      <c r="C11" s="44" t="s">
        <v>158</v>
      </c>
      <c r="D11" s="45">
        <v>59.366166625340931</v>
      </c>
      <c r="E11" s="46"/>
    </row>
    <row r="12" spans="2:28" x14ac:dyDescent="0.25">
      <c r="B12" s="44" t="s">
        <v>167</v>
      </c>
      <c r="C12" s="44" t="s">
        <v>183</v>
      </c>
      <c r="D12" s="45">
        <v>69.842548970989341</v>
      </c>
      <c r="E12" s="46"/>
    </row>
    <row r="13" spans="2:28" x14ac:dyDescent="0.25">
      <c r="B13" s="44" t="s">
        <v>182</v>
      </c>
      <c r="C13" s="44" t="s">
        <v>166</v>
      </c>
      <c r="D13" s="45">
        <v>83.811058765187198</v>
      </c>
      <c r="E13" s="46"/>
    </row>
    <row r="14" spans="2:28" x14ac:dyDescent="0.25">
      <c r="B14" s="44" t="s">
        <v>130</v>
      </c>
      <c r="C14" s="44" t="s">
        <v>172</v>
      </c>
      <c r="D14" s="45">
        <v>118.73233325068186</v>
      </c>
      <c r="E14" s="46"/>
    </row>
    <row r="15" spans="2:28" x14ac:dyDescent="0.25">
      <c r="B15" s="44" t="s">
        <v>173</v>
      </c>
      <c r="C15" s="44" t="s">
        <v>128</v>
      </c>
      <c r="D15" s="45">
        <v>158.30977766757579</v>
      </c>
      <c r="E15" s="46"/>
    </row>
    <row r="16" spans="2:28" x14ac:dyDescent="0.25">
      <c r="B16" s="44" t="s">
        <v>175</v>
      </c>
      <c r="C16" s="44" t="s">
        <v>184</v>
      </c>
      <c r="D16" s="45">
        <v>188.5748822216712</v>
      </c>
      <c r="E16" s="46"/>
    </row>
    <row r="17" spans="2:5" x14ac:dyDescent="0.25">
      <c r="B17" s="44" t="s">
        <v>194</v>
      </c>
      <c r="C17" s="44" t="s">
        <v>138</v>
      </c>
      <c r="D17" s="45">
        <v>217.67594429291677</v>
      </c>
      <c r="E17" s="46"/>
    </row>
    <row r="18" spans="2:5" x14ac:dyDescent="0.25">
      <c r="B18" s="44" t="s">
        <v>148</v>
      </c>
      <c r="C18" s="44" t="s">
        <v>147</v>
      </c>
      <c r="D18" s="45">
        <v>247.94104884701215</v>
      </c>
      <c r="E18" s="46"/>
    </row>
    <row r="19" spans="2:5" x14ac:dyDescent="0.25">
      <c r="B19" s="44" t="s">
        <v>174</v>
      </c>
      <c r="C19" s="44" t="s">
        <v>192</v>
      </c>
      <c r="D19" s="45">
        <v>297.99487560955447</v>
      </c>
      <c r="E19" s="46"/>
    </row>
    <row r="20" spans="2:5" x14ac:dyDescent="0.25">
      <c r="B20" s="44" t="s">
        <v>126</v>
      </c>
      <c r="C20" s="44" t="s">
        <v>125</v>
      </c>
      <c r="D20" s="45">
        <v>356.19699975204554</v>
      </c>
      <c r="E20" s="46"/>
    </row>
    <row r="21" spans="2:5" x14ac:dyDescent="0.25">
      <c r="B21" s="44" t="s">
        <v>136</v>
      </c>
      <c r="C21" s="44" t="s">
        <v>149</v>
      </c>
      <c r="D21" s="45">
        <v>445.82827093148182</v>
      </c>
      <c r="E21" s="46"/>
    </row>
    <row r="22" spans="2:5" x14ac:dyDescent="0.25">
      <c r="B22" s="44" t="s">
        <v>178</v>
      </c>
      <c r="C22" s="44" t="s">
        <v>151</v>
      </c>
      <c r="D22" s="45">
        <v>544.77188197371675</v>
      </c>
      <c r="E22" s="46"/>
    </row>
    <row r="23" spans="2:5" x14ac:dyDescent="0.25">
      <c r="B23" s="44" t="s">
        <v>132</v>
      </c>
      <c r="C23" s="44" t="s">
        <v>131</v>
      </c>
      <c r="D23" s="45">
        <v>643.71549301595155</v>
      </c>
      <c r="E23" s="46"/>
    </row>
    <row r="24" spans="2:5" x14ac:dyDescent="0.25">
      <c r="B24" s="44" t="s">
        <v>176</v>
      </c>
      <c r="C24" s="44" t="s">
        <v>162</v>
      </c>
      <c r="D24" s="45">
        <v>742.65910405818647</v>
      </c>
      <c r="E24" s="46"/>
    </row>
    <row r="25" spans="2:5" x14ac:dyDescent="0.25">
      <c r="B25" s="44" t="s">
        <v>134</v>
      </c>
      <c r="C25" s="44" t="s">
        <v>189</v>
      </c>
      <c r="D25" s="45">
        <v>891.65654186296365</v>
      </c>
      <c r="E25" s="46"/>
    </row>
    <row r="26" spans="2:5" x14ac:dyDescent="0.25">
      <c r="B26" s="44" t="s">
        <v>215</v>
      </c>
      <c r="C26" s="44" t="s">
        <v>169</v>
      </c>
      <c r="D26" s="45">
        <v>990.60015290519868</v>
      </c>
      <c r="E26" s="46"/>
    </row>
    <row r="27" spans="2:5" x14ac:dyDescent="0.25">
      <c r="B27" s="44" t="s">
        <v>197</v>
      </c>
      <c r="C27" s="44" t="s">
        <v>133</v>
      </c>
      <c r="D27" s="45">
        <v>1188.4873749896685</v>
      </c>
      <c r="E27" s="46"/>
    </row>
    <row r="28" spans="2:5" x14ac:dyDescent="0.25">
      <c r="B28" s="44" t="s">
        <v>156</v>
      </c>
      <c r="C28" s="44" t="s">
        <v>133</v>
      </c>
      <c r="D28" s="45">
        <v>1188.4873749896685</v>
      </c>
      <c r="E28" s="46"/>
    </row>
    <row r="29" spans="2:5" x14ac:dyDescent="0.25">
      <c r="B29" s="44" t="s">
        <v>217</v>
      </c>
      <c r="C29" s="44" t="s">
        <v>156</v>
      </c>
      <c r="D29" s="45">
        <v>1750</v>
      </c>
      <c r="E29" s="46"/>
    </row>
    <row r="30" spans="2:5" x14ac:dyDescent="0.25">
      <c r="B30" s="44" t="s">
        <v>123</v>
      </c>
      <c r="C30" s="44" t="s">
        <v>123</v>
      </c>
      <c r="D30" s="45" t="s">
        <v>25</v>
      </c>
      <c r="E30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ERPcalcINDIA</vt:lpstr>
      <vt:lpstr>RelativeVolatility</vt:lpstr>
      <vt:lpstr>Data&gt;</vt:lpstr>
      <vt:lpstr>CDS</vt:lpstr>
      <vt:lpstr>Ratings</vt:lpstr>
      <vt:lpstr>Spreads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Prakash</dc:creator>
  <cp:lastModifiedBy>Jay Prakash</cp:lastModifiedBy>
  <dcterms:created xsi:type="dcterms:W3CDTF">2025-11-24T12:53:45Z</dcterms:created>
  <dcterms:modified xsi:type="dcterms:W3CDTF">2025-11-24T13:57:29Z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