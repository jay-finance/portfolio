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3dc0ba0609f8e1b/Documents/Finance/"/>
    </mc:Choice>
  </mc:AlternateContent>
  <xr:revisionPtr revIDLastSave="0" documentId="8_{FE0C71C2-192E-437F-92D7-F015E22C9124}" xr6:coauthVersionLast="47" xr6:coauthVersionMax="47" xr10:uidLastSave="{00000000-0000-0000-0000-000000000000}"/>
  <bookViews>
    <workbookView xWindow="-120" yWindow="-120" windowWidth="24240" windowHeight="13020" tabRatio="671" activeTab="2" xr2:uid="{597FF02F-E902-4963-B36F-FF51367AF503}"/>
  </bookViews>
  <sheets>
    <sheet name="ReadThis" sheetId="14" r:id="rId1"/>
    <sheet name="IntrinsicValue" sheetId="8" r:id="rId2"/>
    <sheet name="impliedERP" sheetId="9" r:id="rId3"/>
    <sheet name="Data&gt;" sheetId="7" r:id="rId4"/>
    <sheet name="ExpectedBB&amp;Dividends" sheetId="5" r:id="rId5"/>
    <sheet name="EPSGrowth" sheetId="2" r:id="rId6"/>
    <sheet name="RFRData" sheetId="3" r:id="rId7"/>
    <sheet name="ERPData" sheetId="4" r:id="rId8"/>
    <sheet name="s&amp;pAllData" sheetId="1" r:id="rId9"/>
  </sheets>
  <definedNames>
    <definedName name="_xlnm.Print_Area" localSheetId="1">IntrinsicValue!$A$1:$K$27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M4" i="5" l="1"/>
  <c r="B7" i="9" l="1"/>
  <c r="B6" i="9"/>
  <c r="G3" i="1" l="1"/>
  <c r="C5" i="8" l="1"/>
  <c r="C4" i="2" l="1"/>
  <c r="D4" i="2"/>
  <c r="G11" i="2" s="1"/>
  <c r="B5" i="2"/>
  <c r="C5" i="2"/>
  <c r="D5" i="2"/>
  <c r="E8" i="2" s="1"/>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C6" i="2"/>
  <c r="D6" i="2"/>
  <c r="C7" i="2"/>
  <c r="D7" i="2"/>
  <c r="C8" i="2"/>
  <c r="D8" i="2"/>
  <c r="G15" i="2" s="1"/>
  <c r="C9" i="2"/>
  <c r="D9" i="2"/>
  <c r="E9" i="2" s="1"/>
  <c r="C10" i="2"/>
  <c r="D10" i="2"/>
  <c r="G17" i="2" s="1"/>
  <c r="E10" i="2"/>
  <c r="C11" i="2"/>
  <c r="D11" i="2"/>
  <c r="F16" i="2" s="1"/>
  <c r="E11" i="2"/>
  <c r="F11" i="2"/>
  <c r="C12" i="2"/>
  <c r="D12" i="2"/>
  <c r="F12" i="2"/>
  <c r="C13" i="2"/>
  <c r="D13" i="2"/>
  <c r="G13" i="2" s="1"/>
  <c r="E13" i="2"/>
  <c r="F13" i="2"/>
  <c r="C14" i="2"/>
  <c r="D14" i="2"/>
  <c r="G14" i="2"/>
  <c r="H14" i="2"/>
  <c r="C15" i="2"/>
  <c r="D15" i="2"/>
  <c r="F15" i="2" s="1"/>
  <c r="E15" i="2"/>
  <c r="C16" i="2"/>
  <c r="D16" i="2"/>
  <c r="E19" i="2" s="1"/>
  <c r="H16" i="2"/>
  <c r="C17" i="2"/>
  <c r="D17" i="2"/>
  <c r="F17" i="2" s="1"/>
  <c r="E17" i="2"/>
  <c r="C18" i="2"/>
  <c r="D18" i="2"/>
  <c r="E21" i="2" s="1"/>
  <c r="F18" i="2"/>
  <c r="G18" i="2"/>
  <c r="H18" i="2"/>
  <c r="C19" i="2"/>
  <c r="D19" i="2"/>
  <c r="F19" i="2"/>
  <c r="G19" i="2"/>
  <c r="C20" i="2"/>
  <c r="D20" i="2"/>
  <c r="H20" i="2" s="1"/>
  <c r="E20" i="2"/>
  <c r="F20" i="2"/>
  <c r="C21" i="2"/>
  <c r="D21" i="2"/>
  <c r="E24" i="2" s="1"/>
  <c r="F21" i="2"/>
  <c r="G21" i="2"/>
  <c r="C22" i="2"/>
  <c r="D22" i="2"/>
  <c r="E22" i="2" s="1"/>
  <c r="C23" i="2"/>
  <c r="D23" i="2"/>
  <c r="E26" i="2" s="1"/>
  <c r="F23" i="2"/>
  <c r="G23" i="2"/>
  <c r="H23" i="2"/>
  <c r="C24" i="2"/>
  <c r="D24" i="2"/>
  <c r="F29" i="2" s="1"/>
  <c r="H24" i="2"/>
  <c r="C25" i="2"/>
  <c r="D25" i="2"/>
  <c r="G32" i="2" s="1"/>
  <c r="F25" i="2"/>
  <c r="G25" i="2"/>
  <c r="C26" i="2"/>
  <c r="D26" i="2"/>
  <c r="F26" i="2"/>
  <c r="G26" i="2"/>
  <c r="H26" i="2"/>
  <c r="C27" i="2"/>
  <c r="D27" i="2"/>
  <c r="H37" i="2" s="1"/>
  <c r="E27" i="2"/>
  <c r="C28" i="2"/>
  <c r="D28" i="2"/>
  <c r="E31" i="2" s="1"/>
  <c r="F28" i="2"/>
  <c r="G28" i="2"/>
  <c r="H28" i="2"/>
  <c r="C29" i="2"/>
  <c r="D29" i="2"/>
  <c r="H39" i="2" s="1"/>
  <c r="E29" i="2"/>
  <c r="H29" i="2"/>
  <c r="C30" i="2"/>
  <c r="D30" i="2"/>
  <c r="E33" i="2" s="1"/>
  <c r="F30" i="2"/>
  <c r="G30" i="2"/>
  <c r="H30" i="2"/>
  <c r="C31" i="2"/>
  <c r="D31" i="2"/>
  <c r="F31" i="2"/>
  <c r="G31" i="2"/>
  <c r="H31" i="2"/>
  <c r="C32" i="2"/>
  <c r="D32" i="2"/>
  <c r="G39" i="2" s="1"/>
  <c r="E32" i="2"/>
  <c r="F32" i="2"/>
  <c r="C33" i="2"/>
  <c r="D33" i="2"/>
  <c r="E36" i="2" s="1"/>
  <c r="F33" i="2"/>
  <c r="G33" i="2"/>
  <c r="H33" i="2"/>
  <c r="C34" i="2"/>
  <c r="D34" i="2"/>
  <c r="E34" i="2" s="1"/>
  <c r="C35" i="2"/>
  <c r="D35" i="2"/>
  <c r="E38" i="2" s="1"/>
  <c r="F35" i="2"/>
  <c r="G35" i="2"/>
  <c r="H35" i="2"/>
  <c r="C36" i="2"/>
  <c r="D36" i="2"/>
  <c r="F41" i="2" s="1"/>
  <c r="H36" i="2"/>
  <c r="C37" i="2"/>
  <c r="D37" i="2"/>
  <c r="G44" i="2" s="1"/>
  <c r="F37" i="2"/>
  <c r="G37" i="2"/>
  <c r="C38" i="2"/>
  <c r="D38" i="2"/>
  <c r="F38" i="2"/>
  <c r="G38" i="2"/>
  <c r="H38" i="2"/>
  <c r="C39" i="2"/>
  <c r="D39" i="2"/>
  <c r="E42" i="2" s="1"/>
  <c r="E39" i="2"/>
  <c r="C40" i="2"/>
  <c r="D40" i="2"/>
  <c r="E43" i="2" s="1"/>
  <c r="F40" i="2"/>
  <c r="G40" i="2"/>
  <c r="H40" i="2"/>
  <c r="C41" i="2"/>
  <c r="D41" i="2"/>
  <c r="E41" i="2"/>
  <c r="H41" i="2"/>
  <c r="C42" i="2"/>
  <c r="D42" i="2"/>
  <c r="F42" i="2"/>
  <c r="G42" i="2"/>
  <c r="H42" i="2"/>
  <c r="C43" i="2"/>
  <c r="D43" i="2"/>
  <c r="F43" i="2"/>
  <c r="G43" i="2"/>
  <c r="H43" i="2"/>
  <c r="C44" i="2"/>
  <c r="D44" i="2"/>
  <c r="E44" i="2"/>
  <c r="F44" i="2"/>
  <c r="R8" i="5"/>
  <c r="R10" i="5"/>
  <c r="R12" i="5"/>
  <c r="R14" i="5"/>
  <c r="R6" i="5"/>
  <c r="R4" i="5"/>
  <c r="N4" i="5"/>
  <c r="J13" i="5"/>
  <c r="H13" i="5"/>
  <c r="E12" i="5"/>
  <c r="E11" i="5"/>
  <c r="E10" i="5"/>
  <c r="E9" i="5"/>
  <c r="E8" i="5"/>
  <c r="E7" i="5"/>
  <c r="E6" i="5"/>
  <c r="E5" i="5"/>
  <c r="E4" i="5"/>
  <c r="I44" i="1"/>
  <c r="J4" i="3"/>
  <c r="C4" i="9"/>
  <c r="E37" i="2" l="1"/>
  <c r="H21" i="2"/>
  <c r="E18" i="2"/>
  <c r="G16" i="2"/>
  <c r="E35" i="2"/>
  <c r="H19" i="2"/>
  <c r="G12" i="2"/>
  <c r="F10" i="2"/>
  <c r="F14" i="2"/>
  <c r="G36" i="2"/>
  <c r="G24" i="2"/>
  <c r="H17" i="2"/>
  <c r="E14" i="2"/>
  <c r="E12" i="2"/>
  <c r="E7" i="2"/>
  <c r="G41" i="2"/>
  <c r="F36" i="2"/>
  <c r="H34" i="2"/>
  <c r="G29" i="2"/>
  <c r="F24" i="2"/>
  <c r="H22" i="2"/>
  <c r="G34" i="2"/>
  <c r="H27" i="2"/>
  <c r="G22" i="2"/>
  <c r="H15" i="2"/>
  <c r="E25" i="2"/>
  <c r="E30" i="2"/>
  <c r="E23" i="2"/>
  <c r="E40" i="2"/>
  <c r="E28" i="2"/>
  <c r="E16" i="2"/>
  <c r="H44" i="2"/>
  <c r="F34" i="2"/>
  <c r="H32" i="2"/>
  <c r="G27" i="2"/>
  <c r="F22" i="2"/>
  <c r="F9" i="2"/>
  <c r="F39" i="2"/>
  <c r="F27" i="2"/>
  <c r="H25" i="2"/>
  <c r="G20" i="2"/>
  <c r="C27" i="5"/>
  <c r="C26" i="5"/>
  <c r="C25" i="5"/>
  <c r="C24" i="5"/>
  <c r="C23" i="5"/>
  <c r="C22" i="5"/>
  <c r="C21" i="5"/>
  <c r="C20" i="5"/>
  <c r="C19" i="5"/>
  <c r="C18" i="5"/>
  <c r="C17" i="5"/>
  <c r="C16" i="5"/>
  <c r="C15" i="5"/>
  <c r="C14" i="5"/>
  <c r="C13" i="5"/>
  <c r="C12" i="5"/>
  <c r="C11" i="5"/>
  <c r="C10" i="5"/>
  <c r="C9" i="5"/>
  <c r="C8" i="5"/>
  <c r="C7" i="5"/>
  <c r="C6" i="5"/>
  <c r="C5" i="5"/>
  <c r="C4" i="5"/>
  <c r="B16" i="9"/>
  <c r="B17" i="9" l="1"/>
  <c r="B18" i="9" s="1"/>
  <c r="B19" i="9" l="1"/>
  <c r="B20" i="9" l="1"/>
  <c r="B21" i="9" l="1"/>
  <c r="B22" i="9" l="1"/>
  <c r="B23" i="9" l="1"/>
  <c r="B24" i="9" l="1"/>
  <c r="D4" i="5"/>
  <c r="D9" i="8" l="1"/>
  <c r="B9" i="8"/>
  <c r="C8" i="8"/>
  <c r="B5" i="8"/>
  <c r="L4" i="5"/>
  <c r="H27" i="5"/>
  <c r="H26" i="5"/>
  <c r="H25" i="5"/>
  <c r="H24" i="5"/>
  <c r="H23" i="5"/>
  <c r="H22" i="5"/>
  <c r="H21" i="5"/>
  <c r="H20" i="5"/>
  <c r="H19" i="5"/>
  <c r="H18" i="5"/>
  <c r="H17" i="5"/>
  <c r="H16" i="5"/>
  <c r="H15" i="5"/>
  <c r="H14" i="5"/>
  <c r="H12" i="5"/>
  <c r="H11" i="5"/>
  <c r="H10" i="5"/>
  <c r="H9" i="5"/>
  <c r="H8" i="5"/>
  <c r="H7" i="5"/>
  <c r="H6" i="5"/>
  <c r="H5" i="5"/>
  <c r="H4" i="5"/>
  <c r="G5" i="5"/>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L27" i="5" s="1"/>
  <c r="D27" i="5"/>
  <c r="D26" i="5"/>
  <c r="D25" i="5"/>
  <c r="D24" i="5"/>
  <c r="D23" i="5"/>
  <c r="D22" i="5"/>
  <c r="D21" i="5"/>
  <c r="D20" i="5"/>
  <c r="D19" i="5"/>
  <c r="D18" i="5"/>
  <c r="D17" i="5"/>
  <c r="D16" i="5"/>
  <c r="D15" i="5"/>
  <c r="D14" i="5"/>
  <c r="D13" i="5"/>
  <c r="D12" i="5"/>
  <c r="D11" i="5"/>
  <c r="D10" i="5"/>
  <c r="D9" i="5"/>
  <c r="D8" i="5"/>
  <c r="D7" i="5"/>
  <c r="D6" i="5"/>
  <c r="D5" i="5"/>
  <c r="B5" i="5"/>
  <c r="B6" i="5" s="1"/>
  <c r="B7" i="5" s="1"/>
  <c r="B8" i="5" s="1"/>
  <c r="B9" i="5" s="1"/>
  <c r="B10" i="5" s="1"/>
  <c r="B11" i="5" s="1"/>
  <c r="B12" i="5" s="1"/>
  <c r="B13" i="5" s="1"/>
  <c r="B14" i="5" s="1"/>
  <c r="B15" i="5" s="1"/>
  <c r="B16" i="5" s="1"/>
  <c r="B17" i="5" s="1"/>
  <c r="B18" i="5" s="1"/>
  <c r="B19" i="5" s="1"/>
  <c r="B20" i="5" s="1"/>
  <c r="B21" i="5" s="1"/>
  <c r="B22" i="5" s="1"/>
  <c r="B23" i="5" s="1"/>
  <c r="B24" i="5" s="1"/>
  <c r="B25" i="5" s="1"/>
  <c r="B26" i="5" s="1"/>
  <c r="B27" i="5" s="1"/>
  <c r="E5" i="4"/>
  <c r="E6" i="4" s="1"/>
  <c r="E7" i="4" s="1"/>
  <c r="E8" i="4" s="1"/>
  <c r="E9" i="4" s="1"/>
  <c r="E10" i="4" s="1"/>
  <c r="E11" i="4" s="1"/>
  <c r="E12" i="4" s="1"/>
  <c r="E13" i="4" s="1"/>
  <c r="E14" i="4" s="1"/>
  <c r="E15" i="4" s="1"/>
  <c r="E16" i="4" s="1"/>
  <c r="E17" i="4" s="1"/>
  <c r="E18" i="4" s="1"/>
  <c r="E19" i="4" s="1"/>
  <c r="E20" i="4" s="1"/>
  <c r="B5" i="4"/>
  <c r="C68" i="2"/>
  <c r="G67" i="1"/>
  <c r="I67" i="1" s="1"/>
  <c r="I27" i="5" s="1"/>
  <c r="E67" i="1"/>
  <c r="D68" i="2" s="1"/>
  <c r="N5" i="3"/>
  <c r="N18" i="3"/>
  <c r="N20" i="3" s="1"/>
  <c r="D12" i="8" s="1"/>
  <c r="C6" i="9" s="1"/>
  <c r="C12" i="9" s="1"/>
  <c r="I5" i="3"/>
  <c r="J5" i="3" s="1"/>
  <c r="C67" i="2"/>
  <c r="E26" i="5" s="1"/>
  <c r="C66" i="2"/>
  <c r="C65" i="2"/>
  <c r="C64" i="2"/>
  <c r="C63" i="2"/>
  <c r="C62" i="2"/>
  <c r="C61" i="2"/>
  <c r="C60" i="2"/>
  <c r="C59" i="2"/>
  <c r="C58" i="2"/>
  <c r="C57" i="2"/>
  <c r="C56" i="2"/>
  <c r="C55" i="2"/>
  <c r="E14" i="5" s="1"/>
  <c r="C54" i="2"/>
  <c r="C53" i="2"/>
  <c r="C52" i="2"/>
  <c r="C51" i="2"/>
  <c r="C50" i="2"/>
  <c r="C49" i="2"/>
  <c r="C48" i="2"/>
  <c r="C47" i="2"/>
  <c r="C46" i="2"/>
  <c r="C45" i="2"/>
  <c r="B45" i="2"/>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4" i="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D17" i="8" l="1"/>
  <c r="D15" i="9" s="1"/>
  <c r="B6" i="4"/>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D8" i="8"/>
  <c r="E24" i="5"/>
  <c r="B17" i="8"/>
  <c r="C17" i="8" s="1"/>
  <c r="E13" i="5"/>
  <c r="E15" i="5"/>
  <c r="E25" i="5"/>
  <c r="L6" i="5"/>
  <c r="L16" i="5"/>
  <c r="L5" i="5"/>
  <c r="L17" i="5"/>
  <c r="L18" i="5"/>
  <c r="L7" i="5"/>
  <c r="L19" i="5"/>
  <c r="L8" i="5"/>
  <c r="L20" i="5"/>
  <c r="L9" i="5"/>
  <c r="L21" i="5"/>
  <c r="L10" i="5"/>
  <c r="L22" i="5"/>
  <c r="L11" i="5"/>
  <c r="L23" i="5"/>
  <c r="L12" i="5"/>
  <c r="L24" i="5"/>
  <c r="L13" i="5"/>
  <c r="L25" i="5"/>
  <c r="L14" i="5"/>
  <c r="L26" i="5"/>
  <c r="L15" i="5"/>
  <c r="E16" i="5"/>
  <c r="J27" i="5"/>
  <c r="E27" i="5"/>
  <c r="M27" i="5" s="1"/>
  <c r="N27" i="5" s="1"/>
  <c r="D10" i="8" s="1"/>
  <c r="E20" i="5"/>
  <c r="E21" i="5"/>
  <c r="E22" i="5"/>
  <c r="E23" i="5"/>
  <c r="E17" i="5"/>
  <c r="E18" i="5"/>
  <c r="E19" i="5"/>
  <c r="J67" i="1"/>
  <c r="I6" i="3"/>
  <c r="F19" i="4" l="1"/>
  <c r="F7" i="4"/>
  <c r="F15" i="4"/>
  <c r="F6" i="4"/>
  <c r="F17" i="4"/>
  <c r="F5" i="4"/>
  <c r="F18" i="4"/>
  <c r="F11" i="4"/>
  <c r="F10" i="4"/>
  <c r="F14" i="4"/>
  <c r="F13" i="4"/>
  <c r="F12" i="4"/>
  <c r="F8" i="4"/>
  <c r="F20" i="4"/>
  <c r="F16" i="4"/>
  <c r="J10" i="4" s="1"/>
  <c r="F4" i="4"/>
  <c r="F9" i="4"/>
  <c r="B18" i="8"/>
  <c r="J6" i="3"/>
  <c r="I7" i="3"/>
  <c r="C18" i="8" l="1"/>
  <c r="J6" i="4"/>
  <c r="D13" i="8" s="1"/>
  <c r="C7" i="9" s="1"/>
  <c r="C8" i="9" s="1"/>
  <c r="J8" i="4"/>
  <c r="J4" i="4"/>
  <c r="D18" i="8"/>
  <c r="B19" i="8"/>
  <c r="C19" i="8" s="1"/>
  <c r="I8" i="3"/>
  <c r="J7" i="3"/>
  <c r="D16" i="9" l="1"/>
  <c r="D19" i="8"/>
  <c r="B20" i="8"/>
  <c r="C20" i="8" s="1"/>
  <c r="I9" i="3"/>
  <c r="J8" i="3"/>
  <c r="D20" i="8" l="1"/>
  <c r="D17" i="9"/>
  <c r="B21" i="8"/>
  <c r="C21" i="8" s="1"/>
  <c r="I10" i="3"/>
  <c r="J9" i="3"/>
  <c r="D21" i="8" l="1"/>
  <c r="D18" i="9"/>
  <c r="B22" i="8"/>
  <c r="C22" i="8" s="1"/>
  <c r="I11" i="3"/>
  <c r="J10" i="3"/>
  <c r="B23" i="8" l="1"/>
  <c r="C23" i="8" s="1"/>
  <c r="D22" i="8"/>
  <c r="D19" i="9"/>
  <c r="I12" i="3"/>
  <c r="J11" i="3"/>
  <c r="D23" i="8" l="1"/>
  <c r="B24" i="8"/>
  <c r="C24" i="8" s="1"/>
  <c r="D20" i="9"/>
  <c r="I13" i="3"/>
  <c r="J12" i="3"/>
  <c r="B25" i="8" l="1"/>
  <c r="C25" i="8" s="1"/>
  <c r="D24" i="8"/>
  <c r="D21" i="9"/>
  <c r="I14" i="3"/>
  <c r="J13" i="3"/>
  <c r="D25" i="8" l="1"/>
  <c r="B26" i="8"/>
  <c r="D22" i="9"/>
  <c r="I15" i="3"/>
  <c r="J14" i="3"/>
  <c r="D26" i="8" l="1"/>
  <c r="D23" i="9"/>
  <c r="I16" i="3"/>
  <c r="J15" i="3"/>
  <c r="D24" i="9" l="1"/>
  <c r="I17" i="3"/>
  <c r="J16" i="3"/>
  <c r="I18" i="3" l="1"/>
  <c r="J17" i="3"/>
  <c r="I19" i="3" l="1"/>
  <c r="J18" i="3"/>
  <c r="I20" i="3" l="1"/>
  <c r="J19" i="3"/>
  <c r="I21" i="3" l="1"/>
  <c r="J20" i="3"/>
  <c r="I22" i="3" l="1"/>
  <c r="J21" i="3"/>
  <c r="I23" i="3" l="1"/>
  <c r="J22" i="3"/>
  <c r="I24" i="3" l="1"/>
  <c r="J23" i="3"/>
  <c r="I25" i="3" l="1"/>
  <c r="J24" i="3"/>
  <c r="I26" i="3" l="1"/>
  <c r="J25" i="3"/>
  <c r="I27" i="3" l="1"/>
  <c r="J26" i="3"/>
  <c r="I28" i="3" l="1"/>
  <c r="J27" i="3"/>
  <c r="I29" i="3" l="1"/>
  <c r="J28" i="3"/>
  <c r="I30" i="3" l="1"/>
  <c r="J29" i="3"/>
  <c r="I31" i="3" l="1"/>
  <c r="J30" i="3"/>
  <c r="I32" i="3" l="1"/>
  <c r="J31" i="3"/>
  <c r="I33" i="3" l="1"/>
  <c r="J32" i="3"/>
  <c r="N8" i="3" l="1"/>
  <c r="N10" i="3"/>
  <c r="N12" i="3"/>
  <c r="N14" i="3"/>
  <c r="N16" i="3"/>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E66" i="1"/>
  <c r="D67" i="2" s="1"/>
  <c r="E65" i="1"/>
  <c r="D66" i="2" s="1"/>
  <c r="E64" i="1"/>
  <c r="E63" i="1"/>
  <c r="D64" i="2" s="1"/>
  <c r="E62" i="1"/>
  <c r="D63" i="2" s="1"/>
  <c r="E61" i="1"/>
  <c r="E60" i="1"/>
  <c r="D61" i="2" s="1"/>
  <c r="E59" i="1"/>
  <c r="D60" i="2" s="1"/>
  <c r="E58" i="1"/>
  <c r="D59" i="2" s="1"/>
  <c r="E57" i="1"/>
  <c r="D58" i="2" s="1"/>
  <c r="E56" i="1"/>
  <c r="D57" i="2" s="1"/>
  <c r="E55" i="1"/>
  <c r="D56" i="2" s="1"/>
  <c r="E54" i="1"/>
  <c r="D55" i="2" s="1"/>
  <c r="E53" i="1"/>
  <c r="D54" i="2" s="1"/>
  <c r="E52" i="1"/>
  <c r="D53" i="2" s="1"/>
  <c r="E51" i="1"/>
  <c r="D52" i="2" s="1"/>
  <c r="E50" i="1"/>
  <c r="D51" i="2" s="1"/>
  <c r="E49" i="1"/>
  <c r="D50" i="2" s="1"/>
  <c r="E48" i="1"/>
  <c r="D49" i="2" s="1"/>
  <c r="E47" i="1"/>
  <c r="D48" i="2" s="1"/>
  <c r="E46" i="1"/>
  <c r="D47" i="2" s="1"/>
  <c r="E45" i="1"/>
  <c r="D46" i="2" s="1"/>
  <c r="E44" i="1"/>
  <c r="D45" i="2"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I49" i="1" l="1"/>
  <c r="I9" i="5" s="1"/>
  <c r="J50" i="1"/>
  <c r="I50" i="1"/>
  <c r="I10" i="5" s="1"/>
  <c r="I51" i="1"/>
  <c r="I11" i="5" s="1"/>
  <c r="I53" i="1"/>
  <c r="I13" i="5" s="1"/>
  <c r="J54" i="1"/>
  <c r="I54" i="1"/>
  <c r="I14" i="5" s="1"/>
  <c r="I56" i="1"/>
  <c r="I16" i="5" s="1"/>
  <c r="I57" i="1"/>
  <c r="I17" i="5" s="1"/>
  <c r="J47" i="1"/>
  <c r="I47" i="1"/>
  <c r="I7" i="5" s="1"/>
  <c r="I59" i="1"/>
  <c r="I19" i="5" s="1"/>
  <c r="I61" i="1"/>
  <c r="I21" i="5" s="1"/>
  <c r="J62" i="1"/>
  <c r="I62" i="1"/>
  <c r="I22" i="5" s="1"/>
  <c r="I63" i="1"/>
  <c r="I23" i="5" s="1"/>
  <c r="I52" i="1"/>
  <c r="I12" i="5" s="1"/>
  <c r="J64" i="1"/>
  <c r="I64" i="1"/>
  <c r="I24" i="5" s="1"/>
  <c r="I65" i="1"/>
  <c r="I25" i="5" s="1"/>
  <c r="I66" i="1"/>
  <c r="I26" i="5" s="1"/>
  <c r="J55" i="1"/>
  <c r="I55" i="1"/>
  <c r="I15" i="5" s="1"/>
  <c r="I4" i="5"/>
  <c r="I45" i="1"/>
  <c r="I5" i="5" s="1"/>
  <c r="J46" i="1"/>
  <c r="I46" i="1"/>
  <c r="I6" i="5" s="1"/>
  <c r="I58" i="1"/>
  <c r="I18" i="5" s="1"/>
  <c r="I48" i="1"/>
  <c r="I8" i="5" s="1"/>
  <c r="J60" i="1"/>
  <c r="I60" i="1"/>
  <c r="I20" i="5" s="1"/>
  <c r="D62" i="2"/>
  <c r="F67" i="2" s="1"/>
  <c r="D65" i="2"/>
  <c r="E68" i="2" s="1"/>
  <c r="G46" i="2"/>
  <c r="H49" i="2"/>
  <c r="F56" i="2"/>
  <c r="E54" i="2"/>
  <c r="G58" i="2"/>
  <c r="H61" i="2"/>
  <c r="E66" i="2"/>
  <c r="F68" i="2"/>
  <c r="F66" i="2"/>
  <c r="E64" i="2"/>
  <c r="G68" i="2"/>
  <c r="G45" i="2"/>
  <c r="H48" i="2"/>
  <c r="F55" i="2"/>
  <c r="E53" i="2"/>
  <c r="G57" i="2"/>
  <c r="H60" i="2"/>
  <c r="F45" i="2"/>
  <c r="G47" i="2"/>
  <c r="H50" i="2"/>
  <c r="F54" i="2"/>
  <c r="E52" i="2"/>
  <c r="G56" i="2"/>
  <c r="H59" i="2"/>
  <c r="F46" i="2"/>
  <c r="G48" i="2"/>
  <c r="H51" i="2"/>
  <c r="G49" i="2"/>
  <c r="F47" i="2"/>
  <c r="H52" i="2"/>
  <c r="E45" i="2"/>
  <c r="G50" i="2"/>
  <c r="E46" i="2"/>
  <c r="H53" i="2"/>
  <c r="F48" i="2"/>
  <c r="F60" i="2"/>
  <c r="H65" i="2"/>
  <c r="E58" i="2"/>
  <c r="G61" i="2"/>
  <c r="E57" i="2"/>
  <c r="H64" i="2"/>
  <c r="F59" i="2"/>
  <c r="G51" i="2"/>
  <c r="H54" i="2"/>
  <c r="F49" i="2"/>
  <c r="E47" i="2"/>
  <c r="G63" i="2"/>
  <c r="H66" i="2"/>
  <c r="F61" i="2"/>
  <c r="E59" i="2"/>
  <c r="F57" i="2"/>
  <c r="E55" i="2"/>
  <c r="G59" i="2"/>
  <c r="F58" i="2"/>
  <c r="E56" i="2"/>
  <c r="G60" i="2"/>
  <c r="H63" i="2"/>
  <c r="H55" i="2"/>
  <c r="F50" i="2"/>
  <c r="E48" i="2"/>
  <c r="G52" i="2"/>
  <c r="E60" i="2"/>
  <c r="G64" i="2"/>
  <c r="H47" i="2"/>
  <c r="H56" i="2"/>
  <c r="F51" i="2"/>
  <c r="E49" i="2"/>
  <c r="G53" i="2"/>
  <c r="F63" i="2"/>
  <c r="E61" i="2"/>
  <c r="H68" i="2"/>
  <c r="G65" i="2"/>
  <c r="H45" i="2"/>
  <c r="H57" i="2"/>
  <c r="E50" i="2"/>
  <c r="F52" i="2"/>
  <c r="G54" i="2"/>
  <c r="F64" i="2"/>
  <c r="G66" i="2"/>
  <c r="H46" i="2"/>
  <c r="F53" i="2"/>
  <c r="E51" i="2"/>
  <c r="G55" i="2"/>
  <c r="H58" i="2"/>
  <c r="F65" i="2"/>
  <c r="E63" i="2"/>
  <c r="E67" i="2"/>
  <c r="H67" i="2"/>
  <c r="G67" i="2"/>
  <c r="J4" i="5" l="1"/>
  <c r="J23" i="5"/>
  <c r="M23" i="5"/>
  <c r="N23" i="5" s="1"/>
  <c r="J16" i="5"/>
  <c r="M16" i="5"/>
  <c r="N16" i="5" s="1"/>
  <c r="J44" i="1"/>
  <c r="J63" i="1"/>
  <c r="J56" i="1"/>
  <c r="G62" i="2"/>
  <c r="L8" i="2" s="1"/>
  <c r="J20" i="5"/>
  <c r="M20" i="5"/>
  <c r="N20" i="5" s="1"/>
  <c r="J15" i="5"/>
  <c r="M15" i="5"/>
  <c r="N15" i="5" s="1"/>
  <c r="J22" i="5"/>
  <c r="M22" i="5"/>
  <c r="N22" i="5" s="1"/>
  <c r="J14" i="5"/>
  <c r="M14" i="5"/>
  <c r="N14" i="5" s="1"/>
  <c r="M26" i="5"/>
  <c r="N26" i="5" s="1"/>
  <c r="J26" i="5"/>
  <c r="J21" i="5"/>
  <c r="M21" i="5"/>
  <c r="N21" i="5" s="1"/>
  <c r="J48" i="1"/>
  <c r="J53" i="1"/>
  <c r="J18" i="5"/>
  <c r="M18" i="5"/>
  <c r="N18" i="5" s="1"/>
  <c r="J25" i="5"/>
  <c r="M25" i="5"/>
  <c r="N25" i="5" s="1"/>
  <c r="J19" i="5"/>
  <c r="M19" i="5"/>
  <c r="N19" i="5" s="1"/>
  <c r="J11" i="5"/>
  <c r="M11" i="5"/>
  <c r="N11" i="5" s="1"/>
  <c r="E62" i="2"/>
  <c r="L4" i="2" s="1"/>
  <c r="F62" i="2"/>
  <c r="L6" i="2" s="1"/>
  <c r="J58" i="1"/>
  <c r="J65" i="1"/>
  <c r="J59" i="1"/>
  <c r="J51" i="1"/>
  <c r="J6" i="5"/>
  <c r="M6" i="5"/>
  <c r="N6" i="5" s="1"/>
  <c r="J24" i="5"/>
  <c r="M24" i="5"/>
  <c r="N24" i="5" s="1"/>
  <c r="J7" i="5"/>
  <c r="M7" i="5"/>
  <c r="N7" i="5" s="1"/>
  <c r="J10" i="5"/>
  <c r="M10" i="5"/>
  <c r="N10" i="5" s="1"/>
  <c r="J8" i="5"/>
  <c r="M8" i="5"/>
  <c r="N8" i="5" s="1"/>
  <c r="M13" i="5"/>
  <c r="N13" i="5" s="1"/>
  <c r="J66" i="1"/>
  <c r="J61" i="1"/>
  <c r="J5" i="5"/>
  <c r="M5" i="5"/>
  <c r="N5" i="5" s="1"/>
  <c r="J12" i="5"/>
  <c r="M12" i="5"/>
  <c r="N12" i="5" s="1"/>
  <c r="J17" i="5"/>
  <c r="M17" i="5"/>
  <c r="N17" i="5" s="1"/>
  <c r="J9" i="5"/>
  <c r="M9" i="5"/>
  <c r="N9" i="5" s="1"/>
  <c r="J45" i="1"/>
  <c r="J52" i="1"/>
  <c r="J57" i="1"/>
  <c r="J49" i="1"/>
  <c r="E65" i="2"/>
  <c r="H62" i="2"/>
  <c r="L10" i="2" s="1"/>
  <c r="D11" i="8" s="1"/>
  <c r="C15" i="9" l="1"/>
  <c r="E15" i="9" s="1"/>
  <c r="C17" i="9" l="1"/>
  <c r="E17" i="9" s="1"/>
  <c r="C18" i="9"/>
  <c r="E18" i="9" s="1"/>
  <c r="C20" i="9"/>
  <c r="E20" i="9" s="1"/>
  <c r="C21" i="9"/>
  <c r="E21" i="9" s="1"/>
  <c r="C16" i="9"/>
  <c r="E16" i="9" s="1"/>
  <c r="C19" i="9"/>
  <c r="E19" i="9" s="1"/>
  <c r="C22" i="9"/>
  <c r="E22" i="9" s="1"/>
  <c r="C23" i="9"/>
  <c r="E23" i="9" s="1"/>
  <c r="D14" i="8"/>
  <c r="E21" i="8" s="1"/>
  <c r="C26" i="8" l="1"/>
  <c r="E18" i="8"/>
  <c r="E24" i="8"/>
  <c r="E23" i="8"/>
  <c r="E22" i="8"/>
  <c r="E17" i="8"/>
  <c r="E19" i="8"/>
  <c r="E20" i="8"/>
  <c r="E25" i="8"/>
  <c r="E26" i="8" l="1"/>
  <c r="E5" i="8" s="1"/>
  <c r="E6" i="8" s="1"/>
  <c r="E8" i="8" s="1"/>
  <c r="C24" i="9"/>
  <c r="E24" i="9" s="1"/>
  <c r="E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C12" authorId="0" shapeId="0" xr:uid="{A338E00B-4650-49B5-9CAD-F23B774F9646}">
      <text>
        <r>
          <rPr>
            <b/>
            <sz val="9"/>
            <color indexed="81"/>
            <rFont val="Tahoma"/>
            <family val="2"/>
          </rPr>
          <t>Jay prakash:</t>
        </r>
        <r>
          <rPr>
            <sz val="9"/>
            <color indexed="81"/>
            <rFont val="Tahoma"/>
            <family val="2"/>
          </rPr>
          <t xml:space="preserve">
Historical bond rates are available but not recommended to use. Use latest RFR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C10" authorId="0" shapeId="0" xr:uid="{D70F1978-2529-4398-B65D-5FC468E335F0}">
      <text>
        <r>
          <rPr>
            <b/>
            <sz val="9"/>
            <color indexed="81"/>
            <rFont val="Tahoma"/>
            <family val="2"/>
          </rPr>
          <t>Jay prakash:</t>
        </r>
        <r>
          <rPr>
            <sz val="9"/>
            <color indexed="81"/>
            <rFont val="Tahoma"/>
            <family val="2"/>
          </rPr>
          <t xml:space="preserve">
Use goalseek changing this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G4" authorId="0" shapeId="0" xr:uid="{807382A6-BEE9-4BC5-96E3-46BB011A6903}">
      <text>
        <r>
          <rPr>
            <b/>
            <sz val="9"/>
            <color indexed="81"/>
            <rFont val="Tahoma"/>
            <family val="2"/>
          </rPr>
          <t>jay prakash:</t>
        </r>
        <r>
          <rPr>
            <sz val="9"/>
            <color indexed="81"/>
            <rFont val="Tahoma"/>
            <family val="2"/>
          </rPr>
          <t xml:space="preserve">
Buyback data only available from 2001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M5" authorId="0" shapeId="0" xr:uid="{5DC4079D-6276-4B4D-80FD-09EB669E45C5}">
      <text>
        <r>
          <rPr>
            <b/>
            <sz val="9"/>
            <color indexed="81"/>
            <rFont val="Tahoma"/>
            <family val="2"/>
          </rPr>
          <t>Jay prakash:</t>
        </r>
        <r>
          <rPr>
            <sz val="9"/>
            <color indexed="81"/>
            <rFont val="Tahoma"/>
            <family val="2"/>
          </rPr>
          <t xml:space="preserve">
India's rating is AAA.
US is considered risk free
</t>
        </r>
      </text>
    </comment>
    <comment ref="J33" authorId="0" shapeId="0" xr:uid="{240988C6-6D06-44A1-9158-F0A7B2AA2982}">
      <text>
        <r>
          <rPr>
            <b/>
            <sz val="9"/>
            <color indexed="81"/>
            <rFont val="Tahoma"/>
            <family val="2"/>
          </rPr>
          <t>Jay prakash:</t>
        </r>
        <r>
          <rPr>
            <sz val="9"/>
            <color indexed="81"/>
            <rFont val="Tahoma"/>
            <family val="2"/>
          </rPr>
          <t xml:space="preserve">
Update everyday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H3" authorId="0" shapeId="0" xr:uid="{5875A3B2-9F0F-4617-964E-8EE571303CCD}">
      <text>
        <r>
          <rPr>
            <b/>
            <sz val="9"/>
            <color indexed="81"/>
            <rFont val="Tahoma"/>
            <family val="2"/>
          </rPr>
          <t>Jay prakash:</t>
        </r>
        <r>
          <rPr>
            <sz val="9"/>
            <color indexed="81"/>
            <rFont val="Tahoma"/>
            <family val="2"/>
          </rPr>
          <t xml:space="preserve">
No buyback data available till 2001
</t>
        </r>
      </text>
    </comment>
    <comment ref="I3" authorId="0" shapeId="0" xr:uid="{D38D8425-18B8-410A-BDB7-DE5C2D9623A1}">
      <text>
        <r>
          <rPr>
            <b/>
            <sz val="9"/>
            <color indexed="81"/>
            <rFont val="Tahoma"/>
            <family val="2"/>
          </rPr>
          <t>Jay prakash:</t>
        </r>
        <r>
          <rPr>
            <sz val="9"/>
            <color indexed="81"/>
            <rFont val="Tahoma"/>
            <family val="2"/>
          </rPr>
          <t xml:space="preserve">
No buyback data available till 2001
</t>
        </r>
      </text>
    </comment>
    <comment ref="J3" authorId="0" shapeId="0" xr:uid="{4D4CA621-0EE9-4D7C-8A59-600CC7EAB6AA}">
      <text>
        <r>
          <rPr>
            <b/>
            <sz val="9"/>
            <color indexed="81"/>
            <rFont val="Tahoma"/>
            <family val="2"/>
          </rPr>
          <t>Jay prakash:</t>
        </r>
        <r>
          <rPr>
            <sz val="9"/>
            <color indexed="81"/>
            <rFont val="Tahoma"/>
            <family val="2"/>
          </rPr>
          <t xml:space="preserve">
No buyback data available till 2001
</t>
        </r>
      </text>
    </comment>
    <comment ref="H4" authorId="0" shapeId="0" xr:uid="{8C122B64-6CAA-42A3-BA91-E4FA3905B5A5}">
      <text>
        <r>
          <rPr>
            <b/>
            <sz val="9"/>
            <color indexed="81"/>
            <rFont val="Tahoma"/>
            <family val="2"/>
          </rPr>
          <t>Jay prakash:</t>
        </r>
        <r>
          <rPr>
            <sz val="9"/>
            <color indexed="81"/>
            <rFont val="Tahoma"/>
            <family val="2"/>
          </rPr>
          <t xml:space="preserve">
No buyback data available till 2001
</t>
        </r>
      </text>
    </comment>
    <comment ref="I4" authorId="0" shapeId="0" xr:uid="{F8D3478D-BE71-40B5-8E66-154B145BBA2C}">
      <text>
        <r>
          <rPr>
            <b/>
            <sz val="9"/>
            <color indexed="81"/>
            <rFont val="Tahoma"/>
            <family val="2"/>
          </rPr>
          <t>Jay prakash:</t>
        </r>
        <r>
          <rPr>
            <sz val="9"/>
            <color indexed="81"/>
            <rFont val="Tahoma"/>
            <family val="2"/>
          </rPr>
          <t xml:space="preserve">
No buyback data available till 2001
</t>
        </r>
      </text>
    </comment>
    <comment ref="J4" authorId="0" shapeId="0" xr:uid="{C696C2A0-EBC9-4F41-B6B0-15E2D6DAB2EA}">
      <text>
        <r>
          <rPr>
            <b/>
            <sz val="9"/>
            <color indexed="81"/>
            <rFont val="Tahoma"/>
            <family val="2"/>
          </rPr>
          <t>Jay prakash:</t>
        </r>
        <r>
          <rPr>
            <sz val="9"/>
            <color indexed="81"/>
            <rFont val="Tahoma"/>
            <family val="2"/>
          </rPr>
          <t xml:space="preserve">
No buyback data available till 2001
</t>
        </r>
      </text>
    </comment>
    <comment ref="H5" authorId="0" shapeId="0" xr:uid="{CB3AF687-1579-4440-9EF5-876960931213}">
      <text>
        <r>
          <rPr>
            <b/>
            <sz val="9"/>
            <color indexed="81"/>
            <rFont val="Tahoma"/>
            <family val="2"/>
          </rPr>
          <t>Jay prakash:</t>
        </r>
        <r>
          <rPr>
            <sz val="9"/>
            <color indexed="81"/>
            <rFont val="Tahoma"/>
            <family val="2"/>
          </rPr>
          <t xml:space="preserve">
No buyback data available till 2001
</t>
        </r>
      </text>
    </comment>
    <comment ref="I5" authorId="0" shapeId="0" xr:uid="{4170F254-880D-44EE-B25B-5F149AAE6B7C}">
      <text>
        <r>
          <rPr>
            <b/>
            <sz val="9"/>
            <color indexed="81"/>
            <rFont val="Tahoma"/>
            <family val="2"/>
          </rPr>
          <t>Jay prakash:</t>
        </r>
        <r>
          <rPr>
            <sz val="9"/>
            <color indexed="81"/>
            <rFont val="Tahoma"/>
            <family val="2"/>
          </rPr>
          <t xml:space="preserve">
No buyback data available till 2001
</t>
        </r>
      </text>
    </comment>
    <comment ref="J5" authorId="0" shapeId="0" xr:uid="{705F6895-FF9C-4954-9B80-92D4B82E273A}">
      <text>
        <r>
          <rPr>
            <b/>
            <sz val="9"/>
            <color indexed="81"/>
            <rFont val="Tahoma"/>
            <family val="2"/>
          </rPr>
          <t>Jay prakash:</t>
        </r>
        <r>
          <rPr>
            <sz val="9"/>
            <color indexed="81"/>
            <rFont val="Tahoma"/>
            <family val="2"/>
          </rPr>
          <t xml:space="preserve">
No buyback data available till 2001
</t>
        </r>
      </text>
    </comment>
    <comment ref="H6" authorId="0" shapeId="0" xr:uid="{1DD6A4CA-4233-44ED-9BAF-DFD08BBA8DD5}">
      <text>
        <r>
          <rPr>
            <b/>
            <sz val="9"/>
            <color indexed="81"/>
            <rFont val="Tahoma"/>
            <family val="2"/>
          </rPr>
          <t>Jay prakash:</t>
        </r>
        <r>
          <rPr>
            <sz val="9"/>
            <color indexed="81"/>
            <rFont val="Tahoma"/>
            <family val="2"/>
          </rPr>
          <t xml:space="preserve">
No buyback data available till 2001
</t>
        </r>
      </text>
    </comment>
    <comment ref="I6" authorId="0" shapeId="0" xr:uid="{85630413-73D2-4F24-8ABC-33DFBB1C79B9}">
      <text>
        <r>
          <rPr>
            <b/>
            <sz val="9"/>
            <color indexed="81"/>
            <rFont val="Tahoma"/>
            <family val="2"/>
          </rPr>
          <t>Jay prakash:</t>
        </r>
        <r>
          <rPr>
            <sz val="9"/>
            <color indexed="81"/>
            <rFont val="Tahoma"/>
            <family val="2"/>
          </rPr>
          <t xml:space="preserve">
No buyback data available till 2001
</t>
        </r>
      </text>
    </comment>
    <comment ref="J6" authorId="0" shapeId="0" xr:uid="{F041E65A-1B5F-4CE0-85CA-45D8E9AD5113}">
      <text>
        <r>
          <rPr>
            <b/>
            <sz val="9"/>
            <color indexed="81"/>
            <rFont val="Tahoma"/>
            <family val="2"/>
          </rPr>
          <t>Jay prakash:</t>
        </r>
        <r>
          <rPr>
            <sz val="9"/>
            <color indexed="81"/>
            <rFont val="Tahoma"/>
            <family val="2"/>
          </rPr>
          <t xml:space="preserve">
No buyback data available till 2001
</t>
        </r>
      </text>
    </comment>
    <comment ref="H7" authorId="0" shapeId="0" xr:uid="{32338F8B-E8BF-431B-87D1-15834025D671}">
      <text>
        <r>
          <rPr>
            <b/>
            <sz val="9"/>
            <color indexed="81"/>
            <rFont val="Tahoma"/>
            <family val="2"/>
          </rPr>
          <t>Jay prakash:</t>
        </r>
        <r>
          <rPr>
            <sz val="9"/>
            <color indexed="81"/>
            <rFont val="Tahoma"/>
            <family val="2"/>
          </rPr>
          <t xml:space="preserve">
No buyback data available till 2001
</t>
        </r>
      </text>
    </comment>
    <comment ref="I7" authorId="0" shapeId="0" xr:uid="{E9D5CBD2-42C0-428B-86F8-BF6801C5D12D}">
      <text>
        <r>
          <rPr>
            <b/>
            <sz val="9"/>
            <color indexed="81"/>
            <rFont val="Tahoma"/>
            <family val="2"/>
          </rPr>
          <t>Jay prakash:</t>
        </r>
        <r>
          <rPr>
            <sz val="9"/>
            <color indexed="81"/>
            <rFont val="Tahoma"/>
            <family val="2"/>
          </rPr>
          <t xml:space="preserve">
No buyback data available till 2001
</t>
        </r>
      </text>
    </comment>
    <comment ref="J7" authorId="0" shapeId="0" xr:uid="{C1B858F5-8A77-42E4-8671-E0DB7D66C3A6}">
      <text>
        <r>
          <rPr>
            <b/>
            <sz val="9"/>
            <color indexed="81"/>
            <rFont val="Tahoma"/>
            <family val="2"/>
          </rPr>
          <t>Jay prakash:</t>
        </r>
        <r>
          <rPr>
            <sz val="9"/>
            <color indexed="81"/>
            <rFont val="Tahoma"/>
            <family val="2"/>
          </rPr>
          <t xml:space="preserve">
No buyback data available till 2001
</t>
        </r>
      </text>
    </comment>
    <comment ref="H8" authorId="0" shapeId="0" xr:uid="{FC694333-E20F-4793-9947-4A5D2A7E233A}">
      <text>
        <r>
          <rPr>
            <b/>
            <sz val="9"/>
            <color indexed="81"/>
            <rFont val="Tahoma"/>
            <family val="2"/>
          </rPr>
          <t>Jay prakash:</t>
        </r>
        <r>
          <rPr>
            <sz val="9"/>
            <color indexed="81"/>
            <rFont val="Tahoma"/>
            <family val="2"/>
          </rPr>
          <t xml:space="preserve">
No buyback data available till 2001
</t>
        </r>
      </text>
    </comment>
    <comment ref="I8" authorId="0" shapeId="0" xr:uid="{6C9D05B2-8750-4B51-A99C-E28497A7B39C}">
      <text>
        <r>
          <rPr>
            <b/>
            <sz val="9"/>
            <color indexed="81"/>
            <rFont val="Tahoma"/>
            <family val="2"/>
          </rPr>
          <t>Jay prakash:</t>
        </r>
        <r>
          <rPr>
            <sz val="9"/>
            <color indexed="81"/>
            <rFont val="Tahoma"/>
            <family val="2"/>
          </rPr>
          <t xml:space="preserve">
No buyback data available till 2001
</t>
        </r>
      </text>
    </comment>
    <comment ref="J8" authorId="0" shapeId="0" xr:uid="{2B207A42-868C-4F80-8F20-5BD28D3E7820}">
      <text>
        <r>
          <rPr>
            <b/>
            <sz val="9"/>
            <color indexed="81"/>
            <rFont val="Tahoma"/>
            <family val="2"/>
          </rPr>
          <t>Jay prakash:</t>
        </r>
        <r>
          <rPr>
            <sz val="9"/>
            <color indexed="81"/>
            <rFont val="Tahoma"/>
            <family val="2"/>
          </rPr>
          <t xml:space="preserve">
No buyback data available till 2001
</t>
        </r>
      </text>
    </comment>
    <comment ref="H9" authorId="0" shapeId="0" xr:uid="{98336EED-1F8E-403D-96C1-6D3472ED34F1}">
      <text>
        <r>
          <rPr>
            <b/>
            <sz val="9"/>
            <color indexed="81"/>
            <rFont val="Tahoma"/>
            <family val="2"/>
          </rPr>
          <t>Jay prakash:</t>
        </r>
        <r>
          <rPr>
            <sz val="9"/>
            <color indexed="81"/>
            <rFont val="Tahoma"/>
            <family val="2"/>
          </rPr>
          <t xml:space="preserve">
No buyback data available till 2001
</t>
        </r>
      </text>
    </comment>
    <comment ref="I9" authorId="0" shapeId="0" xr:uid="{8B7E4E6F-FE5B-47BC-9641-39A183C9FEF2}">
      <text>
        <r>
          <rPr>
            <b/>
            <sz val="9"/>
            <color indexed="81"/>
            <rFont val="Tahoma"/>
            <family val="2"/>
          </rPr>
          <t>Jay prakash:</t>
        </r>
        <r>
          <rPr>
            <sz val="9"/>
            <color indexed="81"/>
            <rFont val="Tahoma"/>
            <family val="2"/>
          </rPr>
          <t xml:space="preserve">
No buyback data available till 2001
</t>
        </r>
      </text>
    </comment>
    <comment ref="J9" authorId="0" shapeId="0" xr:uid="{04C833C1-566A-402E-81F0-02D8F6C900C6}">
      <text>
        <r>
          <rPr>
            <b/>
            <sz val="9"/>
            <color indexed="81"/>
            <rFont val="Tahoma"/>
            <family val="2"/>
          </rPr>
          <t>Jay prakash:</t>
        </r>
        <r>
          <rPr>
            <sz val="9"/>
            <color indexed="81"/>
            <rFont val="Tahoma"/>
            <family val="2"/>
          </rPr>
          <t xml:space="preserve">
No buyback data available till 2001
</t>
        </r>
      </text>
    </comment>
    <comment ref="H10" authorId="0" shapeId="0" xr:uid="{C374FB0B-0EB8-4378-BE02-77A43F435FFE}">
      <text>
        <r>
          <rPr>
            <b/>
            <sz val="9"/>
            <color indexed="81"/>
            <rFont val="Tahoma"/>
            <family val="2"/>
          </rPr>
          <t>Jay prakash:</t>
        </r>
        <r>
          <rPr>
            <sz val="9"/>
            <color indexed="81"/>
            <rFont val="Tahoma"/>
            <family val="2"/>
          </rPr>
          <t xml:space="preserve">
No buyback data available till 2001
</t>
        </r>
      </text>
    </comment>
    <comment ref="I10" authorId="0" shapeId="0" xr:uid="{DF776339-FBC6-4249-8BA1-CA93A3CBB403}">
      <text>
        <r>
          <rPr>
            <b/>
            <sz val="9"/>
            <color indexed="81"/>
            <rFont val="Tahoma"/>
            <family val="2"/>
          </rPr>
          <t>Jay prakash:</t>
        </r>
        <r>
          <rPr>
            <sz val="9"/>
            <color indexed="81"/>
            <rFont val="Tahoma"/>
            <family val="2"/>
          </rPr>
          <t xml:space="preserve">
No buyback data available till 2001
</t>
        </r>
      </text>
    </comment>
    <comment ref="J10" authorId="0" shapeId="0" xr:uid="{C6BACDE9-771E-41FB-AAD9-1CA6E50F0339}">
      <text>
        <r>
          <rPr>
            <b/>
            <sz val="9"/>
            <color indexed="81"/>
            <rFont val="Tahoma"/>
            <family val="2"/>
          </rPr>
          <t>Jay prakash:</t>
        </r>
        <r>
          <rPr>
            <sz val="9"/>
            <color indexed="81"/>
            <rFont val="Tahoma"/>
            <family val="2"/>
          </rPr>
          <t xml:space="preserve">
No buyback data available till 2001
</t>
        </r>
      </text>
    </comment>
    <comment ref="H11" authorId="0" shapeId="0" xr:uid="{100166B8-DC67-4AAD-9F3F-DEEFC4AD03DE}">
      <text>
        <r>
          <rPr>
            <b/>
            <sz val="9"/>
            <color indexed="81"/>
            <rFont val="Tahoma"/>
            <family val="2"/>
          </rPr>
          <t>Jay prakash:</t>
        </r>
        <r>
          <rPr>
            <sz val="9"/>
            <color indexed="81"/>
            <rFont val="Tahoma"/>
            <family val="2"/>
          </rPr>
          <t xml:space="preserve">
No buyback data available till 2001
</t>
        </r>
      </text>
    </comment>
    <comment ref="I11" authorId="0" shapeId="0" xr:uid="{E24C3E8A-CFDC-47A9-9897-41502FAC19B2}">
      <text>
        <r>
          <rPr>
            <b/>
            <sz val="9"/>
            <color indexed="81"/>
            <rFont val="Tahoma"/>
            <family val="2"/>
          </rPr>
          <t>Jay prakash:</t>
        </r>
        <r>
          <rPr>
            <sz val="9"/>
            <color indexed="81"/>
            <rFont val="Tahoma"/>
            <family val="2"/>
          </rPr>
          <t xml:space="preserve">
No buyback data available till 2001
</t>
        </r>
      </text>
    </comment>
    <comment ref="J11" authorId="0" shapeId="0" xr:uid="{6D62A125-4DFF-4924-8522-74A670D28983}">
      <text>
        <r>
          <rPr>
            <b/>
            <sz val="9"/>
            <color indexed="81"/>
            <rFont val="Tahoma"/>
            <family val="2"/>
          </rPr>
          <t>Jay prakash:</t>
        </r>
        <r>
          <rPr>
            <sz val="9"/>
            <color indexed="81"/>
            <rFont val="Tahoma"/>
            <family val="2"/>
          </rPr>
          <t xml:space="preserve">
No buyback data available till 2001
</t>
        </r>
      </text>
    </comment>
    <comment ref="H12" authorId="0" shapeId="0" xr:uid="{468DC3C5-9758-40C3-8127-B327E7ECA1F7}">
      <text>
        <r>
          <rPr>
            <b/>
            <sz val="9"/>
            <color indexed="81"/>
            <rFont val="Tahoma"/>
            <family val="2"/>
          </rPr>
          <t>Jay prakash:</t>
        </r>
        <r>
          <rPr>
            <sz val="9"/>
            <color indexed="81"/>
            <rFont val="Tahoma"/>
            <family val="2"/>
          </rPr>
          <t xml:space="preserve">
No buyback data available till 2001
</t>
        </r>
      </text>
    </comment>
    <comment ref="I12" authorId="0" shapeId="0" xr:uid="{B9EC946D-AD98-4134-8FEF-E13DA10F5556}">
      <text>
        <r>
          <rPr>
            <b/>
            <sz val="9"/>
            <color indexed="81"/>
            <rFont val="Tahoma"/>
            <family val="2"/>
          </rPr>
          <t>Jay prakash:</t>
        </r>
        <r>
          <rPr>
            <sz val="9"/>
            <color indexed="81"/>
            <rFont val="Tahoma"/>
            <family val="2"/>
          </rPr>
          <t xml:space="preserve">
No buyback data available till 2001
</t>
        </r>
      </text>
    </comment>
    <comment ref="J12" authorId="0" shapeId="0" xr:uid="{BFE93418-6D6E-4203-B6E2-0C3B58672F4C}">
      <text>
        <r>
          <rPr>
            <b/>
            <sz val="9"/>
            <color indexed="81"/>
            <rFont val="Tahoma"/>
            <family val="2"/>
          </rPr>
          <t>Jay prakash:</t>
        </r>
        <r>
          <rPr>
            <sz val="9"/>
            <color indexed="81"/>
            <rFont val="Tahoma"/>
            <family val="2"/>
          </rPr>
          <t xml:space="preserve">
No buyback data available till 2001
</t>
        </r>
      </text>
    </comment>
    <comment ref="H13" authorId="0" shapeId="0" xr:uid="{30ACBF78-7113-4168-8B8F-6D20B20555EC}">
      <text>
        <r>
          <rPr>
            <b/>
            <sz val="9"/>
            <color indexed="81"/>
            <rFont val="Tahoma"/>
            <family val="2"/>
          </rPr>
          <t>Jay prakash:</t>
        </r>
        <r>
          <rPr>
            <sz val="9"/>
            <color indexed="81"/>
            <rFont val="Tahoma"/>
            <family val="2"/>
          </rPr>
          <t xml:space="preserve">
No buyback data available till 2001
</t>
        </r>
      </text>
    </comment>
    <comment ref="I13" authorId="0" shapeId="0" xr:uid="{6012B4A2-4194-422F-A550-759050E8BAA9}">
      <text>
        <r>
          <rPr>
            <b/>
            <sz val="9"/>
            <color indexed="81"/>
            <rFont val="Tahoma"/>
            <family val="2"/>
          </rPr>
          <t>Jay prakash:</t>
        </r>
        <r>
          <rPr>
            <sz val="9"/>
            <color indexed="81"/>
            <rFont val="Tahoma"/>
            <family val="2"/>
          </rPr>
          <t xml:space="preserve">
No buyback data available till 2001
</t>
        </r>
      </text>
    </comment>
    <comment ref="J13" authorId="0" shapeId="0" xr:uid="{BC107EC4-9E04-41FE-B093-C90937774089}">
      <text>
        <r>
          <rPr>
            <b/>
            <sz val="9"/>
            <color indexed="81"/>
            <rFont val="Tahoma"/>
            <family val="2"/>
          </rPr>
          <t>Jay prakash:</t>
        </r>
        <r>
          <rPr>
            <sz val="9"/>
            <color indexed="81"/>
            <rFont val="Tahoma"/>
            <family val="2"/>
          </rPr>
          <t xml:space="preserve">
No buyback data available till 2001
</t>
        </r>
      </text>
    </comment>
    <comment ref="H14" authorId="0" shapeId="0" xr:uid="{C34CDF16-8813-4CB5-AB78-39FB70025CCF}">
      <text>
        <r>
          <rPr>
            <b/>
            <sz val="9"/>
            <color indexed="81"/>
            <rFont val="Tahoma"/>
            <family val="2"/>
          </rPr>
          <t>Jay prakash:</t>
        </r>
        <r>
          <rPr>
            <sz val="9"/>
            <color indexed="81"/>
            <rFont val="Tahoma"/>
            <family val="2"/>
          </rPr>
          <t xml:space="preserve">
No buyback data available till 2001
</t>
        </r>
      </text>
    </comment>
    <comment ref="I14" authorId="0" shapeId="0" xr:uid="{50CB2C11-CB11-4B9B-AC46-186285F2E7A9}">
      <text>
        <r>
          <rPr>
            <b/>
            <sz val="9"/>
            <color indexed="81"/>
            <rFont val="Tahoma"/>
            <family val="2"/>
          </rPr>
          <t>Jay prakash:</t>
        </r>
        <r>
          <rPr>
            <sz val="9"/>
            <color indexed="81"/>
            <rFont val="Tahoma"/>
            <family val="2"/>
          </rPr>
          <t xml:space="preserve">
No buyback data available till 2001
</t>
        </r>
      </text>
    </comment>
    <comment ref="J14" authorId="0" shapeId="0" xr:uid="{951FEEE2-3173-4017-A127-D18C7B19AD59}">
      <text>
        <r>
          <rPr>
            <b/>
            <sz val="9"/>
            <color indexed="81"/>
            <rFont val="Tahoma"/>
            <family val="2"/>
          </rPr>
          <t>Jay prakash:</t>
        </r>
        <r>
          <rPr>
            <sz val="9"/>
            <color indexed="81"/>
            <rFont val="Tahoma"/>
            <family val="2"/>
          </rPr>
          <t xml:space="preserve">
No buyback data available till 2001
</t>
        </r>
      </text>
    </comment>
    <comment ref="H15" authorId="0" shapeId="0" xr:uid="{B99B0A89-F9D5-4C7C-A542-45321DBAFFE6}">
      <text>
        <r>
          <rPr>
            <b/>
            <sz val="9"/>
            <color indexed="81"/>
            <rFont val="Tahoma"/>
            <family val="2"/>
          </rPr>
          <t>Jay prakash:</t>
        </r>
        <r>
          <rPr>
            <sz val="9"/>
            <color indexed="81"/>
            <rFont val="Tahoma"/>
            <family val="2"/>
          </rPr>
          <t xml:space="preserve">
No buyback data available till 2001
</t>
        </r>
      </text>
    </comment>
    <comment ref="I15" authorId="0" shapeId="0" xr:uid="{76B86D0F-13E7-42A8-BC94-8D20755ACDAB}">
      <text>
        <r>
          <rPr>
            <b/>
            <sz val="9"/>
            <color indexed="81"/>
            <rFont val="Tahoma"/>
            <family val="2"/>
          </rPr>
          <t>Jay prakash:</t>
        </r>
        <r>
          <rPr>
            <sz val="9"/>
            <color indexed="81"/>
            <rFont val="Tahoma"/>
            <family val="2"/>
          </rPr>
          <t xml:space="preserve">
No buyback data available till 2001
</t>
        </r>
      </text>
    </comment>
    <comment ref="J15" authorId="0" shapeId="0" xr:uid="{C1322EF4-5DB3-4930-890B-0E9134D587D3}">
      <text>
        <r>
          <rPr>
            <b/>
            <sz val="9"/>
            <color indexed="81"/>
            <rFont val="Tahoma"/>
            <family val="2"/>
          </rPr>
          <t>Jay prakash:</t>
        </r>
        <r>
          <rPr>
            <sz val="9"/>
            <color indexed="81"/>
            <rFont val="Tahoma"/>
            <family val="2"/>
          </rPr>
          <t xml:space="preserve">
No buyback data available till 2001
</t>
        </r>
      </text>
    </comment>
    <comment ref="H16" authorId="0" shapeId="0" xr:uid="{B0ADACAA-1B07-4F87-94C8-DDB8C77E040C}">
      <text>
        <r>
          <rPr>
            <b/>
            <sz val="9"/>
            <color indexed="81"/>
            <rFont val="Tahoma"/>
            <family val="2"/>
          </rPr>
          <t>Jay prakash:</t>
        </r>
        <r>
          <rPr>
            <sz val="9"/>
            <color indexed="81"/>
            <rFont val="Tahoma"/>
            <family val="2"/>
          </rPr>
          <t xml:space="preserve">
No buyback data available till 2001
</t>
        </r>
      </text>
    </comment>
    <comment ref="I16" authorId="0" shapeId="0" xr:uid="{88D6AD33-808A-438E-B70A-563595B9628C}">
      <text>
        <r>
          <rPr>
            <b/>
            <sz val="9"/>
            <color indexed="81"/>
            <rFont val="Tahoma"/>
            <family val="2"/>
          </rPr>
          <t>Jay prakash:</t>
        </r>
        <r>
          <rPr>
            <sz val="9"/>
            <color indexed="81"/>
            <rFont val="Tahoma"/>
            <family val="2"/>
          </rPr>
          <t xml:space="preserve">
No buyback data available till 2001
</t>
        </r>
      </text>
    </comment>
    <comment ref="J16" authorId="0" shapeId="0" xr:uid="{D899C386-B347-404E-940D-2C590DF2FA03}">
      <text>
        <r>
          <rPr>
            <b/>
            <sz val="9"/>
            <color indexed="81"/>
            <rFont val="Tahoma"/>
            <family val="2"/>
          </rPr>
          <t>Jay prakash:</t>
        </r>
        <r>
          <rPr>
            <sz val="9"/>
            <color indexed="81"/>
            <rFont val="Tahoma"/>
            <family val="2"/>
          </rPr>
          <t xml:space="preserve">
No buyback data available till 2001
</t>
        </r>
      </text>
    </comment>
    <comment ref="H17" authorId="0" shapeId="0" xr:uid="{32259B6B-DB44-465C-80D0-33DDBB9CF328}">
      <text>
        <r>
          <rPr>
            <b/>
            <sz val="9"/>
            <color indexed="81"/>
            <rFont val="Tahoma"/>
            <family val="2"/>
          </rPr>
          <t>Jay prakash:</t>
        </r>
        <r>
          <rPr>
            <sz val="9"/>
            <color indexed="81"/>
            <rFont val="Tahoma"/>
            <family val="2"/>
          </rPr>
          <t xml:space="preserve">
No buyback data available till 2001
</t>
        </r>
      </text>
    </comment>
    <comment ref="I17" authorId="0" shapeId="0" xr:uid="{1489A743-C045-4D84-9F45-904DF4C92AF8}">
      <text>
        <r>
          <rPr>
            <b/>
            <sz val="9"/>
            <color indexed="81"/>
            <rFont val="Tahoma"/>
            <family val="2"/>
          </rPr>
          <t>Jay prakash:</t>
        </r>
        <r>
          <rPr>
            <sz val="9"/>
            <color indexed="81"/>
            <rFont val="Tahoma"/>
            <family val="2"/>
          </rPr>
          <t xml:space="preserve">
No buyback data available till 2001
</t>
        </r>
      </text>
    </comment>
    <comment ref="J17" authorId="0" shapeId="0" xr:uid="{110D6C57-36E5-4744-96C2-6B36996107B4}">
      <text>
        <r>
          <rPr>
            <b/>
            <sz val="9"/>
            <color indexed="81"/>
            <rFont val="Tahoma"/>
            <family val="2"/>
          </rPr>
          <t>Jay prakash:</t>
        </r>
        <r>
          <rPr>
            <sz val="9"/>
            <color indexed="81"/>
            <rFont val="Tahoma"/>
            <family val="2"/>
          </rPr>
          <t xml:space="preserve">
No buyback data available till 2001
</t>
        </r>
      </text>
    </comment>
    <comment ref="H18" authorId="0" shapeId="0" xr:uid="{2BCA2EDA-894A-4E29-95D6-E5B88A035D3E}">
      <text>
        <r>
          <rPr>
            <b/>
            <sz val="9"/>
            <color indexed="81"/>
            <rFont val="Tahoma"/>
            <family val="2"/>
          </rPr>
          <t>Jay prakash:</t>
        </r>
        <r>
          <rPr>
            <sz val="9"/>
            <color indexed="81"/>
            <rFont val="Tahoma"/>
            <family val="2"/>
          </rPr>
          <t xml:space="preserve">
No buyback data available till 2001
</t>
        </r>
      </text>
    </comment>
    <comment ref="I18" authorId="0" shapeId="0" xr:uid="{C8B7FC8B-8771-49FE-A38B-6670DEBF2A36}">
      <text>
        <r>
          <rPr>
            <b/>
            <sz val="9"/>
            <color indexed="81"/>
            <rFont val="Tahoma"/>
            <family val="2"/>
          </rPr>
          <t>Jay prakash:</t>
        </r>
        <r>
          <rPr>
            <sz val="9"/>
            <color indexed="81"/>
            <rFont val="Tahoma"/>
            <family val="2"/>
          </rPr>
          <t xml:space="preserve">
No buyback data available till 2001
</t>
        </r>
      </text>
    </comment>
    <comment ref="J18" authorId="0" shapeId="0" xr:uid="{45343EB3-1AB4-4C73-97E2-B550DB1A0B95}">
      <text>
        <r>
          <rPr>
            <b/>
            <sz val="9"/>
            <color indexed="81"/>
            <rFont val="Tahoma"/>
            <family val="2"/>
          </rPr>
          <t>Jay prakash:</t>
        </r>
        <r>
          <rPr>
            <sz val="9"/>
            <color indexed="81"/>
            <rFont val="Tahoma"/>
            <family val="2"/>
          </rPr>
          <t xml:space="preserve">
No buyback data available till 2001
</t>
        </r>
      </text>
    </comment>
    <comment ref="H19" authorId="0" shapeId="0" xr:uid="{759684BC-4723-4583-9EF1-4355A4C32A40}">
      <text>
        <r>
          <rPr>
            <b/>
            <sz val="9"/>
            <color indexed="81"/>
            <rFont val="Tahoma"/>
            <family val="2"/>
          </rPr>
          <t>Jay prakash:</t>
        </r>
        <r>
          <rPr>
            <sz val="9"/>
            <color indexed="81"/>
            <rFont val="Tahoma"/>
            <family val="2"/>
          </rPr>
          <t xml:space="preserve">
No buyback data available till 2001
</t>
        </r>
      </text>
    </comment>
    <comment ref="I19" authorId="0" shapeId="0" xr:uid="{8C7A980C-24C3-4772-A3FE-4463C6828135}">
      <text>
        <r>
          <rPr>
            <b/>
            <sz val="9"/>
            <color indexed="81"/>
            <rFont val="Tahoma"/>
            <family val="2"/>
          </rPr>
          <t>Jay prakash:</t>
        </r>
        <r>
          <rPr>
            <sz val="9"/>
            <color indexed="81"/>
            <rFont val="Tahoma"/>
            <family val="2"/>
          </rPr>
          <t xml:space="preserve">
No buyback data available till 2001
</t>
        </r>
      </text>
    </comment>
    <comment ref="J19" authorId="0" shapeId="0" xr:uid="{487F961F-915F-4A30-A2BE-AFDEC51D50B9}">
      <text>
        <r>
          <rPr>
            <b/>
            <sz val="9"/>
            <color indexed="81"/>
            <rFont val="Tahoma"/>
            <family val="2"/>
          </rPr>
          <t>Jay prakash:</t>
        </r>
        <r>
          <rPr>
            <sz val="9"/>
            <color indexed="81"/>
            <rFont val="Tahoma"/>
            <family val="2"/>
          </rPr>
          <t xml:space="preserve">
No buyback data available till 2001
</t>
        </r>
      </text>
    </comment>
    <comment ref="H20" authorId="0" shapeId="0" xr:uid="{AA5E1CCF-827E-4D43-B6A4-AE8D873358D2}">
      <text>
        <r>
          <rPr>
            <b/>
            <sz val="9"/>
            <color indexed="81"/>
            <rFont val="Tahoma"/>
            <family val="2"/>
          </rPr>
          <t>Jay prakash:</t>
        </r>
        <r>
          <rPr>
            <sz val="9"/>
            <color indexed="81"/>
            <rFont val="Tahoma"/>
            <family val="2"/>
          </rPr>
          <t xml:space="preserve">
No buyback data available till 2001
</t>
        </r>
      </text>
    </comment>
    <comment ref="I20" authorId="0" shapeId="0" xr:uid="{AB47E20F-4803-4461-B337-3CFD06FBA83B}">
      <text>
        <r>
          <rPr>
            <b/>
            <sz val="9"/>
            <color indexed="81"/>
            <rFont val="Tahoma"/>
            <family val="2"/>
          </rPr>
          <t>Jay prakash:</t>
        </r>
        <r>
          <rPr>
            <sz val="9"/>
            <color indexed="81"/>
            <rFont val="Tahoma"/>
            <family val="2"/>
          </rPr>
          <t xml:space="preserve">
No buyback data available till 2001
</t>
        </r>
      </text>
    </comment>
    <comment ref="J20" authorId="0" shapeId="0" xr:uid="{659F1258-B9A0-41FE-808B-724EBA9D319A}">
      <text>
        <r>
          <rPr>
            <b/>
            <sz val="9"/>
            <color indexed="81"/>
            <rFont val="Tahoma"/>
            <family val="2"/>
          </rPr>
          <t>Jay prakash:</t>
        </r>
        <r>
          <rPr>
            <sz val="9"/>
            <color indexed="81"/>
            <rFont val="Tahoma"/>
            <family val="2"/>
          </rPr>
          <t xml:space="preserve">
No buyback data available till 2001
</t>
        </r>
      </text>
    </comment>
    <comment ref="H21" authorId="0" shapeId="0" xr:uid="{6B24ADF1-0D05-4EE4-9B09-4A51AAD0B999}">
      <text>
        <r>
          <rPr>
            <b/>
            <sz val="9"/>
            <color indexed="81"/>
            <rFont val="Tahoma"/>
            <family val="2"/>
          </rPr>
          <t>Jay prakash:</t>
        </r>
        <r>
          <rPr>
            <sz val="9"/>
            <color indexed="81"/>
            <rFont val="Tahoma"/>
            <family val="2"/>
          </rPr>
          <t xml:space="preserve">
No buyback data available till 2001
</t>
        </r>
      </text>
    </comment>
    <comment ref="I21" authorId="0" shapeId="0" xr:uid="{01578C0C-32DE-4D30-9410-CD41D57BC27E}">
      <text>
        <r>
          <rPr>
            <b/>
            <sz val="9"/>
            <color indexed="81"/>
            <rFont val="Tahoma"/>
            <family val="2"/>
          </rPr>
          <t>Jay prakash:</t>
        </r>
        <r>
          <rPr>
            <sz val="9"/>
            <color indexed="81"/>
            <rFont val="Tahoma"/>
            <family val="2"/>
          </rPr>
          <t xml:space="preserve">
No buyback data available till 2001
</t>
        </r>
      </text>
    </comment>
    <comment ref="J21" authorId="0" shapeId="0" xr:uid="{9106110C-0156-45A2-8431-1655303D2672}">
      <text>
        <r>
          <rPr>
            <b/>
            <sz val="9"/>
            <color indexed="81"/>
            <rFont val="Tahoma"/>
            <family val="2"/>
          </rPr>
          <t>Jay prakash:</t>
        </r>
        <r>
          <rPr>
            <sz val="9"/>
            <color indexed="81"/>
            <rFont val="Tahoma"/>
            <family val="2"/>
          </rPr>
          <t xml:space="preserve">
No buyback data available till 2001
</t>
        </r>
      </text>
    </comment>
    <comment ref="H22" authorId="0" shapeId="0" xr:uid="{3E72EA92-CACE-4F67-B08F-721FF5A8670C}">
      <text>
        <r>
          <rPr>
            <b/>
            <sz val="9"/>
            <color indexed="81"/>
            <rFont val="Tahoma"/>
            <family val="2"/>
          </rPr>
          <t>Jay prakash:</t>
        </r>
        <r>
          <rPr>
            <sz val="9"/>
            <color indexed="81"/>
            <rFont val="Tahoma"/>
            <family val="2"/>
          </rPr>
          <t xml:space="preserve">
No buyback data available till 2001
</t>
        </r>
      </text>
    </comment>
    <comment ref="I22" authorId="0" shapeId="0" xr:uid="{CA6C0AAC-31EE-4EBE-B398-D45AD710AF89}">
      <text>
        <r>
          <rPr>
            <b/>
            <sz val="9"/>
            <color indexed="81"/>
            <rFont val="Tahoma"/>
            <family val="2"/>
          </rPr>
          <t>Jay prakash:</t>
        </r>
        <r>
          <rPr>
            <sz val="9"/>
            <color indexed="81"/>
            <rFont val="Tahoma"/>
            <family val="2"/>
          </rPr>
          <t xml:space="preserve">
No buyback data available till 2001
</t>
        </r>
      </text>
    </comment>
    <comment ref="J22" authorId="0" shapeId="0" xr:uid="{39BC1939-A14F-4411-97EC-906A583C8734}">
      <text>
        <r>
          <rPr>
            <b/>
            <sz val="9"/>
            <color indexed="81"/>
            <rFont val="Tahoma"/>
            <family val="2"/>
          </rPr>
          <t>Jay prakash:</t>
        </r>
        <r>
          <rPr>
            <sz val="9"/>
            <color indexed="81"/>
            <rFont val="Tahoma"/>
            <family val="2"/>
          </rPr>
          <t xml:space="preserve">
No buyback data available till 2001
</t>
        </r>
      </text>
    </comment>
    <comment ref="H23" authorId="0" shapeId="0" xr:uid="{6993DEF1-9677-4D25-9A6D-89454B9DCFFA}">
      <text>
        <r>
          <rPr>
            <b/>
            <sz val="9"/>
            <color indexed="81"/>
            <rFont val="Tahoma"/>
            <family val="2"/>
          </rPr>
          <t>Jay prakash:</t>
        </r>
        <r>
          <rPr>
            <sz val="9"/>
            <color indexed="81"/>
            <rFont val="Tahoma"/>
            <family val="2"/>
          </rPr>
          <t xml:space="preserve">
No buyback data available till 2001
</t>
        </r>
      </text>
    </comment>
    <comment ref="I23" authorId="0" shapeId="0" xr:uid="{7E7FC3CF-DAFC-4E28-A6B8-180B158E7440}">
      <text>
        <r>
          <rPr>
            <b/>
            <sz val="9"/>
            <color indexed="81"/>
            <rFont val="Tahoma"/>
            <family val="2"/>
          </rPr>
          <t>Jay prakash:</t>
        </r>
        <r>
          <rPr>
            <sz val="9"/>
            <color indexed="81"/>
            <rFont val="Tahoma"/>
            <family val="2"/>
          </rPr>
          <t xml:space="preserve">
No buyback data available till 2001
</t>
        </r>
      </text>
    </comment>
    <comment ref="J23" authorId="0" shapeId="0" xr:uid="{05FCE06E-585E-48D7-B795-FD21A7336A25}">
      <text>
        <r>
          <rPr>
            <b/>
            <sz val="9"/>
            <color indexed="81"/>
            <rFont val="Tahoma"/>
            <family val="2"/>
          </rPr>
          <t>Jay prakash:</t>
        </r>
        <r>
          <rPr>
            <sz val="9"/>
            <color indexed="81"/>
            <rFont val="Tahoma"/>
            <family val="2"/>
          </rPr>
          <t xml:space="preserve">
No buyback data available till 2001
</t>
        </r>
      </text>
    </comment>
    <comment ref="H24" authorId="0" shapeId="0" xr:uid="{97A82B68-0064-451E-BF26-B477B1E8DAE1}">
      <text>
        <r>
          <rPr>
            <b/>
            <sz val="9"/>
            <color indexed="81"/>
            <rFont val="Tahoma"/>
            <family val="2"/>
          </rPr>
          <t>Jay prakash:</t>
        </r>
        <r>
          <rPr>
            <sz val="9"/>
            <color indexed="81"/>
            <rFont val="Tahoma"/>
            <family val="2"/>
          </rPr>
          <t xml:space="preserve">
No buyback data available till 2001
</t>
        </r>
      </text>
    </comment>
    <comment ref="I24" authorId="0" shapeId="0" xr:uid="{A1105B9F-FBEB-466C-98D8-F4514EA27012}">
      <text>
        <r>
          <rPr>
            <b/>
            <sz val="9"/>
            <color indexed="81"/>
            <rFont val="Tahoma"/>
            <family val="2"/>
          </rPr>
          <t>Jay prakash:</t>
        </r>
        <r>
          <rPr>
            <sz val="9"/>
            <color indexed="81"/>
            <rFont val="Tahoma"/>
            <family val="2"/>
          </rPr>
          <t xml:space="preserve">
No buyback data available till 2001
</t>
        </r>
      </text>
    </comment>
    <comment ref="J24" authorId="0" shapeId="0" xr:uid="{34BAAF1A-C67F-41D6-974B-E646EF0C3A44}">
      <text>
        <r>
          <rPr>
            <b/>
            <sz val="9"/>
            <color indexed="81"/>
            <rFont val="Tahoma"/>
            <family val="2"/>
          </rPr>
          <t>Jay prakash:</t>
        </r>
        <r>
          <rPr>
            <sz val="9"/>
            <color indexed="81"/>
            <rFont val="Tahoma"/>
            <family val="2"/>
          </rPr>
          <t xml:space="preserve">
No buyback data available till 2001
</t>
        </r>
      </text>
    </comment>
    <comment ref="H25" authorId="0" shapeId="0" xr:uid="{AF220394-B4B9-4BC8-96AD-6B3846A99C47}">
      <text>
        <r>
          <rPr>
            <b/>
            <sz val="9"/>
            <color indexed="81"/>
            <rFont val="Tahoma"/>
            <family val="2"/>
          </rPr>
          <t>Jay prakash:</t>
        </r>
        <r>
          <rPr>
            <sz val="9"/>
            <color indexed="81"/>
            <rFont val="Tahoma"/>
            <family val="2"/>
          </rPr>
          <t xml:space="preserve">
No buyback data available till 2001
</t>
        </r>
      </text>
    </comment>
    <comment ref="I25" authorId="0" shapeId="0" xr:uid="{5E6F3D6D-E6DB-4A04-BCA1-A76D95321269}">
      <text>
        <r>
          <rPr>
            <b/>
            <sz val="9"/>
            <color indexed="81"/>
            <rFont val="Tahoma"/>
            <family val="2"/>
          </rPr>
          <t>Jay prakash:</t>
        </r>
        <r>
          <rPr>
            <sz val="9"/>
            <color indexed="81"/>
            <rFont val="Tahoma"/>
            <family val="2"/>
          </rPr>
          <t xml:space="preserve">
No buyback data available till 2001
</t>
        </r>
      </text>
    </comment>
    <comment ref="J25" authorId="0" shapeId="0" xr:uid="{FF0D2989-A251-42BE-B171-1CA85C7864EE}">
      <text>
        <r>
          <rPr>
            <b/>
            <sz val="9"/>
            <color indexed="81"/>
            <rFont val="Tahoma"/>
            <family val="2"/>
          </rPr>
          <t>Jay prakash:</t>
        </r>
        <r>
          <rPr>
            <sz val="9"/>
            <color indexed="81"/>
            <rFont val="Tahoma"/>
            <family val="2"/>
          </rPr>
          <t xml:space="preserve">
No buyback data available till 2001
</t>
        </r>
      </text>
    </comment>
    <comment ref="H26" authorId="0" shapeId="0" xr:uid="{F7D27B19-2DB2-436D-80BC-4F00CFDA7DF0}">
      <text>
        <r>
          <rPr>
            <b/>
            <sz val="9"/>
            <color indexed="81"/>
            <rFont val="Tahoma"/>
            <family val="2"/>
          </rPr>
          <t>Jay prakash:</t>
        </r>
        <r>
          <rPr>
            <sz val="9"/>
            <color indexed="81"/>
            <rFont val="Tahoma"/>
            <family val="2"/>
          </rPr>
          <t xml:space="preserve">
No buyback data available till 2001
</t>
        </r>
      </text>
    </comment>
    <comment ref="I26" authorId="0" shapeId="0" xr:uid="{5A86F857-DECB-4E7D-91D4-C82301D20F2C}">
      <text>
        <r>
          <rPr>
            <b/>
            <sz val="9"/>
            <color indexed="81"/>
            <rFont val="Tahoma"/>
            <family val="2"/>
          </rPr>
          <t>Jay prakash:</t>
        </r>
        <r>
          <rPr>
            <sz val="9"/>
            <color indexed="81"/>
            <rFont val="Tahoma"/>
            <family val="2"/>
          </rPr>
          <t xml:space="preserve">
No buyback data available till 2001
</t>
        </r>
      </text>
    </comment>
    <comment ref="J26" authorId="0" shapeId="0" xr:uid="{FE181DDC-195C-4908-A95B-67753F12CE29}">
      <text>
        <r>
          <rPr>
            <b/>
            <sz val="9"/>
            <color indexed="81"/>
            <rFont val="Tahoma"/>
            <family val="2"/>
          </rPr>
          <t>Jay prakash:</t>
        </r>
        <r>
          <rPr>
            <sz val="9"/>
            <color indexed="81"/>
            <rFont val="Tahoma"/>
            <family val="2"/>
          </rPr>
          <t xml:space="preserve">
No buyback data available till 2001
</t>
        </r>
      </text>
    </comment>
    <comment ref="H27" authorId="0" shapeId="0" xr:uid="{9AD77023-5F3C-4BD2-91D9-BB80931A36A7}">
      <text>
        <r>
          <rPr>
            <b/>
            <sz val="9"/>
            <color indexed="81"/>
            <rFont val="Tahoma"/>
            <family val="2"/>
          </rPr>
          <t>Jay prakash:</t>
        </r>
        <r>
          <rPr>
            <sz val="9"/>
            <color indexed="81"/>
            <rFont val="Tahoma"/>
            <family val="2"/>
          </rPr>
          <t xml:space="preserve">
No buyback data available till 2001
</t>
        </r>
      </text>
    </comment>
    <comment ref="I27" authorId="0" shapeId="0" xr:uid="{61D7DF0C-ABED-4524-8729-B20D486E3CDC}">
      <text>
        <r>
          <rPr>
            <b/>
            <sz val="9"/>
            <color indexed="81"/>
            <rFont val="Tahoma"/>
            <family val="2"/>
          </rPr>
          <t>Jay prakash:</t>
        </r>
        <r>
          <rPr>
            <sz val="9"/>
            <color indexed="81"/>
            <rFont val="Tahoma"/>
            <family val="2"/>
          </rPr>
          <t xml:space="preserve">
No buyback data available till 2001
</t>
        </r>
      </text>
    </comment>
    <comment ref="J27" authorId="0" shapeId="0" xr:uid="{AC6D64A6-1813-475F-88A5-B5E490FEC021}">
      <text>
        <r>
          <rPr>
            <b/>
            <sz val="9"/>
            <color indexed="81"/>
            <rFont val="Tahoma"/>
            <family val="2"/>
          </rPr>
          <t>Jay prakash:</t>
        </r>
        <r>
          <rPr>
            <sz val="9"/>
            <color indexed="81"/>
            <rFont val="Tahoma"/>
            <family val="2"/>
          </rPr>
          <t xml:space="preserve">
No buyback data available till 2001
</t>
        </r>
      </text>
    </comment>
    <comment ref="H28" authorId="0" shapeId="0" xr:uid="{C8052817-8EAC-4DA4-97FE-951DDF9C59B5}">
      <text>
        <r>
          <rPr>
            <b/>
            <sz val="9"/>
            <color indexed="81"/>
            <rFont val="Tahoma"/>
            <family val="2"/>
          </rPr>
          <t>Jay prakash:</t>
        </r>
        <r>
          <rPr>
            <sz val="9"/>
            <color indexed="81"/>
            <rFont val="Tahoma"/>
            <family val="2"/>
          </rPr>
          <t xml:space="preserve">
No buyback data available till 2001
</t>
        </r>
      </text>
    </comment>
    <comment ref="I28" authorId="0" shapeId="0" xr:uid="{54EEFB3B-CBF0-451D-8B27-D73BA8DACC9A}">
      <text>
        <r>
          <rPr>
            <b/>
            <sz val="9"/>
            <color indexed="81"/>
            <rFont val="Tahoma"/>
            <family val="2"/>
          </rPr>
          <t>Jay prakash:</t>
        </r>
        <r>
          <rPr>
            <sz val="9"/>
            <color indexed="81"/>
            <rFont val="Tahoma"/>
            <family val="2"/>
          </rPr>
          <t xml:space="preserve">
No buyback data available till 2001
</t>
        </r>
      </text>
    </comment>
    <comment ref="J28" authorId="0" shapeId="0" xr:uid="{A9C96A7F-2B58-4BB0-9CBE-219077AC03FA}">
      <text>
        <r>
          <rPr>
            <b/>
            <sz val="9"/>
            <color indexed="81"/>
            <rFont val="Tahoma"/>
            <family val="2"/>
          </rPr>
          <t>Jay prakash:</t>
        </r>
        <r>
          <rPr>
            <sz val="9"/>
            <color indexed="81"/>
            <rFont val="Tahoma"/>
            <family val="2"/>
          </rPr>
          <t xml:space="preserve">
No buyback data available till 2001
</t>
        </r>
      </text>
    </comment>
    <comment ref="H29" authorId="0" shapeId="0" xr:uid="{930186F9-35A9-4903-89F6-971160DF79A0}">
      <text>
        <r>
          <rPr>
            <b/>
            <sz val="9"/>
            <color indexed="81"/>
            <rFont val="Tahoma"/>
            <family val="2"/>
          </rPr>
          <t>Jay prakash:</t>
        </r>
        <r>
          <rPr>
            <sz val="9"/>
            <color indexed="81"/>
            <rFont val="Tahoma"/>
            <family val="2"/>
          </rPr>
          <t xml:space="preserve">
No buyback data available till 2001
</t>
        </r>
      </text>
    </comment>
    <comment ref="I29" authorId="0" shapeId="0" xr:uid="{5B47F0B2-822C-41F9-9CB8-9E4D9823A73D}">
      <text>
        <r>
          <rPr>
            <b/>
            <sz val="9"/>
            <color indexed="81"/>
            <rFont val="Tahoma"/>
            <family val="2"/>
          </rPr>
          <t>Jay prakash:</t>
        </r>
        <r>
          <rPr>
            <sz val="9"/>
            <color indexed="81"/>
            <rFont val="Tahoma"/>
            <family val="2"/>
          </rPr>
          <t xml:space="preserve">
No buyback data available till 2001
</t>
        </r>
      </text>
    </comment>
    <comment ref="J29" authorId="0" shapeId="0" xr:uid="{A85C1FF1-F792-4FEC-8452-460B0D1FEAC3}">
      <text>
        <r>
          <rPr>
            <b/>
            <sz val="9"/>
            <color indexed="81"/>
            <rFont val="Tahoma"/>
            <family val="2"/>
          </rPr>
          <t>Jay prakash:</t>
        </r>
        <r>
          <rPr>
            <sz val="9"/>
            <color indexed="81"/>
            <rFont val="Tahoma"/>
            <family val="2"/>
          </rPr>
          <t xml:space="preserve">
No buyback data available till 2001
</t>
        </r>
      </text>
    </comment>
    <comment ref="H30" authorId="0" shapeId="0" xr:uid="{5C0DD820-0ABD-42C9-8B31-B064575B605C}">
      <text>
        <r>
          <rPr>
            <b/>
            <sz val="9"/>
            <color indexed="81"/>
            <rFont val="Tahoma"/>
            <family val="2"/>
          </rPr>
          <t>Jay prakash:</t>
        </r>
        <r>
          <rPr>
            <sz val="9"/>
            <color indexed="81"/>
            <rFont val="Tahoma"/>
            <family val="2"/>
          </rPr>
          <t xml:space="preserve">
No buyback data available till 2001
</t>
        </r>
      </text>
    </comment>
    <comment ref="I30" authorId="0" shapeId="0" xr:uid="{C86025B4-C721-4C23-BC06-66D1861A621C}">
      <text>
        <r>
          <rPr>
            <b/>
            <sz val="9"/>
            <color indexed="81"/>
            <rFont val="Tahoma"/>
            <family val="2"/>
          </rPr>
          <t>Jay prakash:</t>
        </r>
        <r>
          <rPr>
            <sz val="9"/>
            <color indexed="81"/>
            <rFont val="Tahoma"/>
            <family val="2"/>
          </rPr>
          <t xml:space="preserve">
No buyback data available till 2001
</t>
        </r>
      </text>
    </comment>
    <comment ref="J30" authorId="0" shapeId="0" xr:uid="{584EF81F-37E0-410C-847E-2FAABB833CE1}">
      <text>
        <r>
          <rPr>
            <b/>
            <sz val="9"/>
            <color indexed="81"/>
            <rFont val="Tahoma"/>
            <family val="2"/>
          </rPr>
          <t>Jay prakash:</t>
        </r>
        <r>
          <rPr>
            <sz val="9"/>
            <color indexed="81"/>
            <rFont val="Tahoma"/>
            <family val="2"/>
          </rPr>
          <t xml:space="preserve">
No buyback data available till 2001
</t>
        </r>
      </text>
    </comment>
    <comment ref="H31" authorId="0" shapeId="0" xr:uid="{92225994-A3CD-47A6-9B1C-42D6EF8CF2F1}">
      <text>
        <r>
          <rPr>
            <b/>
            <sz val="9"/>
            <color indexed="81"/>
            <rFont val="Tahoma"/>
            <family val="2"/>
          </rPr>
          <t>Jay prakash:</t>
        </r>
        <r>
          <rPr>
            <sz val="9"/>
            <color indexed="81"/>
            <rFont val="Tahoma"/>
            <family val="2"/>
          </rPr>
          <t xml:space="preserve">
No buyback data available till 2001
</t>
        </r>
      </text>
    </comment>
    <comment ref="I31" authorId="0" shapeId="0" xr:uid="{C584C7F7-1824-4A29-B0A9-B1B3778967E0}">
      <text>
        <r>
          <rPr>
            <b/>
            <sz val="9"/>
            <color indexed="81"/>
            <rFont val="Tahoma"/>
            <family val="2"/>
          </rPr>
          <t>Jay prakash:</t>
        </r>
        <r>
          <rPr>
            <sz val="9"/>
            <color indexed="81"/>
            <rFont val="Tahoma"/>
            <family val="2"/>
          </rPr>
          <t xml:space="preserve">
No buyback data available till 2001
</t>
        </r>
      </text>
    </comment>
    <comment ref="J31" authorId="0" shapeId="0" xr:uid="{5E981252-C838-4F7D-BA6D-CE42C60F660A}">
      <text>
        <r>
          <rPr>
            <b/>
            <sz val="9"/>
            <color indexed="81"/>
            <rFont val="Tahoma"/>
            <family val="2"/>
          </rPr>
          <t>Jay prakash:</t>
        </r>
        <r>
          <rPr>
            <sz val="9"/>
            <color indexed="81"/>
            <rFont val="Tahoma"/>
            <family val="2"/>
          </rPr>
          <t xml:space="preserve">
No buyback data available till 2001
</t>
        </r>
      </text>
    </comment>
    <comment ref="H32" authorId="0" shapeId="0" xr:uid="{91F6E1AD-8958-4B02-BA59-13DAFBDBE5F2}">
      <text>
        <r>
          <rPr>
            <b/>
            <sz val="9"/>
            <color indexed="81"/>
            <rFont val="Tahoma"/>
            <family val="2"/>
          </rPr>
          <t>Jay prakash:</t>
        </r>
        <r>
          <rPr>
            <sz val="9"/>
            <color indexed="81"/>
            <rFont val="Tahoma"/>
            <family val="2"/>
          </rPr>
          <t xml:space="preserve">
No buyback data available till 2001
</t>
        </r>
      </text>
    </comment>
    <comment ref="I32" authorId="0" shapeId="0" xr:uid="{4BB6CC76-9A1E-4415-B334-23197975C0C9}">
      <text>
        <r>
          <rPr>
            <b/>
            <sz val="9"/>
            <color indexed="81"/>
            <rFont val="Tahoma"/>
            <family val="2"/>
          </rPr>
          <t>Jay prakash:</t>
        </r>
        <r>
          <rPr>
            <sz val="9"/>
            <color indexed="81"/>
            <rFont val="Tahoma"/>
            <family val="2"/>
          </rPr>
          <t xml:space="preserve">
No buyback data available till 2001
</t>
        </r>
      </text>
    </comment>
    <comment ref="J32" authorId="0" shapeId="0" xr:uid="{94374C73-63F3-471F-81B6-5EB5210FFB35}">
      <text>
        <r>
          <rPr>
            <b/>
            <sz val="9"/>
            <color indexed="81"/>
            <rFont val="Tahoma"/>
            <family val="2"/>
          </rPr>
          <t>Jay prakash:</t>
        </r>
        <r>
          <rPr>
            <sz val="9"/>
            <color indexed="81"/>
            <rFont val="Tahoma"/>
            <family val="2"/>
          </rPr>
          <t xml:space="preserve">
No buyback data available till 2001
</t>
        </r>
      </text>
    </comment>
    <comment ref="H33" authorId="0" shapeId="0" xr:uid="{909DB7E7-8A31-40A4-946B-942C964E46E1}">
      <text>
        <r>
          <rPr>
            <b/>
            <sz val="9"/>
            <color indexed="81"/>
            <rFont val="Tahoma"/>
            <family val="2"/>
          </rPr>
          <t>Jay prakash:</t>
        </r>
        <r>
          <rPr>
            <sz val="9"/>
            <color indexed="81"/>
            <rFont val="Tahoma"/>
            <family val="2"/>
          </rPr>
          <t xml:space="preserve">
No buyback data available till 2001
</t>
        </r>
      </text>
    </comment>
    <comment ref="I33" authorId="0" shapeId="0" xr:uid="{032C6F5A-4BE9-42D3-B0C5-E7F2E52A4986}">
      <text>
        <r>
          <rPr>
            <b/>
            <sz val="9"/>
            <color indexed="81"/>
            <rFont val="Tahoma"/>
            <family val="2"/>
          </rPr>
          <t>Jay prakash:</t>
        </r>
        <r>
          <rPr>
            <sz val="9"/>
            <color indexed="81"/>
            <rFont val="Tahoma"/>
            <family val="2"/>
          </rPr>
          <t xml:space="preserve">
No buyback data available till 2001
</t>
        </r>
      </text>
    </comment>
    <comment ref="J33" authorId="0" shapeId="0" xr:uid="{F873955F-A993-4DFA-9ABD-68A04497205D}">
      <text>
        <r>
          <rPr>
            <b/>
            <sz val="9"/>
            <color indexed="81"/>
            <rFont val="Tahoma"/>
            <family val="2"/>
          </rPr>
          <t>Jay prakash:</t>
        </r>
        <r>
          <rPr>
            <sz val="9"/>
            <color indexed="81"/>
            <rFont val="Tahoma"/>
            <family val="2"/>
          </rPr>
          <t xml:space="preserve">
No buyback data available till 2001
</t>
        </r>
      </text>
    </comment>
    <comment ref="H34" authorId="0" shapeId="0" xr:uid="{39AC556E-5EA8-4657-97B2-CDD594485C5C}">
      <text>
        <r>
          <rPr>
            <b/>
            <sz val="9"/>
            <color indexed="81"/>
            <rFont val="Tahoma"/>
            <family val="2"/>
          </rPr>
          <t>Jay prakash:</t>
        </r>
        <r>
          <rPr>
            <sz val="9"/>
            <color indexed="81"/>
            <rFont val="Tahoma"/>
            <family val="2"/>
          </rPr>
          <t xml:space="preserve">
No buyback data available till 2001
</t>
        </r>
      </text>
    </comment>
    <comment ref="I34" authorId="0" shapeId="0" xr:uid="{32F0CEDC-CCFF-42A7-958C-433265D9F03F}">
      <text>
        <r>
          <rPr>
            <b/>
            <sz val="9"/>
            <color indexed="81"/>
            <rFont val="Tahoma"/>
            <family val="2"/>
          </rPr>
          <t>Jay prakash:</t>
        </r>
        <r>
          <rPr>
            <sz val="9"/>
            <color indexed="81"/>
            <rFont val="Tahoma"/>
            <family val="2"/>
          </rPr>
          <t xml:space="preserve">
No buyback data available till 2001
</t>
        </r>
      </text>
    </comment>
    <comment ref="J34" authorId="0" shapeId="0" xr:uid="{858E538A-8624-4A60-AC80-36692F46FAC0}">
      <text>
        <r>
          <rPr>
            <b/>
            <sz val="9"/>
            <color indexed="81"/>
            <rFont val="Tahoma"/>
            <family val="2"/>
          </rPr>
          <t>Jay prakash:</t>
        </r>
        <r>
          <rPr>
            <sz val="9"/>
            <color indexed="81"/>
            <rFont val="Tahoma"/>
            <family val="2"/>
          </rPr>
          <t xml:space="preserve">
No buyback data available till 2001
</t>
        </r>
      </text>
    </comment>
    <comment ref="H35" authorId="0" shapeId="0" xr:uid="{2261908A-46D6-4705-9905-3DE57B871FB2}">
      <text>
        <r>
          <rPr>
            <b/>
            <sz val="9"/>
            <color indexed="81"/>
            <rFont val="Tahoma"/>
            <family val="2"/>
          </rPr>
          <t>Jay prakash:</t>
        </r>
        <r>
          <rPr>
            <sz val="9"/>
            <color indexed="81"/>
            <rFont val="Tahoma"/>
            <family val="2"/>
          </rPr>
          <t xml:space="preserve">
No buyback data available till 2001
</t>
        </r>
      </text>
    </comment>
    <comment ref="I35" authorId="0" shapeId="0" xr:uid="{738B74A6-2D7D-47D9-A945-CC52C6D5831A}">
      <text>
        <r>
          <rPr>
            <b/>
            <sz val="9"/>
            <color indexed="81"/>
            <rFont val="Tahoma"/>
            <family val="2"/>
          </rPr>
          <t>Jay prakash:</t>
        </r>
        <r>
          <rPr>
            <sz val="9"/>
            <color indexed="81"/>
            <rFont val="Tahoma"/>
            <family val="2"/>
          </rPr>
          <t xml:space="preserve">
No buyback data available till 2001
</t>
        </r>
      </text>
    </comment>
    <comment ref="J35" authorId="0" shapeId="0" xr:uid="{9E3B031C-3AE8-4309-B91A-4239C216EE17}">
      <text>
        <r>
          <rPr>
            <b/>
            <sz val="9"/>
            <color indexed="81"/>
            <rFont val="Tahoma"/>
            <family val="2"/>
          </rPr>
          <t>Jay prakash:</t>
        </r>
        <r>
          <rPr>
            <sz val="9"/>
            <color indexed="81"/>
            <rFont val="Tahoma"/>
            <family val="2"/>
          </rPr>
          <t xml:space="preserve">
No buyback data available till 2001
</t>
        </r>
      </text>
    </comment>
    <comment ref="H36" authorId="0" shapeId="0" xr:uid="{35745605-B3EF-433E-9927-B6865824FEC6}">
      <text>
        <r>
          <rPr>
            <b/>
            <sz val="9"/>
            <color indexed="81"/>
            <rFont val="Tahoma"/>
            <family val="2"/>
          </rPr>
          <t>Jay prakash:</t>
        </r>
        <r>
          <rPr>
            <sz val="9"/>
            <color indexed="81"/>
            <rFont val="Tahoma"/>
            <family val="2"/>
          </rPr>
          <t xml:space="preserve">
No buyback data available till 2001
</t>
        </r>
      </text>
    </comment>
    <comment ref="I36" authorId="0" shapeId="0" xr:uid="{9EED3007-4B54-4E03-9345-8A1A2CAC968F}">
      <text>
        <r>
          <rPr>
            <b/>
            <sz val="9"/>
            <color indexed="81"/>
            <rFont val="Tahoma"/>
            <family val="2"/>
          </rPr>
          <t>Jay prakash:</t>
        </r>
        <r>
          <rPr>
            <sz val="9"/>
            <color indexed="81"/>
            <rFont val="Tahoma"/>
            <family val="2"/>
          </rPr>
          <t xml:space="preserve">
No buyback data available till 2001
</t>
        </r>
      </text>
    </comment>
    <comment ref="J36" authorId="0" shapeId="0" xr:uid="{F1BCC5A8-03E0-4984-B6E4-38BD43BC7E9C}">
      <text>
        <r>
          <rPr>
            <b/>
            <sz val="9"/>
            <color indexed="81"/>
            <rFont val="Tahoma"/>
            <family val="2"/>
          </rPr>
          <t>Jay prakash:</t>
        </r>
        <r>
          <rPr>
            <sz val="9"/>
            <color indexed="81"/>
            <rFont val="Tahoma"/>
            <family val="2"/>
          </rPr>
          <t xml:space="preserve">
No buyback data available till 2001
</t>
        </r>
      </text>
    </comment>
    <comment ref="H37" authorId="0" shapeId="0" xr:uid="{3303779E-9EE6-46A0-9E6C-BCC4DE21C8CB}">
      <text>
        <r>
          <rPr>
            <b/>
            <sz val="9"/>
            <color indexed="81"/>
            <rFont val="Tahoma"/>
            <family val="2"/>
          </rPr>
          <t>Jay prakash:</t>
        </r>
        <r>
          <rPr>
            <sz val="9"/>
            <color indexed="81"/>
            <rFont val="Tahoma"/>
            <family val="2"/>
          </rPr>
          <t xml:space="preserve">
No buyback data available till 2001
</t>
        </r>
      </text>
    </comment>
    <comment ref="I37" authorId="0" shapeId="0" xr:uid="{EC13C6F8-B527-4723-AE50-F5C529FD165A}">
      <text>
        <r>
          <rPr>
            <b/>
            <sz val="9"/>
            <color indexed="81"/>
            <rFont val="Tahoma"/>
            <family val="2"/>
          </rPr>
          <t>Jay prakash:</t>
        </r>
        <r>
          <rPr>
            <sz val="9"/>
            <color indexed="81"/>
            <rFont val="Tahoma"/>
            <family val="2"/>
          </rPr>
          <t xml:space="preserve">
No buyback data available till 2001
</t>
        </r>
      </text>
    </comment>
    <comment ref="J37" authorId="0" shapeId="0" xr:uid="{C821125E-825A-48AF-BD0F-F36287E51965}">
      <text>
        <r>
          <rPr>
            <b/>
            <sz val="9"/>
            <color indexed="81"/>
            <rFont val="Tahoma"/>
            <family val="2"/>
          </rPr>
          <t>Jay prakash:</t>
        </r>
        <r>
          <rPr>
            <sz val="9"/>
            <color indexed="81"/>
            <rFont val="Tahoma"/>
            <family val="2"/>
          </rPr>
          <t xml:space="preserve">
No buyback data available till 2001
</t>
        </r>
      </text>
    </comment>
    <comment ref="H38" authorId="0" shapeId="0" xr:uid="{FAC3DFA3-81C1-4748-A9DD-BAEECE6B5204}">
      <text>
        <r>
          <rPr>
            <b/>
            <sz val="9"/>
            <color indexed="81"/>
            <rFont val="Tahoma"/>
            <family val="2"/>
          </rPr>
          <t>Jay prakash:</t>
        </r>
        <r>
          <rPr>
            <sz val="9"/>
            <color indexed="81"/>
            <rFont val="Tahoma"/>
            <family val="2"/>
          </rPr>
          <t xml:space="preserve">
No buyback data available till 2001
</t>
        </r>
      </text>
    </comment>
    <comment ref="I38" authorId="0" shapeId="0" xr:uid="{FA62F605-18DD-4678-8024-94CAB56DB679}">
      <text>
        <r>
          <rPr>
            <b/>
            <sz val="9"/>
            <color indexed="81"/>
            <rFont val="Tahoma"/>
            <family val="2"/>
          </rPr>
          <t>Jay prakash:</t>
        </r>
        <r>
          <rPr>
            <sz val="9"/>
            <color indexed="81"/>
            <rFont val="Tahoma"/>
            <family val="2"/>
          </rPr>
          <t xml:space="preserve">
No buyback data available till 2001
</t>
        </r>
      </text>
    </comment>
    <comment ref="J38" authorId="0" shapeId="0" xr:uid="{38FDDA1E-BDA3-4476-AD49-CC46023E70E4}">
      <text>
        <r>
          <rPr>
            <b/>
            <sz val="9"/>
            <color indexed="81"/>
            <rFont val="Tahoma"/>
            <family val="2"/>
          </rPr>
          <t>Jay prakash:</t>
        </r>
        <r>
          <rPr>
            <sz val="9"/>
            <color indexed="81"/>
            <rFont val="Tahoma"/>
            <family val="2"/>
          </rPr>
          <t xml:space="preserve">
No buyback data available till 2001
</t>
        </r>
      </text>
    </comment>
    <comment ref="H39" authorId="0" shapeId="0" xr:uid="{EB4BF404-E71B-4283-A136-4A8673B3D37A}">
      <text>
        <r>
          <rPr>
            <b/>
            <sz val="9"/>
            <color indexed="81"/>
            <rFont val="Tahoma"/>
            <family val="2"/>
          </rPr>
          <t>Jay prakash:</t>
        </r>
        <r>
          <rPr>
            <sz val="9"/>
            <color indexed="81"/>
            <rFont val="Tahoma"/>
            <family val="2"/>
          </rPr>
          <t xml:space="preserve">
No buyback data available till 2001
</t>
        </r>
      </text>
    </comment>
    <comment ref="I39" authorId="0" shapeId="0" xr:uid="{C44E3A8A-6652-4675-8396-6A7DCC770165}">
      <text>
        <r>
          <rPr>
            <b/>
            <sz val="9"/>
            <color indexed="81"/>
            <rFont val="Tahoma"/>
            <family val="2"/>
          </rPr>
          <t>Jay prakash:</t>
        </r>
        <r>
          <rPr>
            <sz val="9"/>
            <color indexed="81"/>
            <rFont val="Tahoma"/>
            <family val="2"/>
          </rPr>
          <t xml:space="preserve">
No buyback data available till 2001
</t>
        </r>
      </text>
    </comment>
    <comment ref="J39" authorId="0" shapeId="0" xr:uid="{0C66A873-A0F8-4F57-BEE6-73CBFBF7785D}">
      <text>
        <r>
          <rPr>
            <b/>
            <sz val="9"/>
            <color indexed="81"/>
            <rFont val="Tahoma"/>
            <family val="2"/>
          </rPr>
          <t>Jay prakash:</t>
        </r>
        <r>
          <rPr>
            <sz val="9"/>
            <color indexed="81"/>
            <rFont val="Tahoma"/>
            <family val="2"/>
          </rPr>
          <t xml:space="preserve">
No buyback data available till 2001
</t>
        </r>
      </text>
    </comment>
    <comment ref="H40" authorId="0" shapeId="0" xr:uid="{5A0ED361-16DF-41D4-8FC6-741A859258B6}">
      <text>
        <r>
          <rPr>
            <b/>
            <sz val="9"/>
            <color indexed="81"/>
            <rFont val="Tahoma"/>
            <family val="2"/>
          </rPr>
          <t>Jay prakash:</t>
        </r>
        <r>
          <rPr>
            <sz val="9"/>
            <color indexed="81"/>
            <rFont val="Tahoma"/>
            <family val="2"/>
          </rPr>
          <t xml:space="preserve">
No buyback data available till 2001
</t>
        </r>
      </text>
    </comment>
    <comment ref="I40" authorId="0" shapeId="0" xr:uid="{A608D88A-3B67-42D8-9631-F9702F7DDF5C}">
      <text>
        <r>
          <rPr>
            <b/>
            <sz val="9"/>
            <color indexed="81"/>
            <rFont val="Tahoma"/>
            <family val="2"/>
          </rPr>
          <t>Jay prakash:</t>
        </r>
        <r>
          <rPr>
            <sz val="9"/>
            <color indexed="81"/>
            <rFont val="Tahoma"/>
            <family val="2"/>
          </rPr>
          <t xml:space="preserve">
No buyback data available till 2001
</t>
        </r>
      </text>
    </comment>
    <comment ref="J40" authorId="0" shapeId="0" xr:uid="{769208D2-AE9C-4FD3-8865-2CC4953ADE27}">
      <text>
        <r>
          <rPr>
            <b/>
            <sz val="9"/>
            <color indexed="81"/>
            <rFont val="Tahoma"/>
            <family val="2"/>
          </rPr>
          <t>Jay prakash:</t>
        </r>
        <r>
          <rPr>
            <sz val="9"/>
            <color indexed="81"/>
            <rFont val="Tahoma"/>
            <family val="2"/>
          </rPr>
          <t xml:space="preserve">
No buyback data available till 2001
</t>
        </r>
      </text>
    </comment>
    <comment ref="H41" authorId="0" shapeId="0" xr:uid="{4FE789F3-F871-4837-890B-FEA08B3A31A5}">
      <text>
        <r>
          <rPr>
            <b/>
            <sz val="9"/>
            <color indexed="81"/>
            <rFont val="Tahoma"/>
            <family val="2"/>
          </rPr>
          <t>Jay prakash:</t>
        </r>
        <r>
          <rPr>
            <sz val="9"/>
            <color indexed="81"/>
            <rFont val="Tahoma"/>
            <family val="2"/>
          </rPr>
          <t xml:space="preserve">
No buyback data available till 2001
</t>
        </r>
      </text>
    </comment>
    <comment ref="I41" authorId="0" shapeId="0" xr:uid="{CB9FA55C-0327-4690-943C-AA447B014DD6}">
      <text>
        <r>
          <rPr>
            <b/>
            <sz val="9"/>
            <color indexed="81"/>
            <rFont val="Tahoma"/>
            <family val="2"/>
          </rPr>
          <t>Jay prakash:</t>
        </r>
        <r>
          <rPr>
            <sz val="9"/>
            <color indexed="81"/>
            <rFont val="Tahoma"/>
            <family val="2"/>
          </rPr>
          <t xml:space="preserve">
No buyback data available till 2001
</t>
        </r>
      </text>
    </comment>
    <comment ref="J41" authorId="0" shapeId="0" xr:uid="{F9A014B0-2F99-422D-A71A-DF9FA32EE4CD}">
      <text>
        <r>
          <rPr>
            <b/>
            <sz val="9"/>
            <color indexed="81"/>
            <rFont val="Tahoma"/>
            <family val="2"/>
          </rPr>
          <t>Jay prakash:</t>
        </r>
        <r>
          <rPr>
            <sz val="9"/>
            <color indexed="81"/>
            <rFont val="Tahoma"/>
            <family val="2"/>
          </rPr>
          <t xml:space="preserve">
No buyback data available till 2001
</t>
        </r>
      </text>
    </comment>
    <comment ref="H42" authorId="0" shapeId="0" xr:uid="{27A51568-2253-447E-8A1B-D78CA7F7CE08}">
      <text>
        <r>
          <rPr>
            <b/>
            <sz val="9"/>
            <color indexed="81"/>
            <rFont val="Tahoma"/>
            <family val="2"/>
          </rPr>
          <t>Jay prakash:</t>
        </r>
        <r>
          <rPr>
            <sz val="9"/>
            <color indexed="81"/>
            <rFont val="Tahoma"/>
            <family val="2"/>
          </rPr>
          <t xml:space="preserve">
No buyback data available till 2001
</t>
        </r>
      </text>
    </comment>
    <comment ref="I42" authorId="0" shapeId="0" xr:uid="{1031782F-EE60-4814-AA59-12270E26FEBA}">
      <text>
        <r>
          <rPr>
            <b/>
            <sz val="9"/>
            <color indexed="81"/>
            <rFont val="Tahoma"/>
            <family val="2"/>
          </rPr>
          <t>Jay prakash:</t>
        </r>
        <r>
          <rPr>
            <sz val="9"/>
            <color indexed="81"/>
            <rFont val="Tahoma"/>
            <family val="2"/>
          </rPr>
          <t xml:space="preserve">
No buyback data available till 2001
</t>
        </r>
      </text>
    </comment>
    <comment ref="J42" authorId="0" shapeId="0" xr:uid="{60CBFC27-7193-4DF5-8779-F0EB835BD45C}">
      <text>
        <r>
          <rPr>
            <b/>
            <sz val="9"/>
            <color indexed="81"/>
            <rFont val="Tahoma"/>
            <family val="2"/>
          </rPr>
          <t>Jay prakash:</t>
        </r>
        <r>
          <rPr>
            <sz val="9"/>
            <color indexed="81"/>
            <rFont val="Tahoma"/>
            <family val="2"/>
          </rPr>
          <t xml:space="preserve">
No buyback data available till 2001
</t>
        </r>
      </text>
    </comment>
    <comment ref="H43" authorId="0" shapeId="0" xr:uid="{E712F991-C7F9-4C01-9225-96C35F3AB680}">
      <text>
        <r>
          <rPr>
            <b/>
            <sz val="9"/>
            <color indexed="81"/>
            <rFont val="Tahoma"/>
            <family val="2"/>
          </rPr>
          <t>Jay prakash:</t>
        </r>
        <r>
          <rPr>
            <sz val="9"/>
            <color indexed="81"/>
            <rFont val="Tahoma"/>
            <family val="2"/>
          </rPr>
          <t xml:space="preserve">
No buyback data available till 2001
</t>
        </r>
      </text>
    </comment>
    <comment ref="I43" authorId="0" shapeId="0" xr:uid="{EEBE223E-4B37-4AA6-802C-3A2DAAD32962}">
      <text>
        <r>
          <rPr>
            <b/>
            <sz val="9"/>
            <color indexed="81"/>
            <rFont val="Tahoma"/>
            <family val="2"/>
          </rPr>
          <t>Jay prakash:</t>
        </r>
        <r>
          <rPr>
            <sz val="9"/>
            <color indexed="81"/>
            <rFont val="Tahoma"/>
            <family val="2"/>
          </rPr>
          <t xml:space="preserve">
No buyback data available till 2001
</t>
        </r>
      </text>
    </comment>
    <comment ref="J43" authorId="0" shapeId="0" xr:uid="{AB4439A4-20B5-44A2-8D09-9DB95A1ACC8A}">
      <text>
        <r>
          <rPr>
            <b/>
            <sz val="9"/>
            <color indexed="81"/>
            <rFont val="Tahoma"/>
            <family val="2"/>
          </rPr>
          <t>Jay prakash:</t>
        </r>
        <r>
          <rPr>
            <sz val="9"/>
            <color indexed="81"/>
            <rFont val="Tahoma"/>
            <family val="2"/>
          </rPr>
          <t xml:space="preserve">
No buyback data available till 2001
</t>
        </r>
      </text>
    </comment>
  </commentList>
</comments>
</file>

<file path=xl/sharedStrings.xml><?xml version="1.0" encoding="utf-8"?>
<sst xmlns="http://schemas.openxmlformats.org/spreadsheetml/2006/main" count="358" uniqueCount="137">
  <si>
    <t>Year</t>
  </si>
  <si>
    <t>Earnings Yield</t>
  </si>
  <si>
    <t>Dividend Yield</t>
  </si>
  <si>
    <t>S&amp;P 500</t>
  </si>
  <si>
    <t>EPS</t>
  </si>
  <si>
    <t>Dividend Amount</t>
  </si>
  <si>
    <t>EPS 3 YR CAGR</t>
  </si>
  <si>
    <t>EPS 5 YR CAGR</t>
  </si>
  <si>
    <t>EPS 7 YR CAGR</t>
  </si>
  <si>
    <t>EPS 10 YR CAGR</t>
  </si>
  <si>
    <t>-</t>
  </si>
  <si>
    <t>Average EPS CAGR-</t>
  </si>
  <si>
    <t>3YRS</t>
  </si>
  <si>
    <t>5YRS</t>
  </si>
  <si>
    <t>7YRS</t>
  </si>
  <si>
    <t>10YRS</t>
  </si>
  <si>
    <t>Date</t>
  </si>
  <si>
    <t>Price</t>
  </si>
  <si>
    <t>Open</t>
  </si>
  <si>
    <t>High</t>
  </si>
  <si>
    <t>Low</t>
  </si>
  <si>
    <t>Yearly Average</t>
  </si>
  <si>
    <t>Change %</t>
  </si>
  <si>
    <t>Average Govt. Bond Rate-</t>
  </si>
  <si>
    <t>20 YRS Bond Rate</t>
  </si>
  <si>
    <t>15 YRS Bond Rate</t>
  </si>
  <si>
    <t>10YRS Bond Rate</t>
  </si>
  <si>
    <t>7 YRS Bond Rate</t>
  </si>
  <si>
    <t>5 YRS Bond Rate</t>
  </si>
  <si>
    <t>Latest Bond Rate</t>
  </si>
  <si>
    <t>Risk-Free Rate-</t>
  </si>
  <si>
    <t>Damodaran Lookup Table- Rating Based Default Spread</t>
  </si>
  <si>
    <t>S&amp;P</t>
  </si>
  <si>
    <t>Moody's</t>
  </si>
  <si>
    <t>Default Spread</t>
  </si>
  <si>
    <t>AAA</t>
  </si>
  <si>
    <t>Aaa</t>
  </si>
  <si>
    <t>AA+</t>
  </si>
  <si>
    <t>Aa1</t>
  </si>
  <si>
    <t>AA</t>
  </si>
  <si>
    <t>Aa2</t>
  </si>
  <si>
    <t>AA-</t>
  </si>
  <si>
    <t>Aa3</t>
  </si>
  <si>
    <t>A+</t>
  </si>
  <si>
    <t>A1</t>
  </si>
  <si>
    <t>A</t>
  </si>
  <si>
    <t>A2</t>
  </si>
  <si>
    <t>A-</t>
  </si>
  <si>
    <t>A3</t>
  </si>
  <si>
    <t>BBB+</t>
  </si>
  <si>
    <t>Baa1</t>
  </si>
  <si>
    <t>BBB</t>
  </si>
  <si>
    <t>Baa2</t>
  </si>
  <si>
    <t>BBB-</t>
  </si>
  <si>
    <t>Baa3</t>
  </si>
  <si>
    <t>BB+</t>
  </si>
  <si>
    <t>Ba1</t>
  </si>
  <si>
    <t>BB</t>
  </si>
  <si>
    <t>Ba2</t>
  </si>
  <si>
    <t>BB-</t>
  </si>
  <si>
    <t>Ba3</t>
  </si>
  <si>
    <t>B+</t>
  </si>
  <si>
    <t>B1</t>
  </si>
  <si>
    <t>B</t>
  </si>
  <si>
    <t>B2</t>
  </si>
  <si>
    <t>B-</t>
  </si>
  <si>
    <t>B3</t>
  </si>
  <si>
    <t>CCC+</t>
  </si>
  <si>
    <t>Caa1</t>
  </si>
  <si>
    <t>CCC</t>
  </si>
  <si>
    <t>Caa2</t>
  </si>
  <si>
    <t>CCC-</t>
  </si>
  <si>
    <t>Caa3</t>
  </si>
  <si>
    <t>CC</t>
  </si>
  <si>
    <t>Ca</t>
  </si>
  <si>
    <t>C</t>
  </si>
  <si>
    <t>D</t>
  </si>
  <si>
    <t>NR</t>
  </si>
  <si>
    <t>NA</t>
  </si>
  <si>
    <t>US Rating Based Default Spread-</t>
  </si>
  <si>
    <t>Historical Implied ERP of US</t>
  </si>
  <si>
    <t>Average Implied ERP-</t>
  </si>
  <si>
    <t>20 YRS</t>
  </si>
  <si>
    <t>15 YRS</t>
  </si>
  <si>
    <t>7 YRS</t>
  </si>
  <si>
    <t>5 YRS</t>
  </si>
  <si>
    <t>Latest</t>
  </si>
  <si>
    <t>Buyback Amount</t>
  </si>
  <si>
    <t>Dividend + Buybacks</t>
  </si>
  <si>
    <t>Buback Yield</t>
  </si>
  <si>
    <t>Total Earnings</t>
  </si>
  <si>
    <t>Dividends Yield</t>
  </si>
  <si>
    <t>S&amp;P500 Price</t>
  </si>
  <si>
    <t>Dividends Data</t>
  </si>
  <si>
    <t>Buybacks Data</t>
  </si>
  <si>
    <t>Buybacks Yield</t>
  </si>
  <si>
    <t>Buybacks Amount</t>
  </si>
  <si>
    <t>Total Earnings Data</t>
  </si>
  <si>
    <t>Total Earnings Yield</t>
  </si>
  <si>
    <t>Average S&amp;P500 Earnings Yield-</t>
  </si>
  <si>
    <t>S&amp;P 500 EPS Growth</t>
  </si>
  <si>
    <t>Monthly Historical US RFR</t>
  </si>
  <si>
    <t>Implied ERP</t>
  </si>
  <si>
    <t>Yearly Average ERP</t>
  </si>
  <si>
    <t>Valuing The</t>
  </si>
  <si>
    <t>Index</t>
  </si>
  <si>
    <t>Previous Close</t>
  </si>
  <si>
    <t>Ticker Symbol</t>
  </si>
  <si>
    <t>Intrinsic Value</t>
  </si>
  <si>
    <t>Key Inputs</t>
  </si>
  <si>
    <t>Assumptions</t>
  </si>
  <si>
    <t>Total Yield</t>
  </si>
  <si>
    <t>Expected Growth</t>
  </si>
  <si>
    <t>Risk-Free Rate</t>
  </si>
  <si>
    <t>Equity Risk Premium</t>
  </si>
  <si>
    <t>Cost of Equity</t>
  </si>
  <si>
    <t>Expected Dividends &amp;Buybacks</t>
  </si>
  <si>
    <t>Present Value of Expected Dividends &amp; Buybacks</t>
  </si>
  <si>
    <t>EPS Growth</t>
  </si>
  <si>
    <t>RFR</t>
  </si>
  <si>
    <t>ERP</t>
  </si>
  <si>
    <t>S&amp;P 500 INDEX</t>
  </si>
  <si>
    <t>SPX</t>
  </si>
  <si>
    <t>Source: NYU Stern website, by Prof. Aswath Damodarn</t>
  </si>
  <si>
    <t>Cost of Equity 2</t>
  </si>
  <si>
    <t>Years</t>
  </si>
  <si>
    <t>Cash Flows</t>
  </si>
  <si>
    <t>PV of cash flows</t>
  </si>
  <si>
    <t>Source: investing.com</t>
  </si>
  <si>
    <t>Implied ERP S&amp;P 500 INDEX</t>
  </si>
  <si>
    <t>&lt; Hardcode the existing Ke, as goalseek doesn’t run on formulas.</t>
  </si>
  <si>
    <t>Cost of Equity 1</t>
  </si>
  <si>
    <t>Discounting Period</t>
  </si>
  <si>
    <t>https://jay-finance.github.io/portfolio/</t>
  </si>
  <si>
    <t xml:space="preserve">Website: </t>
  </si>
  <si>
    <t xml:space="preserve">Model by: </t>
  </si>
  <si>
    <t>Jay Prakash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</si>
</sst>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yyyy"/>
    <numFmt numFmtId="167" formatCode="0.0000"/>
    <numFmt numFmtId="168" formatCode="mmm\ yyyy"/>
    <numFmt numFmtId="169" formatCode="&quot;₹&quot;\ #,##0.00"/>
    <numFmt numFmtId="170" formatCode="\20\2\3\&amp;&quot;-&quot;\&amp;&quot;ꝏ&quot;"/>
    <numFmt numFmtId="171" formatCode="0&quot; - ꝏ&quot;"/>
    <numFmt numFmtId="172" formatCode="\$\ #,##0.00"/>
  </numFmts>
  <fonts count="26" x14ac:knownFonts="1">
    <font>
      <sz val="11"/>
      <color theme="1"/>
      <name val="Calibri"/>
      <family val="2"/>
    </font>
    <font>
      <sz val="11"/>
      <color theme="1"/>
      <name val="Calibri"/>
      <family val="2"/>
    </font>
    <font>
      <b/>
      <sz val="11"/>
      <color theme="0"/>
      <name val="Calibri"/>
      <family val="2"/>
    </font>
    <font>
      <sz val="12"/>
      <color rgb="FF000000"/>
      <name val="Calibri"/>
      <family val="2"/>
    </font>
    <font>
      <sz val="12"/>
      <color rgb="FF3333FF"/>
      <name val="Calibri"/>
      <family val="2"/>
    </font>
    <font>
      <b/>
      <sz val="9"/>
      <color indexed="81"/>
      <name val="Tahoma"/>
      <family val="2"/>
    </font>
    <font>
      <sz val="9"/>
      <color indexed="81"/>
      <name val="Tahoma"/>
      <family val="2"/>
    </font>
    <font>
      <sz val="10"/>
      <color theme="1"/>
      <name val="Verdana"/>
      <family val="2"/>
    </font>
    <font>
      <b/>
      <sz val="11"/>
      <color theme="1"/>
      <name val="Calibri"/>
      <family val="2"/>
    </font>
    <font>
      <sz val="12"/>
      <color rgb="FF000000"/>
      <name val="Arial"/>
      <family val="2"/>
    </font>
    <font>
      <b/>
      <sz val="18"/>
      <color theme="0"/>
      <name val="Calibri"/>
      <family val="2"/>
    </font>
    <font>
      <b/>
      <sz val="13"/>
      <color theme="1"/>
      <name val="Calibri"/>
      <family val="2"/>
    </font>
    <font>
      <b/>
      <sz val="12"/>
      <color theme="1"/>
      <name val="Calibri"/>
      <family val="2"/>
    </font>
    <font>
      <sz val="11"/>
      <color rgb="FF3333FF"/>
      <name val="Calibri"/>
      <family val="2"/>
    </font>
    <font>
      <b/>
      <i/>
      <sz val="11"/>
      <color theme="1"/>
      <name val="Calibri"/>
      <family val="2"/>
    </font>
    <font>
      <sz val="11"/>
      <color theme="0" tint="-4.9989318521683403E-2"/>
      <name val="Calibri"/>
      <family val="2"/>
    </font>
    <font>
      <i/>
      <sz val="11"/>
      <color theme="1"/>
      <name val="Calibri"/>
      <family val="2"/>
    </font>
    <font>
      <sz val="11"/>
      <color rgb="FF009900"/>
      <name val="Calibri"/>
      <family val="2"/>
    </font>
    <font>
      <sz val="12"/>
      <color rgb="FF009900"/>
      <name val="Calibri"/>
      <family val="2"/>
    </font>
    <font>
      <b/>
      <sz val="11"/>
      <color rgb="FF3333FF"/>
      <name val="Calibri"/>
      <family val="2"/>
    </font>
    <font>
      <sz val="12"/>
      <name val="Calibri"/>
      <family val="2"/>
    </font>
    <font>
      <b/>
      <sz val="26"/>
      <color rgb="FFD6002A"/>
      <name val="Calibri"/>
      <family val="2"/>
    </font>
    <font>
      <sz val="11"/>
      <color theme="9" tint="-0.249977111117893"/>
      <name val="Calibri"/>
      <family val="2"/>
    </font>
    <font>
      <u/>
      <sz val="11"/>
      <color theme="10"/>
      <name val="Calibri"/>
      <family val="2"/>
    </font>
    <font>
      <b/>
      <i/>
      <u/>
      <sz val="11"/>
      <name val="Calibri"/>
      <family val="2"/>
    </font>
    <font>
      <b/>
      <i/>
      <sz val="12"/>
      <color theme="0"/>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D6002A"/>
        <bgColor indexed="64"/>
      </patternFill>
    </fill>
    <fill>
      <patternFill patternType="solid">
        <fgColor theme="7" tint="0.59999389629810485"/>
        <bgColor indexed="64"/>
      </patternFill>
    </fill>
    <fill>
      <patternFill patternType="solid">
        <fgColor rgb="FFFFD1DA"/>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auto="1"/>
      </right>
      <top style="thin">
        <color indexed="64"/>
      </top>
      <bottom style="thin">
        <color auto="1"/>
      </bottom>
      <diagonal/>
    </border>
  </borders>
  <cellStyleXfs count="3">
    <xf numFmtId="0" fontId="0" fillId="0" borderId="0"/>
    <xf numFmtId="9" fontId="1" fillId="0" borderId="0" applyFont="0" applyFill="0" applyBorder="0" applyAlignment="0" applyProtection="0"/>
    <xf numFmtId="0" fontId="23" fillId="0" borderId="0" applyNumberFormat="0" applyFill="0" applyBorder="0" applyAlignment="0" applyProtection="0"/>
  </cellStyleXfs>
  <cellXfs count="129">
    <xf numFmtId="0" fontId="0" fillId="0" borderId="0" xfId="0"/>
    <xf numFmtId="0" fontId="0" fillId="0" borderId="1" xfId="0" applyBorder="1" applyAlignment="1">
      <alignment horizontal="center"/>
    </xf>
    <xf numFmtId="10" fontId="0" fillId="0" borderId="0" xfId="0" applyNumberFormat="1"/>
    <xf numFmtId="2" fontId="0" fillId="0" borderId="0" xfId="0" applyNumberFormat="1"/>
    <xf numFmtId="10" fontId="4" fillId="0" borderId="1" xfId="0" applyNumberFormat="1" applyFont="1" applyBorder="1" applyAlignment="1">
      <alignment horizontal="center"/>
    </xf>
    <xf numFmtId="10" fontId="4" fillId="0" borderId="1" xfId="0" applyNumberFormat="1" applyFont="1" applyBorder="1" applyAlignment="1">
      <alignment horizontal="center" vertical="center"/>
    </xf>
    <xf numFmtId="10" fontId="4" fillId="0" borderId="2" xfId="0" applyNumberFormat="1"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3" fillId="0" borderId="0" xfId="0" applyFont="1" applyAlignment="1">
      <alignment horizontal="center"/>
    </xf>
    <xf numFmtId="0" fontId="3" fillId="0" borderId="0" xfId="0" applyFont="1" applyAlignment="1">
      <alignment horizontal="left"/>
    </xf>
    <xf numFmtId="0" fontId="0" fillId="0" borderId="0" xfId="0" applyAlignment="1">
      <alignment horizontal="right"/>
    </xf>
    <xf numFmtId="164" fontId="0" fillId="0" borderId="0" xfId="0" applyNumberFormat="1"/>
    <xf numFmtId="165" fontId="0" fillId="0" borderId="0" xfId="1" applyNumberFormat="1" applyFont="1"/>
    <xf numFmtId="10" fontId="0" fillId="0" borderId="0" xfId="1" applyNumberFormat="1" applyFont="1"/>
    <xf numFmtId="0" fontId="0" fillId="0" borderId="0" xfId="0" applyAlignment="1">
      <alignment horizontal="center"/>
    </xf>
    <xf numFmtId="10" fontId="0" fillId="2" borderId="0" xfId="1" applyNumberFormat="1" applyFont="1" applyFill="1"/>
    <xf numFmtId="0" fontId="2" fillId="0" borderId="0" xfId="0" applyFont="1" applyAlignment="1">
      <alignment horizontal="left"/>
    </xf>
    <xf numFmtId="10" fontId="0" fillId="0" borderId="0" xfId="1" applyNumberFormat="1" applyFont="1" applyFill="1"/>
    <xf numFmtId="10" fontId="0" fillId="3" borderId="0" xfId="1" applyNumberFormat="1" applyFont="1" applyFill="1"/>
    <xf numFmtId="10" fontId="0" fillId="3" borderId="0" xfId="0" applyNumberFormat="1" applyFill="1"/>
    <xf numFmtId="0" fontId="2" fillId="0" borderId="0" xfId="0" applyFont="1" applyAlignment="1">
      <alignment horizontal="right"/>
    </xf>
    <xf numFmtId="0" fontId="2" fillId="0" borderId="0" xfId="0" applyFont="1"/>
    <xf numFmtId="1" fontId="0" fillId="0" borderId="1" xfId="0" applyNumberFormat="1" applyBorder="1" applyAlignment="1">
      <alignment horizontal="center" vertical="center"/>
    </xf>
    <xf numFmtId="0" fontId="0" fillId="0" borderId="1" xfId="0" applyBorder="1" applyAlignment="1">
      <alignment horizontal="center" vertical="center"/>
    </xf>
    <xf numFmtId="10" fontId="4" fillId="0" borderId="2" xfId="0" applyNumberFormat="1" applyFont="1" applyBorder="1" applyAlignment="1">
      <alignment horizontal="center" vertical="center"/>
    </xf>
    <xf numFmtId="166" fontId="0" fillId="0" borderId="0" xfId="0" applyNumberFormat="1" applyAlignment="1">
      <alignment horizontal="center"/>
    </xf>
    <xf numFmtId="166" fontId="7" fillId="0" borderId="0" xfId="0" applyNumberFormat="1" applyFont="1" applyAlignment="1">
      <alignment horizontal="center"/>
    </xf>
    <xf numFmtId="15" fontId="0" fillId="0" borderId="0" xfId="0" applyNumberFormat="1"/>
    <xf numFmtId="15" fontId="7" fillId="0" borderId="0" xfId="0" applyNumberFormat="1" applyFont="1" applyAlignment="1">
      <alignment horizontal="center"/>
    </xf>
    <xf numFmtId="10" fontId="7" fillId="0" borderId="0" xfId="0" applyNumberFormat="1" applyFont="1" applyAlignment="1">
      <alignment horizontal="center"/>
    </xf>
    <xf numFmtId="10" fontId="0" fillId="0" borderId="0" xfId="0" applyNumberFormat="1" applyAlignment="1">
      <alignment horizontal="center"/>
    </xf>
    <xf numFmtId="0" fontId="0" fillId="0" borderId="0" xfId="0" applyAlignment="1">
      <alignment horizontal="left"/>
    </xf>
    <xf numFmtId="0" fontId="8" fillId="0" borderId="0" xfId="0" applyFont="1"/>
    <xf numFmtId="10" fontId="9" fillId="0" borderId="0" xfId="0" applyNumberFormat="1" applyFont="1" applyAlignment="1">
      <alignment horizontal="center" vertical="center"/>
    </xf>
    <xf numFmtId="0" fontId="9" fillId="0" borderId="0" xfId="0" applyFont="1" applyAlignment="1">
      <alignment horizontal="center"/>
    </xf>
    <xf numFmtId="10" fontId="9" fillId="0" borderId="0" xfId="0" applyNumberFormat="1" applyFont="1" applyAlignment="1">
      <alignment horizontal="center"/>
    </xf>
    <xf numFmtId="2" fontId="4" fillId="0" borderId="1" xfId="0" applyNumberFormat="1" applyFont="1" applyBorder="1" applyAlignment="1">
      <alignment horizontal="center"/>
    </xf>
    <xf numFmtId="168" fontId="7" fillId="0" borderId="0" xfId="0" applyNumberFormat="1" applyFont="1" applyAlignment="1">
      <alignment horizontal="left"/>
    </xf>
    <xf numFmtId="168" fontId="0" fillId="0" borderId="0" xfId="0" applyNumberFormat="1"/>
    <xf numFmtId="0" fontId="8" fillId="0" borderId="5" xfId="0" applyFont="1" applyBorder="1"/>
    <xf numFmtId="15" fontId="0" fillId="0" borderId="5" xfId="0" applyNumberFormat="1" applyBorder="1" applyAlignment="1">
      <alignment horizontal="right" indent="1"/>
    </xf>
    <xf numFmtId="169" fontId="13" fillId="0" borderId="5" xfId="0" applyNumberFormat="1" applyFont="1" applyBorder="1" applyAlignment="1">
      <alignment horizontal="right" indent="1"/>
    </xf>
    <xf numFmtId="169" fontId="0" fillId="0" borderId="5" xfId="0" applyNumberFormat="1" applyBorder="1" applyAlignment="1">
      <alignment horizontal="right" indent="1"/>
    </xf>
    <xf numFmtId="0" fontId="13" fillId="0" borderId="5" xfId="0" applyFont="1" applyBorder="1" applyAlignment="1">
      <alignment horizontal="right" indent="1"/>
    </xf>
    <xf numFmtId="0" fontId="8" fillId="0" borderId="4" xfId="0" applyFont="1" applyBorder="1"/>
    <xf numFmtId="0" fontId="0" fillId="0" borderId="5" xfId="0" applyBorder="1" applyAlignment="1">
      <alignment horizontal="right" indent="1"/>
    </xf>
    <xf numFmtId="167" fontId="0" fillId="0" borderId="5" xfId="0" applyNumberFormat="1" applyBorder="1" applyAlignment="1">
      <alignment horizontal="right" indent="1"/>
    </xf>
    <xf numFmtId="167" fontId="0" fillId="0" borderId="4" xfId="0" applyNumberFormat="1" applyBorder="1" applyAlignment="1">
      <alignment horizontal="right" indent="1"/>
    </xf>
    <xf numFmtId="0" fontId="15" fillId="0" borderId="0" xfId="0" applyFont="1"/>
    <xf numFmtId="169" fontId="0" fillId="0" borderId="0" xfId="0" applyNumberFormat="1"/>
    <xf numFmtId="0" fontId="16" fillId="0" borderId="0" xfId="0" applyFont="1"/>
    <xf numFmtId="9" fontId="0" fillId="0" borderId="0" xfId="0" applyNumberFormat="1"/>
    <xf numFmtId="10" fontId="13" fillId="0" borderId="0" xfId="0" applyNumberFormat="1" applyFont="1"/>
    <xf numFmtId="167" fontId="0" fillId="0" borderId="0" xfId="0" applyNumberFormat="1"/>
    <xf numFmtId="10" fontId="17" fillId="0" borderId="0" xfId="0" applyNumberFormat="1" applyFont="1"/>
    <xf numFmtId="0" fontId="17" fillId="0" borderId="0" xfId="0" applyFont="1"/>
    <xf numFmtId="0" fontId="17" fillId="0" borderId="0" xfId="0" applyFont="1" applyAlignment="1">
      <alignment horizontal="right"/>
    </xf>
    <xf numFmtId="2" fontId="17" fillId="0" borderId="0" xfId="0" applyNumberFormat="1" applyFont="1"/>
    <xf numFmtId="0" fontId="18" fillId="0" borderId="0" xfId="0" applyFont="1" applyAlignment="1">
      <alignment horizontal="right"/>
    </xf>
    <xf numFmtId="164" fontId="17" fillId="0" borderId="0" xfId="0" applyNumberFormat="1" applyFont="1"/>
    <xf numFmtId="10" fontId="19" fillId="0" borderId="0" xfId="0" applyNumberFormat="1" applyFont="1"/>
    <xf numFmtId="171" fontId="0" fillId="0" borderId="4" xfId="0" applyNumberFormat="1" applyBorder="1" applyAlignment="1">
      <alignment horizontal="right" indent="1"/>
    </xf>
    <xf numFmtId="170" fontId="0" fillId="0" borderId="0" xfId="0" applyNumberFormat="1" applyAlignment="1">
      <alignment horizontal="right" indent="1"/>
    </xf>
    <xf numFmtId="10" fontId="13" fillId="0" borderId="0" xfId="1" applyNumberFormat="1" applyFont="1"/>
    <xf numFmtId="10" fontId="13" fillId="4" borderId="0" xfId="1" applyNumberFormat="1" applyFont="1" applyFill="1"/>
    <xf numFmtId="2" fontId="20" fillId="0" borderId="1" xfId="0" applyNumberFormat="1" applyFont="1" applyBorder="1" applyAlignment="1">
      <alignment horizontal="center"/>
    </xf>
    <xf numFmtId="10" fontId="20" fillId="0" borderId="1" xfId="1" applyNumberFormat="1" applyFont="1" applyBorder="1" applyAlignment="1">
      <alignment horizontal="center"/>
    </xf>
    <xf numFmtId="2" fontId="20" fillId="0" borderId="1" xfId="0" applyNumberFormat="1" applyFont="1" applyBorder="1" applyAlignment="1">
      <alignment horizontal="center" vertical="center"/>
    </xf>
    <xf numFmtId="2" fontId="20" fillId="0" borderId="2" xfId="0" applyNumberFormat="1" applyFont="1" applyBorder="1" applyAlignment="1">
      <alignment horizontal="center"/>
    </xf>
    <xf numFmtId="164" fontId="20" fillId="0" borderId="1" xfId="0" applyNumberFormat="1" applyFont="1" applyBorder="1" applyAlignment="1">
      <alignment horizontal="center"/>
    </xf>
    <xf numFmtId="164" fontId="20" fillId="0" borderId="1" xfId="0" applyNumberFormat="1" applyFont="1" applyBorder="1" applyAlignment="1">
      <alignment horizontal="center" vertical="center"/>
    </xf>
    <xf numFmtId="164" fontId="20" fillId="0" borderId="2" xfId="0" applyNumberFormat="1" applyFont="1" applyBorder="1" applyAlignment="1">
      <alignment horizontal="center"/>
    </xf>
    <xf numFmtId="0" fontId="21" fillId="0" borderId="0" xfId="0" applyFont="1" applyAlignment="1">
      <alignment horizontal="left" vertical="center" readingOrder="1"/>
    </xf>
    <xf numFmtId="0" fontId="2" fillId="5" borderId="2" xfId="0" applyFont="1" applyFill="1" applyBorder="1" applyAlignment="1">
      <alignment horizontal="center"/>
    </xf>
    <xf numFmtId="172" fontId="11" fillId="0" borderId="1" xfId="0" applyNumberFormat="1" applyFont="1" applyBorder="1" applyAlignment="1">
      <alignment horizontal="center"/>
    </xf>
    <xf numFmtId="172" fontId="0" fillId="0" borderId="5" xfId="0" applyNumberFormat="1" applyBorder="1" applyAlignment="1">
      <alignment horizontal="right" indent="1"/>
    </xf>
    <xf numFmtId="172" fontId="0" fillId="0" borderId="4" xfId="0" applyNumberFormat="1" applyBorder="1" applyAlignment="1">
      <alignment horizontal="right" indent="1"/>
    </xf>
    <xf numFmtId="0" fontId="2" fillId="5" borderId="0" xfId="0" applyFont="1" applyFill="1"/>
    <xf numFmtId="9" fontId="2" fillId="5" borderId="0" xfId="1" applyFont="1" applyFill="1"/>
    <xf numFmtId="0" fontId="2" fillId="5" borderId="0" xfId="0" applyFont="1" applyFill="1" applyAlignment="1">
      <alignment horizontal="right"/>
    </xf>
    <xf numFmtId="10" fontId="8" fillId="6" borderId="1" xfId="0" applyNumberFormat="1" applyFont="1" applyFill="1" applyBorder="1"/>
    <xf numFmtId="0" fontId="11" fillId="0" borderId="1" xfId="0" applyFont="1" applyBorder="1" applyAlignment="1">
      <alignment horizontal="left" indent="1"/>
    </xf>
    <xf numFmtId="0" fontId="0" fillId="2" borderId="0" xfId="0" applyFill="1" applyAlignment="1">
      <alignment horizontal="center"/>
    </xf>
    <xf numFmtId="0" fontId="0" fillId="2" borderId="9" xfId="0" applyFill="1" applyBorder="1" applyAlignment="1">
      <alignment horizontal="center"/>
    </xf>
    <xf numFmtId="0" fontId="2" fillId="5" borderId="7" xfId="0" applyFont="1" applyFill="1" applyBorder="1" applyAlignment="1">
      <alignment horizontal="left"/>
    </xf>
    <xf numFmtId="0" fontId="2" fillId="5" borderId="2" xfId="0" applyFont="1" applyFill="1" applyBorder="1" applyAlignment="1">
      <alignment wrapText="1"/>
    </xf>
    <xf numFmtId="0" fontId="2" fillId="5" borderId="8" xfId="0" applyFont="1" applyFill="1" applyBorder="1" applyAlignment="1">
      <alignment wrapText="1"/>
    </xf>
    <xf numFmtId="10" fontId="0" fillId="6" borderId="1" xfId="0" applyNumberFormat="1" applyFill="1" applyBorder="1" applyAlignment="1">
      <alignment horizontal="right" indent="1"/>
    </xf>
    <xf numFmtId="10" fontId="22" fillId="0" borderId="5" xfId="1" applyNumberFormat="1" applyFont="1" applyBorder="1" applyAlignment="1">
      <alignment horizontal="right" indent="1"/>
    </xf>
    <xf numFmtId="0" fontId="11" fillId="7" borderId="3" xfId="0" applyFont="1" applyFill="1" applyBorder="1"/>
    <xf numFmtId="172" fontId="11" fillId="7" borderId="6" xfId="0" applyNumberFormat="1" applyFont="1" applyFill="1" applyBorder="1"/>
    <xf numFmtId="0" fontId="10" fillId="5" borderId="10" xfId="0" applyFont="1" applyFill="1" applyBorder="1"/>
    <xf numFmtId="0" fontId="10" fillId="5" borderId="10" xfId="0" applyFont="1" applyFill="1" applyBorder="1" applyAlignment="1">
      <alignment horizontal="right"/>
    </xf>
    <xf numFmtId="0" fontId="10" fillId="5" borderId="10" xfId="0" applyFont="1" applyFill="1" applyBorder="1" applyAlignment="1">
      <alignment horizontal="left"/>
    </xf>
    <xf numFmtId="0" fontId="2" fillId="5" borderId="2" xfId="0" applyFont="1" applyFill="1" applyBorder="1" applyAlignment="1">
      <alignment horizontal="left" wrapText="1"/>
    </xf>
    <xf numFmtId="3" fontId="0" fillId="0" borderId="0" xfId="0" applyNumberFormat="1"/>
    <xf numFmtId="14" fontId="0" fillId="0" borderId="0" xfId="0" applyNumberFormat="1"/>
    <xf numFmtId="0" fontId="2" fillId="5" borderId="0" xfId="0" applyFont="1" applyFill="1" applyAlignment="1">
      <alignment horizontal="center"/>
    </xf>
    <xf numFmtId="10" fontId="19" fillId="4" borderId="1" xfId="0" applyNumberFormat="1" applyFont="1" applyFill="1" applyBorder="1"/>
    <xf numFmtId="10" fontId="0" fillId="0" borderId="7" xfId="0" applyNumberFormat="1" applyBorder="1"/>
    <xf numFmtId="10" fontId="22" fillId="0" borderId="8" xfId="0" applyNumberFormat="1" applyFont="1" applyBorder="1"/>
    <xf numFmtId="10" fontId="0" fillId="0" borderId="11" xfId="0" applyNumberFormat="1" applyBorder="1"/>
    <xf numFmtId="10" fontId="22" fillId="0" borderId="9" xfId="0" applyNumberFormat="1" applyFont="1" applyBorder="1"/>
    <xf numFmtId="0" fontId="8" fillId="0" borderId="3" xfId="0" applyFont="1" applyBorder="1"/>
    <xf numFmtId="10" fontId="8" fillId="0" borderId="15" xfId="0" applyNumberFormat="1" applyFont="1" applyBorder="1"/>
    <xf numFmtId="0" fontId="10" fillId="5" borderId="10" xfId="0" applyFont="1" applyFill="1" applyBorder="1" applyAlignment="1">
      <alignment horizontal="left" indent="28"/>
    </xf>
    <xf numFmtId="0" fontId="0" fillId="0" borderId="14" xfId="0" applyBorder="1"/>
    <xf numFmtId="0" fontId="8" fillId="8" borderId="7" xfId="0" applyFont="1" applyFill="1" applyBorder="1"/>
    <xf numFmtId="0" fontId="8" fillId="8" borderId="14" xfId="0" applyFont="1" applyFill="1" applyBorder="1"/>
    <xf numFmtId="0" fontId="8" fillId="8" borderId="8" xfId="0" applyFont="1" applyFill="1" applyBorder="1"/>
    <xf numFmtId="0" fontId="8" fillId="8" borderId="13" xfId="0" applyFont="1" applyFill="1" applyBorder="1"/>
    <xf numFmtId="0" fontId="8" fillId="8" borderId="12" xfId="0" applyFont="1" applyFill="1" applyBorder="1"/>
    <xf numFmtId="0" fontId="23" fillId="8" borderId="10" xfId="2" applyFill="1" applyBorder="1"/>
    <xf numFmtId="0" fontId="24" fillId="8" borderId="10" xfId="2" applyFont="1" applyFill="1" applyBorder="1"/>
    <xf numFmtId="1" fontId="0" fillId="0" borderId="0" xfId="0" applyNumberFormat="1"/>
    <xf numFmtId="0" fontId="2" fillId="5" borderId="0" xfId="0" applyFont="1" applyFill="1" applyAlignment="1">
      <alignment horizontal="left"/>
    </xf>
    <xf numFmtId="0" fontId="4" fillId="0" borderId="4" xfId="0" applyFont="1" applyBorder="1" applyAlignment="1">
      <alignment horizontal="center"/>
    </xf>
    <xf numFmtId="10" fontId="4" fillId="0" borderId="4" xfId="0" applyNumberFormat="1" applyFont="1" applyBorder="1" applyAlignment="1">
      <alignment horizontal="center"/>
    </xf>
    <xf numFmtId="164" fontId="20" fillId="0" borderId="4" xfId="0" applyNumberFormat="1" applyFont="1" applyBorder="1" applyAlignment="1">
      <alignment horizontal="center"/>
    </xf>
    <xf numFmtId="2" fontId="20" fillId="0" borderId="4" xfId="0" applyNumberFormat="1" applyFont="1" applyBorder="1" applyAlignment="1">
      <alignment horizontal="center"/>
    </xf>
    <xf numFmtId="0" fontId="25" fillId="5" borderId="0" xfId="0" applyFont="1" applyFill="1" applyAlignment="1">
      <alignment horizontal="center"/>
    </xf>
    <xf numFmtId="0" fontId="2" fillId="5" borderId="7" xfId="0" applyFont="1" applyFill="1" applyBorder="1" applyAlignment="1">
      <alignment horizontal="center"/>
    </xf>
    <xf numFmtId="0" fontId="2" fillId="5" borderId="8" xfId="0" applyFont="1" applyFill="1" applyBorder="1" applyAlignment="1">
      <alignment horizont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4" fillId="0" borderId="2"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4" xfId="0" applyFont="1" applyBorder="1" applyAlignment="1">
      <alignment horizontal="center" vertical="center" wrapText="1"/>
    </xf>
  </cellXfs>
  <cellStyles count="3">
    <cellStyle name="Hyperlink" xfId="2" builtinId="8"/>
    <cellStyle name="Normal" xfId="0" builtinId="0"/>
    <cellStyle name="Percent" xfId="1" builtinId="5"/>
  </cellStyles>
  <dxfs count="3">
    <dxf>
      <font>
        <color theme="9" tint="-0.499984740745262"/>
      </font>
      <fill>
        <patternFill>
          <bgColor theme="9" tint="0.39994506668294322"/>
        </patternFill>
      </fill>
    </dxf>
    <dxf>
      <font>
        <color rgb="FFC00000"/>
      </font>
      <fill>
        <patternFill>
          <bgColor theme="5" tint="0.39994506668294322"/>
        </patternFill>
      </fill>
    </dxf>
    <dxf>
      <font>
        <color rgb="FF002060"/>
      </font>
      <fill>
        <patternFill>
          <bgColor theme="8" tint="0.39994506668294322"/>
        </patternFill>
      </fill>
    </dxf>
  </dxfs>
  <tableStyles count="0" defaultTableStyle="TableStyleMedium2" defaultPivotStyle="PivotStyleLight16"/>
  <colors>
    <mruColors>
      <color rgb="FFD6002A"/>
      <color rgb="FF3333FF"/>
      <color rgb="FFFFD1DA"/>
      <color rgb="FFFFBDCA"/>
      <color rgb="FFFFA7B8"/>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Historical Buyback &amp; Dividends Yield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'ExpectedBB&amp;Dividends'!$D$3</c:f>
              <c:strCache>
                <c:ptCount val="1"/>
                <c:pt idx="0">
                  <c:v>Dividends Yield</c:v>
                </c:pt>
              </c:strCache>
            </c:strRef>
          </c:tx>
          <c:spPr>
            <a:ln w="19050" cap="rnd">
              <a:solidFill>
                <a:schemeClr val="tx1"/>
              </a:solidFill>
              <a:round/>
            </a:ln>
            <a:effectLst/>
          </c:spPr>
          <c:marker>
            <c:symbol val="none"/>
          </c:marker>
          <c:cat>
            <c:numRef>
              <c:f>'ExpectedBB&amp;Dividends'!$B$4:$B$27</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'ExpectedBB&amp;Dividends'!$D$4:$D$27</c:f>
              <c:numCache>
                <c:formatCode>0.00%</c:formatCode>
                <c:ptCount val="24"/>
                <c:pt idx="0">
                  <c:v>1.37E-2</c:v>
                </c:pt>
                <c:pt idx="1">
                  <c:v>1.8100000000000002E-2</c:v>
                </c:pt>
                <c:pt idx="2">
                  <c:v>1.61E-2</c:v>
                </c:pt>
                <c:pt idx="3">
                  <c:v>1.5699999999999999E-2</c:v>
                </c:pt>
                <c:pt idx="4">
                  <c:v>1.7899999999999999E-2</c:v>
                </c:pt>
                <c:pt idx="5">
                  <c:v>1.77E-2</c:v>
                </c:pt>
                <c:pt idx="6">
                  <c:v>1.9199999999999998E-2</c:v>
                </c:pt>
                <c:pt idx="7">
                  <c:v>3.15E-2</c:v>
                </c:pt>
                <c:pt idx="8">
                  <c:v>1.9699999999999999E-2</c:v>
                </c:pt>
                <c:pt idx="9">
                  <c:v>1.7999999999999999E-2</c:v>
                </c:pt>
                <c:pt idx="10">
                  <c:v>2.1100000000000001E-2</c:v>
                </c:pt>
                <c:pt idx="11">
                  <c:v>2.1899999999999999E-2</c:v>
                </c:pt>
                <c:pt idx="12">
                  <c:v>1.89E-2</c:v>
                </c:pt>
                <c:pt idx="13">
                  <c:v>1.9199999999999998E-2</c:v>
                </c:pt>
                <c:pt idx="14">
                  <c:v>2.12E-2</c:v>
                </c:pt>
                <c:pt idx="15">
                  <c:v>2.0400000000000001E-2</c:v>
                </c:pt>
                <c:pt idx="16">
                  <c:v>1.83E-2</c:v>
                </c:pt>
                <c:pt idx="17">
                  <c:v>2.1399999999999999E-2</c:v>
                </c:pt>
                <c:pt idx="18">
                  <c:v>1.8200000000000001E-2</c:v>
                </c:pt>
                <c:pt idx="19">
                  <c:v>1.5100000000000001E-2</c:v>
                </c:pt>
                <c:pt idx="20">
                  <c:v>1.24E-2</c:v>
                </c:pt>
                <c:pt idx="21">
                  <c:v>1.78E-2</c:v>
                </c:pt>
                <c:pt idx="22">
                  <c:v>1.47E-2</c:v>
                </c:pt>
                <c:pt idx="23">
                  <c:v>1.2500000000000001E-2</c:v>
                </c:pt>
              </c:numCache>
            </c:numRef>
          </c:val>
          <c:smooth val="0"/>
          <c:extLst>
            <c:ext xmlns:c16="http://schemas.microsoft.com/office/drawing/2014/chart" uri="{C3380CC4-5D6E-409C-BE32-E72D297353CC}">
              <c16:uniqueId val="{00000000-A8F8-4357-9903-D787376751BE}"/>
            </c:ext>
          </c:extLst>
        </c:ser>
        <c:ser>
          <c:idx val="1"/>
          <c:order val="1"/>
          <c:tx>
            <c:strRef>
              <c:f>'ExpectedBB&amp;Dividends'!$J$3</c:f>
              <c:strCache>
                <c:ptCount val="1"/>
                <c:pt idx="0">
                  <c:v>Buybacks Yield</c:v>
                </c:pt>
              </c:strCache>
            </c:strRef>
          </c:tx>
          <c:spPr>
            <a:ln w="19050" cap="rnd">
              <a:solidFill>
                <a:srgbClr val="C00000"/>
              </a:solidFill>
              <a:round/>
            </a:ln>
            <a:effectLst/>
          </c:spPr>
          <c:marker>
            <c:symbol val="none"/>
          </c:marker>
          <c:cat>
            <c:numRef>
              <c:f>'ExpectedBB&amp;Dividends'!$B$4:$B$27</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'ExpectedBB&amp;Dividends'!$J$4:$J$27</c:f>
              <c:numCache>
                <c:formatCode>0.00%</c:formatCode>
                <c:ptCount val="24"/>
                <c:pt idx="0">
                  <c:v>1.2500036582497888E-2</c:v>
                </c:pt>
                <c:pt idx="1">
                  <c:v>1.5804662317292169E-2</c:v>
                </c:pt>
                <c:pt idx="2">
                  <c:v>1.2301579264508814E-2</c:v>
                </c:pt>
                <c:pt idx="3">
                  <c:v>1.7800561093141463E-2</c:v>
                </c:pt>
                <c:pt idx="4">
                  <c:v>3.1103036153457931E-2</c:v>
                </c:pt>
                <c:pt idx="5">
                  <c:v>3.3882880913770008E-2</c:v>
                </c:pt>
                <c:pt idx="6">
                  <c:v>4.5743201939578856E-2</c:v>
                </c:pt>
                <c:pt idx="7">
                  <c:v>4.3252283420979788E-2</c:v>
                </c:pt>
                <c:pt idx="8">
                  <c:v>1.3866496278360691E-2</c:v>
                </c:pt>
                <c:pt idx="9">
                  <c:v>2.6154129957698551E-2</c:v>
                </c:pt>
                <c:pt idx="10">
                  <c:v>3.5579389312977105E-2</c:v>
                </c:pt>
                <c:pt idx="11">
                  <c:v>3.1318715598903375E-2</c:v>
                </c:pt>
                <c:pt idx="12">
                  <c:v>2.878010560713281E-2</c:v>
                </c:pt>
                <c:pt idx="13">
                  <c:v>3.033130312302686E-2</c:v>
                </c:pt>
                <c:pt idx="14">
                  <c:v>3.0709547246983764E-2</c:v>
                </c:pt>
                <c:pt idx="15">
                  <c:v>2.8138745684129655E-2</c:v>
                </c:pt>
                <c:pt idx="16">
                  <c:v>2.2199549298513994E-2</c:v>
                </c:pt>
                <c:pt idx="17">
                  <c:v>3.3110640844087207E-2</c:v>
                </c:pt>
                <c:pt idx="18">
                  <c:v>2.8383178056073145E-2</c:v>
                </c:pt>
                <c:pt idx="19">
                  <c:v>1.8919600273690319E-2</c:v>
                </c:pt>
                <c:pt idx="20">
                  <c:v>1.8492664565752867E-2</c:v>
                </c:pt>
                <c:pt idx="21">
                  <c:v>2.9599400963667147E-2</c:v>
                </c:pt>
                <c:pt idx="22">
                  <c:v>1.9848401096055832E-2</c:v>
                </c:pt>
                <c:pt idx="23">
                  <c:v>1.8579819709842342E-2</c:v>
                </c:pt>
              </c:numCache>
            </c:numRef>
          </c:val>
          <c:smooth val="0"/>
          <c:extLst>
            <c:ext xmlns:c16="http://schemas.microsoft.com/office/drawing/2014/chart" uri="{C3380CC4-5D6E-409C-BE32-E72D297353CC}">
              <c16:uniqueId val="{00000001-A8F8-4357-9903-D787376751BE}"/>
            </c:ext>
          </c:extLst>
        </c:ser>
        <c:dLbls>
          <c:showLegendKey val="0"/>
          <c:showVal val="0"/>
          <c:showCatName val="0"/>
          <c:showSerName val="0"/>
          <c:showPercent val="0"/>
          <c:showBubbleSize val="0"/>
        </c:dLbls>
        <c:smooth val="0"/>
        <c:axId val="922657215"/>
        <c:axId val="922653855"/>
      </c:lineChart>
      <c:dateAx>
        <c:axId val="92265721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noFill/>
            <a:round/>
          </a:ln>
          <a:effectLst/>
        </c:spPr>
        <c:txPr>
          <a:bodyPr rot="-18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922653855"/>
        <c:crosses val="autoZero"/>
        <c:auto val="0"/>
        <c:lblOffset val="100"/>
        <c:baseTimeUnit val="days"/>
        <c:minorUnit val="1"/>
      </c:dateAx>
      <c:valAx>
        <c:axId val="922653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2657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Historical Earnings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D6002A"/>
              </a:solidFill>
              <a:round/>
            </a:ln>
            <a:effectLst/>
          </c:spPr>
          <c:marker>
            <c:symbol val="none"/>
          </c:marker>
          <c:cat>
            <c:numRef>
              <c:f>EPSGrowth!$B$45:$B$68</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EPSGrowth!$D$45:$D$68</c:f>
              <c:numCache>
                <c:formatCode>0.0</c:formatCode>
                <c:ptCount val="24"/>
                <c:pt idx="0">
                  <c:v>38.805441999999992</c:v>
                </c:pt>
                <c:pt idx="1">
                  <c:v>46.014586000000001</c:v>
                </c:pt>
                <c:pt idx="2">
                  <c:v>54.705972000000003</c:v>
                </c:pt>
                <c:pt idx="3">
                  <c:v>67.625136000000012</c:v>
                </c:pt>
                <c:pt idx="4">
                  <c:v>76.395347999999998</c:v>
                </c:pt>
                <c:pt idx="5">
                  <c:v>87.650939999999991</c:v>
                </c:pt>
                <c:pt idx="6">
                  <c:v>82.521831999999989</c:v>
                </c:pt>
                <c:pt idx="7">
                  <c:v>49.498100000000001</c:v>
                </c:pt>
                <c:pt idx="8">
                  <c:v>56.870099999999994</c:v>
                </c:pt>
                <c:pt idx="9">
                  <c:v>83.758824000000018</c:v>
                </c:pt>
                <c:pt idx="10">
                  <c:v>96.457920000000001</c:v>
                </c:pt>
                <c:pt idx="11">
                  <c:v>96.838301000000001</c:v>
                </c:pt>
                <c:pt idx="12">
                  <c:v>104.98684799999999</c:v>
                </c:pt>
                <c:pt idx="13">
                  <c:v>116.12196</c:v>
                </c:pt>
                <c:pt idx="14">
                  <c:v>100.561848</c:v>
                </c:pt>
                <c:pt idx="15">
                  <c:v>106.344425</c:v>
                </c:pt>
                <c:pt idx="16">
                  <c:v>124.59022600000002</c:v>
                </c:pt>
                <c:pt idx="17">
                  <c:v>148.40552</c:v>
                </c:pt>
                <c:pt idx="18">
                  <c:v>162.50823400000002</c:v>
                </c:pt>
                <c:pt idx="19">
                  <c:v>138.223376</c:v>
                </c:pt>
                <c:pt idx="20">
                  <c:v>206.37559400000001</c:v>
                </c:pt>
                <c:pt idx="21">
                  <c:v>219.61940000000001</c:v>
                </c:pt>
                <c:pt idx="22">
                  <c:v>219.889163</c:v>
                </c:pt>
                <c:pt idx="23">
                  <c:v>243.499482</c:v>
                </c:pt>
              </c:numCache>
            </c:numRef>
          </c:val>
          <c:smooth val="0"/>
          <c:extLst>
            <c:ext xmlns:c16="http://schemas.microsoft.com/office/drawing/2014/chart" uri="{C3380CC4-5D6E-409C-BE32-E72D297353CC}">
              <c16:uniqueId val="{00000000-640B-4A5F-8A70-97B823F56514}"/>
            </c:ext>
          </c:extLst>
        </c:ser>
        <c:dLbls>
          <c:showLegendKey val="0"/>
          <c:showVal val="0"/>
          <c:showCatName val="0"/>
          <c:showSerName val="0"/>
          <c:showPercent val="0"/>
          <c:showBubbleSize val="0"/>
        </c:dLbls>
        <c:smooth val="0"/>
        <c:axId val="1242743647"/>
        <c:axId val="1242744607"/>
      </c:lineChart>
      <c:dateAx>
        <c:axId val="124274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242744607"/>
        <c:crosses val="autoZero"/>
        <c:auto val="0"/>
        <c:lblOffset val="100"/>
        <c:baseTimeUnit val="days"/>
        <c:majorUnit val="2"/>
        <c:majorTimeUnit val="days"/>
      </c:dateAx>
      <c:valAx>
        <c:axId val="1242744607"/>
        <c:scaling>
          <c:orientation val="minMax"/>
        </c:scaling>
        <c:delete val="0"/>
        <c:axPos val="l"/>
        <c:majorGridlines>
          <c:spPr>
            <a:ln w="9525" cap="flat" cmpd="sng" algn="ctr">
              <a:solidFill>
                <a:schemeClr val="tx1">
                  <a:lumMod val="15000"/>
                  <a:lumOff val="85000"/>
                </a:schemeClr>
              </a:solidFill>
              <a:round/>
            </a:ln>
            <a:effectLst/>
          </c:spPr>
        </c:majorGridlines>
        <c:numFmt formatCode="\$\ 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74364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Historic Implied ERP</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ERPData!$F$3</c:f>
              <c:strCache>
                <c:ptCount val="1"/>
                <c:pt idx="0">
                  <c:v>Yearly Average ERP</c:v>
                </c:pt>
              </c:strCache>
            </c:strRef>
          </c:tx>
          <c:spPr>
            <a:ln w="28575" cap="rnd">
              <a:solidFill>
                <a:srgbClr val="D6002A"/>
              </a:solidFill>
              <a:round/>
            </a:ln>
            <a:effectLst/>
          </c:spPr>
          <c:marker>
            <c:symbol val="none"/>
          </c:marker>
          <c:cat>
            <c:numRef>
              <c:f>ERPData!$E$4:$E$20</c:f>
              <c:numCache>
                <c:formatCode>General</c:formatCod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numCache>
            </c:numRef>
          </c:cat>
          <c:val>
            <c:numRef>
              <c:f>ERPData!$F$4:$F$20</c:f>
              <c:numCache>
                <c:formatCode>0.00%</c:formatCode>
                <c:ptCount val="17"/>
                <c:pt idx="0">
                  <c:v>5.3074999999999997E-2</c:v>
                </c:pt>
                <c:pt idx="1">
                  <c:v>5.9524999999999995E-2</c:v>
                </c:pt>
                <c:pt idx="2">
                  <c:v>4.7774999999999991E-2</c:v>
                </c:pt>
                <c:pt idx="3">
                  <c:v>5.7983333333333331E-2</c:v>
                </c:pt>
                <c:pt idx="4">
                  <c:v>6.7133333333333337E-2</c:v>
                </c:pt>
                <c:pt idx="5">
                  <c:v>5.5833333333333325E-2</c:v>
                </c:pt>
                <c:pt idx="6">
                  <c:v>5.2050000000000006E-2</c:v>
                </c:pt>
                <c:pt idx="7">
                  <c:v>5.9758333333333337E-2</c:v>
                </c:pt>
                <c:pt idx="8">
                  <c:v>6.2091666666666663E-2</c:v>
                </c:pt>
                <c:pt idx="9">
                  <c:v>5.1908333333333334E-2</c:v>
                </c:pt>
                <c:pt idx="10">
                  <c:v>5.2199999999999996E-2</c:v>
                </c:pt>
                <c:pt idx="11">
                  <c:v>5.616666666666667E-2</c:v>
                </c:pt>
                <c:pt idx="12">
                  <c:v>5.2233333333333326E-2</c:v>
                </c:pt>
                <c:pt idx="13">
                  <c:v>4.3450000000000009E-2</c:v>
                </c:pt>
                <c:pt idx="14">
                  <c:v>5.1933333333333331E-2</c:v>
                </c:pt>
                <c:pt idx="15">
                  <c:v>5.6641666666666667E-2</c:v>
                </c:pt>
                <c:pt idx="16">
                  <c:v>5.9666666666666666E-2</c:v>
                </c:pt>
              </c:numCache>
            </c:numRef>
          </c:val>
          <c:smooth val="1"/>
          <c:extLst>
            <c:ext xmlns:c16="http://schemas.microsoft.com/office/drawing/2014/chart" uri="{C3380CC4-5D6E-409C-BE32-E72D297353CC}">
              <c16:uniqueId val="{00000000-BEDB-4AE3-A68A-7DB507B09329}"/>
            </c:ext>
          </c:extLst>
        </c:ser>
        <c:dLbls>
          <c:showLegendKey val="0"/>
          <c:showVal val="0"/>
          <c:showCatName val="0"/>
          <c:showSerName val="0"/>
          <c:showPercent val="0"/>
          <c:showBubbleSize val="0"/>
        </c:dLbls>
        <c:smooth val="0"/>
        <c:axId val="1369114223"/>
        <c:axId val="1369132463"/>
      </c:lineChart>
      <c:dateAx>
        <c:axId val="136911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32463"/>
        <c:crosses val="autoZero"/>
        <c:auto val="0"/>
        <c:lblOffset val="100"/>
        <c:baseTimeUnit val="days"/>
      </c:dateAx>
      <c:valAx>
        <c:axId val="1369132463"/>
        <c:scaling>
          <c:orientation val="minMax"/>
          <c:min val="3.5000000000000003E-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14223"/>
        <c:crossesAt val="1"/>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190499</xdr:rowOff>
    </xdr:from>
    <xdr:to>
      <xdr:col>16</xdr:col>
      <xdr:colOff>152400</xdr:colOff>
      <xdr:row>23</xdr:row>
      <xdr:rowOff>161924</xdr:rowOff>
    </xdr:to>
    <xdr:sp macro="" textlink="">
      <xdr:nvSpPr>
        <xdr:cNvPr id="2" name="TextBox 1">
          <a:extLst>
            <a:ext uri="{FF2B5EF4-FFF2-40B4-BE49-F238E27FC236}">
              <a16:creationId xmlns:a16="http://schemas.microsoft.com/office/drawing/2014/main" id="{6B8EE100-D8DA-428A-884D-B9844CF23FC4}"/>
            </a:ext>
          </a:extLst>
        </xdr:cNvPr>
        <xdr:cNvSpPr txBox="1"/>
      </xdr:nvSpPr>
      <xdr:spPr>
        <a:xfrm>
          <a:off x="123825" y="761999"/>
          <a:ext cx="10382250" cy="3781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S&amp;P 500 Intrinsic Valuation &amp; Implied ERP – Methodology</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r>
            <a:rPr lang="en-IN" sz="1200" b="1"/>
            <a:t>Overview</a:t>
          </a:r>
        </a:p>
        <a:p>
          <a:r>
            <a:rPr lang="en-IN"/>
            <a:t>This model </a:t>
          </a:r>
          <a:r>
            <a:rPr lang="en-IN" b="0"/>
            <a:t>estimates the intrinsic value of the S&amp;P 500 and derives its implied equity risk premium (ERP). </a:t>
          </a:r>
          <a:r>
            <a:rPr lang="en-IN"/>
            <a:t>Since an index does not report free cash flows directly, the framework relies on economically grounded proxies and long-term fundamentals. The intrinsic valuation is then used as the baseline ERP for mature markets, which later feeds into country-level ERP estimation.</a:t>
          </a:r>
        </a:p>
        <a:p>
          <a:endParaRPr lang="en-IN" b="1"/>
        </a:p>
        <a:p>
          <a:r>
            <a:rPr lang="en-IN" sz="1200" b="1"/>
            <a:t>Intrinsic Value</a:t>
          </a:r>
          <a:r>
            <a:rPr lang="en-IN" sz="1200" b="1" baseline="0"/>
            <a:t> of the Index</a:t>
          </a:r>
          <a:endParaRPr lang="en-IN" sz="1200" b="1"/>
        </a:p>
        <a:p>
          <a:r>
            <a:rPr lang="en-IN" b="0"/>
            <a:t>To approximate free cash flows for the S&amp;P 500, the model uses total yield as a proxy,</a:t>
          </a:r>
          <a:r>
            <a:rPr lang="en-IN" b="0" baseline="0"/>
            <a:t> </a:t>
          </a:r>
          <a:r>
            <a:rPr lang="en-IN" b="0"/>
            <a:t>defined as dividend yield plus buyback yield. This reflects the cash returned to shareholders and is a widely accepted substitute for FCFF when valuing broad equity indices. The historical average total yield is applied to the current index level to generate the cash flow. These cash flows are then grown using the historical CAGR of S&amp;P 500 earnings per share (EPS), capturing the long-term fundamental growth of corporate earnings.</a:t>
          </a:r>
          <a:br>
            <a:rPr lang="en-IN" b="0"/>
          </a:br>
          <a:r>
            <a:rPr lang="en-IN" b="0"/>
            <a:t>The discount rate equals the US Treasury yield (risk-free rate) at the time of the analysis, plus the historical average US ERP. After projecting and discounting these cash flows, including a terminal value that grows at the risk-free rate, the model arrives at an estimate of the S&amp;P 500’s intrinsic value.</a:t>
          </a:r>
        </a:p>
        <a:p>
          <a:br>
            <a:rPr lang="en-IN" b="1"/>
          </a:br>
          <a:r>
            <a:rPr lang="en-IN" sz="1200" b="1"/>
            <a:t>Implied Equity Risk Premium (ERP)</a:t>
          </a:r>
        </a:p>
        <a:p>
          <a:r>
            <a:rPr lang="en-IN" sz="1200"/>
            <a:t>After estimating the intrinsic value of the S&amp;P 500, the model is to use Goal Seek to back-engineer for the </a:t>
          </a:r>
          <a:r>
            <a:rPr lang="en-IN" sz="1200" b="0"/>
            <a:t>implied equity risk premium,</a:t>
          </a:r>
          <a:r>
            <a:rPr lang="en-IN" sz="1200" b="0" baseline="0"/>
            <a:t> </a:t>
          </a:r>
          <a:r>
            <a:rPr lang="en-IN" sz="1200"/>
            <a:t>the ERP that makes the present value of projected cash flows equal to the current index level. In simple terms, the model adjusts the ERP inside the cost of equity until the intrinsic value exactly matches today’s market price. This reverse-engineered ERP reflects what investors </a:t>
          </a:r>
          <a:r>
            <a:rPr lang="en-IN" sz="1200" i="0"/>
            <a:t>must </a:t>
          </a:r>
          <a:r>
            <a:rPr lang="en-IN" sz="1200"/>
            <a:t>be demanding from US equities right now and serves as the mature-market benchmark when estimating equity risk premiums for other countries.</a:t>
          </a:r>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523874</xdr:colOff>
      <xdr:row>15</xdr:row>
      <xdr:rowOff>109536</xdr:rowOff>
    </xdr:from>
    <xdr:to>
      <xdr:col>22</xdr:col>
      <xdr:colOff>304799</xdr:colOff>
      <xdr:row>26</xdr:row>
      <xdr:rowOff>152399</xdr:rowOff>
    </xdr:to>
    <xdr:graphicFrame macro="">
      <xdr:nvGraphicFramePr>
        <xdr:cNvPr id="2" name="Chart 1">
          <a:extLst>
            <a:ext uri="{FF2B5EF4-FFF2-40B4-BE49-F238E27FC236}">
              <a16:creationId xmlns:a16="http://schemas.microsoft.com/office/drawing/2014/main" id="{174EC6A9-821F-9FDD-3EE6-D49062C47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500062</xdr:colOff>
      <xdr:row>11</xdr:row>
      <xdr:rowOff>4762</xdr:rowOff>
    </xdr:from>
    <xdr:to>
      <xdr:col>15</xdr:col>
      <xdr:colOff>90487</xdr:colOff>
      <xdr:row>24</xdr:row>
      <xdr:rowOff>147637</xdr:rowOff>
    </xdr:to>
    <xdr:graphicFrame macro="">
      <xdr:nvGraphicFramePr>
        <xdr:cNvPr id="3" name="Chart 2">
          <a:extLst>
            <a:ext uri="{FF2B5EF4-FFF2-40B4-BE49-F238E27FC236}">
              <a16:creationId xmlns:a16="http://schemas.microsoft.com/office/drawing/2014/main" id="{0BE768BB-DCDF-1D82-FF3C-5E69ED8BB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1190625</xdr:colOff>
      <xdr:row>13</xdr:row>
      <xdr:rowOff>119062</xdr:rowOff>
    </xdr:from>
    <xdr:to>
      <xdr:col>15</xdr:col>
      <xdr:colOff>133350</xdr:colOff>
      <xdr:row>28</xdr:row>
      <xdr:rowOff>4762</xdr:rowOff>
    </xdr:to>
    <xdr:graphicFrame macro="">
      <xdr:nvGraphicFramePr>
        <xdr:cNvPr id="2" name="Chart 1">
          <a:extLst>
            <a:ext uri="{FF2B5EF4-FFF2-40B4-BE49-F238E27FC236}">
              <a16:creationId xmlns:a16="http://schemas.microsoft.com/office/drawing/2014/main" id="{894AE5FE-60A6-EA06-4409-08FE852C3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jay-finance.github.io/portfolio/" TargetMode="External"/><Relationship Id="rId1" Type="http://schemas.openxmlformats.org/officeDocument/2006/relationships/hyperlink" Target="https://jay-finance.github.io/portfolio/"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D353-4E7B-416C-878E-26AF7F427A3D}">
  <sheetPr>
    <tabColor rgb="FFFFC000"/>
  </sheetPr>
  <dimension ref="B2:E3"/>
  <sheetViews>
    <sheetView showGridLines="0" workbookViewId="0">
      <selection activeCell="T13" sqref="T13"/>
    </sheetView>
  </sheetViews>
  <sheetFormatPr defaultRowHeight="15" customHeight="1" x14ac:dyDescent="0.25"/>
  <cols>
    <col min="1" max="1" width="1.85546875" customWidth="1"/>
    <col min="3" max="3" width="17.85546875" customWidth="1"/>
    <col min="4" max="4" width="19" customWidth="1"/>
    <col min="5" max="5" width="6.85546875" customWidth="1"/>
  </cols>
  <sheetData>
    <row r="2" spans="2:5" ht="15" customHeight="1" x14ac:dyDescent="0.25">
      <c r="B2" s="108" t="s">
        <v>135</v>
      </c>
      <c r="C2" s="109" t="s">
        <v>136</v>
      </c>
      <c r="D2" s="109"/>
      <c r="E2" s="110"/>
    </row>
    <row r="3" spans="2:5" ht="15" customHeight="1" x14ac:dyDescent="0.25">
      <c r="B3" s="111" t="s">
        <v>134</v>
      </c>
      <c r="C3" s="114" t="s">
        <v>133</v>
      </c>
      <c r="D3" s="113"/>
      <c r="E3" s="112"/>
    </row>
  </sheetData>
  <hyperlinks>
    <hyperlink ref="C3:D3" r:id="rId1" display="https://jay-finance.github.io/portfolio/" xr:uid="{40151A92-1894-44D2-8DC4-5A9F7FD70883}"/>
    <hyperlink ref="C3" r:id="rId2" xr:uid="{D35943EB-D4E5-423A-ADBB-AB064403CAF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DD08-9107-48E7-908A-7E81275E6BA8}">
  <dimension ref="B2:L29"/>
  <sheetViews>
    <sheetView showGridLines="0" zoomScale="112" zoomScaleNormal="112" workbookViewId="0">
      <selection activeCell="G2" sqref="G2"/>
    </sheetView>
  </sheetViews>
  <sheetFormatPr defaultRowHeight="15" x14ac:dyDescent="0.25"/>
  <cols>
    <col min="1" max="1" width="1.85546875" customWidth="1"/>
    <col min="2" max="2" width="27.5703125" customWidth="1"/>
    <col min="3" max="3" width="20.5703125" customWidth="1"/>
    <col min="4" max="4" width="31.28515625" customWidth="1"/>
    <col min="5" max="5" width="25.7109375" customWidth="1"/>
    <col min="6" max="6" width="1.85546875" customWidth="1"/>
    <col min="7" max="7" width="9.140625" customWidth="1"/>
    <col min="8" max="8" width="11.5703125" bestFit="1" customWidth="1"/>
    <col min="9" max="9" width="11.140625" bestFit="1" customWidth="1"/>
    <col min="10" max="10" width="16.42578125" bestFit="1" customWidth="1"/>
    <col min="11" max="11" width="13.140625" customWidth="1"/>
  </cols>
  <sheetData>
    <row r="2" spans="2:11" ht="23.25" x14ac:dyDescent="0.35">
      <c r="B2" s="92"/>
      <c r="C2" s="93" t="s">
        <v>104</v>
      </c>
      <c r="D2" s="94" t="s">
        <v>121</v>
      </c>
      <c r="E2" s="92"/>
      <c r="H2" s="49" t="s">
        <v>111</v>
      </c>
      <c r="I2" s="49" t="s">
        <v>118</v>
      </c>
      <c r="J2" s="49" t="s">
        <v>119</v>
      </c>
      <c r="K2" s="49" t="s">
        <v>120</v>
      </c>
    </row>
    <row r="3" spans="2:11" x14ac:dyDescent="0.25">
      <c r="B3" s="83" t="s">
        <v>105</v>
      </c>
      <c r="C3" s="84" t="s">
        <v>106</v>
      </c>
      <c r="D3" s="83" t="s">
        <v>107</v>
      </c>
      <c r="E3" s="83" t="s">
        <v>108</v>
      </c>
      <c r="H3" s="49" t="s">
        <v>82</v>
      </c>
      <c r="I3" s="49" t="s">
        <v>12</v>
      </c>
      <c r="J3" s="49" t="s">
        <v>24</v>
      </c>
      <c r="K3" s="49" t="s">
        <v>83</v>
      </c>
    </row>
    <row r="4" spans="2:11" ht="3.95" customHeight="1" x14ac:dyDescent="0.25">
      <c r="H4" s="49" t="s">
        <v>83</v>
      </c>
      <c r="I4" s="49" t="s">
        <v>13</v>
      </c>
      <c r="J4" s="49" t="s">
        <v>25</v>
      </c>
      <c r="K4" s="49" t="s">
        <v>15</v>
      </c>
    </row>
    <row r="5" spans="2:11" ht="17.25" x14ac:dyDescent="0.3">
      <c r="B5" s="90" t="str">
        <f>D2</f>
        <v>S&amp;P 500 INDEX</v>
      </c>
      <c r="C5" s="91">
        <f>C9</f>
        <v>6617.32</v>
      </c>
      <c r="D5" s="82" t="s">
        <v>122</v>
      </c>
      <c r="E5" s="75">
        <f>IF(OR(C9="",C10="",C11="",C12="",C13=""),"Provide Required Data",SUM(E17:E26))</f>
        <v>6017.3288857935113</v>
      </c>
      <c r="H5" s="49" t="s">
        <v>15</v>
      </c>
      <c r="I5" s="49" t="s">
        <v>14</v>
      </c>
      <c r="J5" s="49" t="s">
        <v>26</v>
      </c>
      <c r="K5" s="49" t="s">
        <v>84</v>
      </c>
    </row>
    <row r="6" spans="2:11" ht="8.1" customHeight="1" x14ac:dyDescent="0.25">
      <c r="E6" s="124" t="str">
        <f>IF(OR(C9="",C10="",C11="",C12="",C13=""),"Provide Required Data",IF(E5&gt;((1+0.05)*C5),"UNDERVALUED",IF(E5&lt;((1-0.05)*C5),"OVERVALUED","FAIRLY VALUED")))</f>
        <v>OVERVALUED</v>
      </c>
      <c r="H6" s="49" t="s">
        <v>84</v>
      </c>
      <c r="I6" s="49" t="s">
        <v>15</v>
      </c>
      <c r="J6" s="49" t="s">
        <v>27</v>
      </c>
      <c r="K6" s="49" t="s">
        <v>85</v>
      </c>
    </row>
    <row r="7" spans="2:11" ht="15" customHeight="1" x14ac:dyDescent="0.25">
      <c r="B7" s="122" t="s">
        <v>109</v>
      </c>
      <c r="C7" s="123"/>
      <c r="D7" s="74" t="s">
        <v>110</v>
      </c>
      <c r="E7" s="125"/>
      <c r="H7" s="49" t="s">
        <v>85</v>
      </c>
      <c r="I7" s="73"/>
      <c r="J7" s="49" t="s">
        <v>28</v>
      </c>
      <c r="K7" s="49"/>
    </row>
    <row r="8" spans="2:11" ht="15" customHeight="1" x14ac:dyDescent="0.25">
      <c r="B8" s="40" t="s">
        <v>16</v>
      </c>
      <c r="C8" s="41">
        <f>TODAY()</f>
        <v>45980</v>
      </c>
      <c r="D8" s="41">
        <f>C8</f>
        <v>45980</v>
      </c>
      <c r="E8" s="126" t="str">
        <f>IF(OR(C9="",C10="",C11="",C12="",C13=""),"Provide Required Data","The Market Implied Fair Value of "&amp;B5&amp;" is "&amp;TEXT(ROUNDUP(E5,0),"0,000")&amp;". "&amp;B5&amp;" is  Currently Trading at "&amp;TEXT(ROUNDUP(C5,0),"0,000")&amp;". A "&amp;TEXT(ABS((C5-E5)/C5),"0.00%")&amp;IF(E6="OVERVALUED"," Correction"," Appriciation")&amp;" Expected from this Level.")</f>
        <v>The Market Implied Fair Value of S&amp;P 500 INDEX is 6,018. S&amp;P 500 INDEX is  Currently Trading at 6,618. A 9.07% Correction Expected from this Level.</v>
      </c>
      <c r="H8" s="49" t="s">
        <v>86</v>
      </c>
      <c r="I8" s="49"/>
      <c r="J8" s="49" t="s">
        <v>29</v>
      </c>
      <c r="K8" s="49"/>
    </row>
    <row r="9" spans="2:11" x14ac:dyDescent="0.25">
      <c r="B9" s="40" t="str">
        <f>"Current "&amp;D5&amp;" Level"</f>
        <v>Current SPX Level</v>
      </c>
      <c r="C9" s="42">
        <v>6617.32</v>
      </c>
      <c r="D9" s="43">
        <f>C9</f>
        <v>6617.32</v>
      </c>
      <c r="E9" s="127"/>
      <c r="H9" s="49"/>
      <c r="I9" s="49"/>
      <c r="J9" s="49" t="s">
        <v>86</v>
      </c>
    </row>
    <row r="10" spans="2:11" x14ac:dyDescent="0.25">
      <c r="B10" s="40" t="s">
        <v>111</v>
      </c>
      <c r="C10" s="44" t="s">
        <v>15</v>
      </c>
      <c r="D10" s="89">
        <f>VLOOKUP(C10,'ExpectedBB&amp;Dividends'!Q4:R14,2,FALSE)</f>
        <v>4.1998154773879623E-2</v>
      </c>
      <c r="E10" s="127"/>
    </row>
    <row r="11" spans="2:11" x14ac:dyDescent="0.25">
      <c r="B11" s="40" t="s">
        <v>112</v>
      </c>
      <c r="C11" s="44" t="s">
        <v>15</v>
      </c>
      <c r="D11" s="89">
        <f>VLOOKUP(C11,EPSGrowth!K4:L10,2,FALSE)</f>
        <v>6.6775798924209318E-2</v>
      </c>
      <c r="E11" s="127"/>
    </row>
    <row r="12" spans="2:11" x14ac:dyDescent="0.25">
      <c r="B12" s="40" t="s">
        <v>113</v>
      </c>
      <c r="C12" s="44" t="s">
        <v>86</v>
      </c>
      <c r="D12" s="89">
        <f>VLOOKUP(C12,RFRData!$M$8:$N$20,2,FALSE)</f>
        <v>4.1099999999999998E-2</v>
      </c>
      <c r="E12" s="127"/>
    </row>
    <row r="13" spans="2:11" x14ac:dyDescent="0.25">
      <c r="B13" s="40" t="s">
        <v>114</v>
      </c>
      <c r="C13" s="44" t="s">
        <v>15</v>
      </c>
      <c r="D13" s="89">
        <f>VLOOKUP(C13,ERPData!$I$4:$J$11,2,FALSE)</f>
        <v>5.4604999999999994E-2</v>
      </c>
      <c r="E13" s="127"/>
    </row>
    <row r="14" spans="2:11" x14ac:dyDescent="0.25">
      <c r="B14" s="45" t="s">
        <v>115</v>
      </c>
      <c r="C14" s="45"/>
      <c r="D14" s="88">
        <f>D12+D13</f>
        <v>9.5704999999999985E-2</v>
      </c>
      <c r="E14" s="128"/>
    </row>
    <row r="15" spans="2:11" ht="3.95" customHeight="1" x14ac:dyDescent="0.25"/>
    <row r="16" spans="2:11" ht="33" customHeight="1" x14ac:dyDescent="0.25">
      <c r="B16" s="85" t="s">
        <v>0</v>
      </c>
      <c r="C16" s="95" t="s">
        <v>116</v>
      </c>
      <c r="D16" s="86" t="s">
        <v>132</v>
      </c>
      <c r="E16" s="87" t="s">
        <v>117</v>
      </c>
      <c r="G16" s="50"/>
    </row>
    <row r="17" spans="2:12" x14ac:dyDescent="0.25">
      <c r="B17" s="46">
        <f>YEAR(C8)</f>
        <v>2025</v>
      </c>
      <c r="C17" s="76">
        <f>$D$9*$D$10*(1+$D$11)^(B17-($B$17-1))</f>
        <v>296.47324103458112</v>
      </c>
      <c r="D17" s="47">
        <f>MONTH($C$8)/12</f>
        <v>0.91666666666666663</v>
      </c>
      <c r="E17" s="76">
        <f>(C17*D17)/(1+D14)^D17</f>
        <v>249.92580542410587</v>
      </c>
      <c r="G17" s="12"/>
      <c r="H17" s="115"/>
      <c r="J17" s="54"/>
      <c r="K17" s="115"/>
      <c r="L17" s="115"/>
    </row>
    <row r="18" spans="2:12" x14ac:dyDescent="0.25">
      <c r="B18" s="46">
        <f>B17+1</f>
        <v>2026</v>
      </c>
      <c r="C18" s="76">
        <f>$D$9*$D$10*(1+$D$11)^(B18-($B$17-1))</f>
        <v>316.27047856431494</v>
      </c>
      <c r="D18" s="47">
        <f>D17+(B18-B17)</f>
        <v>1.9166666666666665</v>
      </c>
      <c r="E18" s="76">
        <f>C18/(1+$D$14)^D18</f>
        <v>265.44782574912739</v>
      </c>
      <c r="F18" s="50"/>
      <c r="G18" s="12"/>
      <c r="H18" s="115"/>
      <c r="J18" s="54"/>
      <c r="K18" s="115"/>
      <c r="L18" s="115"/>
    </row>
    <row r="19" spans="2:12" x14ac:dyDescent="0.25">
      <c r="B19" s="46">
        <f t="shared" ref="B19:B26" si="0">B18+1</f>
        <v>2027</v>
      </c>
      <c r="C19" s="76">
        <f>$D$9*$D$10*(1+$D$11)^(B19-($B$17-1))</f>
        <v>337.38969244658904</v>
      </c>
      <c r="D19" s="47">
        <f t="shared" ref="D19:D26" si="1">D18+(B19-B18)</f>
        <v>2.9166666666666665</v>
      </c>
      <c r="E19" s="76">
        <f t="shared" ref="E19:E26" si="2">C19/(1+$D$14)^D19</f>
        <v>258.43937591433792</v>
      </c>
      <c r="F19" s="50"/>
      <c r="G19" s="12"/>
      <c r="H19" s="115"/>
      <c r="J19" s="54"/>
      <c r="K19" s="115"/>
      <c r="L19" s="115"/>
    </row>
    <row r="20" spans="2:12" x14ac:dyDescent="0.25">
      <c r="B20" s="46">
        <f t="shared" si="0"/>
        <v>2028</v>
      </c>
      <c r="C20" s="76">
        <f t="shared" ref="C20:C24" si="3">$D$9*$D$10*(1+$D$11)^(B20-($B$17-1))</f>
        <v>359.91915870850329</v>
      </c>
      <c r="D20" s="47">
        <f t="shared" si="1"/>
        <v>3.9166666666666665</v>
      </c>
      <c r="E20" s="76">
        <f t="shared" si="2"/>
        <v>251.61596571567341</v>
      </c>
      <c r="F20" s="50"/>
      <c r="G20" s="12"/>
      <c r="H20" s="115"/>
      <c r="J20" s="54"/>
      <c r="K20" s="115"/>
      <c r="L20" s="115"/>
    </row>
    <row r="21" spans="2:12" ht="15" customHeight="1" x14ac:dyDescent="0.25">
      <c r="B21" s="46">
        <f t="shared" si="0"/>
        <v>2029</v>
      </c>
      <c r="C21" s="76">
        <f t="shared" si="3"/>
        <v>383.95304807939283</v>
      </c>
      <c r="D21" s="47">
        <f t="shared" si="1"/>
        <v>4.9166666666666661</v>
      </c>
      <c r="E21" s="76">
        <f t="shared" si="2"/>
        <v>244.9727096695041</v>
      </c>
      <c r="F21" s="50"/>
      <c r="G21" s="12"/>
      <c r="H21" s="115"/>
      <c r="J21" s="54"/>
      <c r="K21" s="115"/>
      <c r="L21" s="115"/>
    </row>
    <row r="22" spans="2:12" x14ac:dyDescent="0.25">
      <c r="B22" s="46">
        <f t="shared" si="0"/>
        <v>2030</v>
      </c>
      <c r="C22" s="76">
        <f t="shared" si="3"/>
        <v>409.59181961427964</v>
      </c>
      <c r="D22" s="47">
        <f t="shared" si="1"/>
        <v>5.9166666666666661</v>
      </c>
      <c r="E22" s="76">
        <f t="shared" si="2"/>
        <v>238.50485128051221</v>
      </c>
      <c r="F22" s="50"/>
      <c r="G22" s="12"/>
      <c r="H22" s="115"/>
      <c r="J22" s="54"/>
      <c r="K22" s="115"/>
      <c r="L22" s="115"/>
    </row>
    <row r="23" spans="2:12" x14ac:dyDescent="0.25">
      <c r="B23" s="46">
        <f t="shared" si="0"/>
        <v>2031</v>
      </c>
      <c r="C23" s="76">
        <f t="shared" si="3"/>
        <v>436.94264060184378</v>
      </c>
      <c r="D23" s="47">
        <f t="shared" si="1"/>
        <v>6.9166666666666661</v>
      </c>
      <c r="E23" s="76">
        <f t="shared" si="2"/>
        <v>232.2077596360956</v>
      </c>
      <c r="F23" s="50"/>
      <c r="G23" s="12"/>
      <c r="H23" s="115"/>
      <c r="J23" s="54"/>
      <c r="K23" s="115"/>
      <c r="L23" s="115"/>
    </row>
    <row r="24" spans="2:12" x14ac:dyDescent="0.25">
      <c r="B24" s="46">
        <f t="shared" si="0"/>
        <v>2032</v>
      </c>
      <c r="C24" s="76">
        <f t="shared" si="3"/>
        <v>466.11983451208556</v>
      </c>
      <c r="D24" s="47">
        <f t="shared" si="1"/>
        <v>7.9166666666666661</v>
      </c>
      <c r="E24" s="76">
        <f t="shared" si="2"/>
        <v>226.07692609068746</v>
      </c>
      <c r="F24" s="50"/>
      <c r="G24" s="12"/>
      <c r="H24" s="115"/>
      <c r="J24" s="54"/>
      <c r="K24" s="115"/>
      <c r="L24" s="115"/>
    </row>
    <row r="25" spans="2:12" x14ac:dyDescent="0.25">
      <c r="B25" s="46">
        <f t="shared" si="0"/>
        <v>2033</v>
      </c>
      <c r="C25" s="76">
        <f>$D$9*$D$10*(1+$D$11)^(B25-($B$17-1))</f>
        <v>497.2453588560503</v>
      </c>
      <c r="D25" s="47">
        <f t="shared" si="1"/>
        <v>8.9166666666666661</v>
      </c>
      <c r="E25" s="76">
        <f t="shared" si="2"/>
        <v>220.10796103761737</v>
      </c>
      <c r="F25" s="50"/>
      <c r="G25" s="12"/>
      <c r="H25" s="115"/>
      <c r="J25" s="54"/>
      <c r="K25" s="115"/>
      <c r="L25" s="115"/>
    </row>
    <row r="26" spans="2:12" x14ac:dyDescent="0.25">
      <c r="B26" s="62">
        <f t="shared" si="0"/>
        <v>2034</v>
      </c>
      <c r="C26" s="77">
        <f>C25*(1+D12)/(D14-D12)</f>
        <v>9480.4897556090837</v>
      </c>
      <c r="D26" s="48">
        <f t="shared" si="1"/>
        <v>9.9166666666666661</v>
      </c>
      <c r="E26" s="77">
        <f t="shared" si="2"/>
        <v>3830.0297052758492</v>
      </c>
      <c r="G26" s="54"/>
      <c r="H26" s="115"/>
      <c r="I26" s="115"/>
      <c r="J26" s="54"/>
      <c r="K26" s="115"/>
      <c r="L26" s="115"/>
    </row>
    <row r="27" spans="2:12" x14ac:dyDescent="0.25">
      <c r="H27" s="115"/>
      <c r="J27" s="54"/>
    </row>
    <row r="29" spans="2:12" x14ac:dyDescent="0.25">
      <c r="B29" s="63"/>
    </row>
  </sheetData>
  <mergeCells count="3">
    <mergeCell ref="B7:C7"/>
    <mergeCell ref="E6:E7"/>
    <mergeCell ref="E8:E14"/>
  </mergeCells>
  <conditionalFormatting sqref="E6:E7">
    <cfRule type="containsText" dxfId="2" priority="1" operator="containsText" text="FAIRLY VALUED">
      <formula>NOT(ISERROR(SEARCH("FAIRLY VALUED",E6)))</formula>
    </cfRule>
    <cfRule type="containsText" dxfId="1" priority="2" operator="containsText" text="OVERVALUED">
      <formula>NOT(ISERROR(SEARCH("OVERVALUED",E6)))</formula>
    </cfRule>
    <cfRule type="containsText" dxfId="0" priority="3" operator="containsText" text="UNDERVALUED">
      <formula>NOT(ISERROR(SEARCH("UNDERVALUED",E6)))</formula>
    </cfRule>
  </conditionalFormatting>
  <dataValidations count="4">
    <dataValidation type="list" allowBlank="1" showInputMessage="1" showErrorMessage="1" sqref="C12" xr:uid="{1BD20D60-772E-4C57-9FDC-CA28B65CC4EE}">
      <formula1>$J$3:$J$9</formula1>
    </dataValidation>
    <dataValidation type="list" allowBlank="1" showInputMessage="1" showErrorMessage="1" sqref="C11" xr:uid="{24032FA8-882E-411E-BA6E-C9C67A91243B}">
      <formula1>$I$3:$I$6</formula1>
    </dataValidation>
    <dataValidation type="list" allowBlank="1" showInputMessage="1" showErrorMessage="1" sqref="C10" xr:uid="{E319EEEE-4268-481F-A090-43C55F467A55}">
      <formula1>$H$3:$H$8</formula1>
    </dataValidation>
    <dataValidation type="list" allowBlank="1" showInputMessage="1" showErrorMessage="1" sqref="C13" xr:uid="{E5D8C26D-B7D8-491A-B8F2-E8FDAFB71DB0}">
      <formula1>$K$2:$K$6</formula1>
    </dataValidation>
  </dataValidations>
  <pageMargins left="0.7" right="0.7" top="0.75" bottom="0.75" header="0.3" footer="0.3"/>
  <pageSetup scale="83" orientation="portrait" r:id="rId1"/>
  <colBreaks count="1" manualBreakCount="1">
    <brk id="6"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A98B2-98BF-4619-8200-29678AD53B26}">
  <dimension ref="A2:G25"/>
  <sheetViews>
    <sheetView showGridLines="0" tabSelected="1" workbookViewId="0">
      <selection activeCell="E4" sqref="E4"/>
    </sheetView>
  </sheetViews>
  <sheetFormatPr defaultRowHeight="15" x14ac:dyDescent="0.25"/>
  <cols>
    <col min="1" max="1" width="1.85546875" customWidth="1"/>
    <col min="2" max="5" width="27.5703125" customWidth="1"/>
    <col min="7" max="7" width="10.42578125" bestFit="1" customWidth="1"/>
  </cols>
  <sheetData>
    <row r="2" spans="1:5" ht="23.25" x14ac:dyDescent="0.35">
      <c r="B2" s="106" t="s">
        <v>129</v>
      </c>
      <c r="C2" s="93"/>
      <c r="D2" s="94"/>
      <c r="E2" s="92"/>
    </row>
    <row r="3" spans="1:5" ht="15" customHeight="1" x14ac:dyDescent="0.25">
      <c r="B3" s="83" t="s">
        <v>105</v>
      </c>
      <c r="C3" s="84" t="s">
        <v>106</v>
      </c>
      <c r="D3" s="83" t="s">
        <v>107</v>
      </c>
      <c r="E3" s="83" t="s">
        <v>108</v>
      </c>
    </row>
    <row r="4" spans="1:5" ht="18.95" customHeight="1" x14ac:dyDescent="0.3">
      <c r="B4" s="90" t="s">
        <v>121</v>
      </c>
      <c r="C4" s="91">
        <f>IntrinsicValue!C9</f>
        <v>6617.32</v>
      </c>
      <c r="D4" s="82" t="s">
        <v>122</v>
      </c>
      <c r="E4" s="75">
        <f>SUM(E15:E24)</f>
        <v>6617.3200240498618</v>
      </c>
    </row>
    <row r="5" spans="1:5" ht="15" customHeight="1" x14ac:dyDescent="0.25">
      <c r="C5" s="56"/>
    </row>
    <row r="6" spans="1:5" x14ac:dyDescent="0.25">
      <c r="B6" s="100" t="str">
        <f>IntrinsicValue!B12</f>
        <v>Risk-Free Rate</v>
      </c>
      <c r="C6" s="101">
        <f>IntrinsicValue!D12</f>
        <v>4.1099999999999998E-2</v>
      </c>
    </row>
    <row r="7" spans="1:5" x14ac:dyDescent="0.25">
      <c r="B7" s="102" t="str">
        <f>IntrinsicValue!B13</f>
        <v>Equity Risk Premium</v>
      </c>
      <c r="C7" s="103">
        <f>IntrinsicValue!D13</f>
        <v>5.4604999999999994E-2</v>
      </c>
    </row>
    <row r="8" spans="1:5" x14ac:dyDescent="0.25">
      <c r="B8" s="104" t="s">
        <v>131</v>
      </c>
      <c r="C8" s="105">
        <f>C6+C7</f>
        <v>9.5704999999999985E-2</v>
      </c>
    </row>
    <row r="9" spans="1:5" x14ac:dyDescent="0.25">
      <c r="C9" s="55"/>
    </row>
    <row r="10" spans="1:5" x14ac:dyDescent="0.25">
      <c r="B10" s="33" t="s">
        <v>124</v>
      </c>
      <c r="C10" s="99">
        <v>8.2919700924157957E-2</v>
      </c>
      <c r="D10" t="s">
        <v>130</v>
      </c>
    </row>
    <row r="11" spans="1:5" ht="3.95" customHeight="1" x14ac:dyDescent="0.25">
      <c r="B11" s="33"/>
      <c r="C11" s="61"/>
    </row>
    <row r="12" spans="1:5" x14ac:dyDescent="0.25">
      <c r="B12" s="33" t="s">
        <v>102</v>
      </c>
      <c r="C12" s="81">
        <f>C10-C6</f>
        <v>4.181970092415796E-2</v>
      </c>
    </row>
    <row r="14" spans="1:5" x14ac:dyDescent="0.25">
      <c r="B14" s="85" t="s">
        <v>125</v>
      </c>
      <c r="C14" s="95" t="s">
        <v>126</v>
      </c>
      <c r="D14" s="86" t="s">
        <v>132</v>
      </c>
      <c r="E14" s="87" t="s">
        <v>127</v>
      </c>
    </row>
    <row r="15" spans="1:5" x14ac:dyDescent="0.25">
      <c r="B15" s="46">
        <v>1</v>
      </c>
      <c r="C15" s="76">
        <f>IntrinsicValue!C17</f>
        <v>296.47324103458112</v>
      </c>
      <c r="D15" s="47">
        <f>IntrinsicValue!D17</f>
        <v>0.91666666666666663</v>
      </c>
      <c r="E15" s="76">
        <f>(C15*D15)/(1+C10)^D15</f>
        <v>252.62929305569503</v>
      </c>
    </row>
    <row r="16" spans="1:5" x14ac:dyDescent="0.25">
      <c r="A16" s="52"/>
      <c r="B16" s="46">
        <f>B15+1</f>
        <v>2</v>
      </c>
      <c r="C16" s="76">
        <f>IntrinsicValue!C18</f>
        <v>316.27047856431494</v>
      </c>
      <c r="D16" s="47">
        <f>IntrinsicValue!D18</f>
        <v>1.9166666666666665</v>
      </c>
      <c r="E16" s="76">
        <f>C16/(1+$C$10)^D16</f>
        <v>271.48708074811765</v>
      </c>
    </row>
    <row r="17" spans="2:7" x14ac:dyDescent="0.25">
      <c r="B17" s="46">
        <f t="shared" ref="B17:B23" si="0">B16+1</f>
        <v>3</v>
      </c>
      <c r="C17" s="76">
        <f>IntrinsicValue!C19</f>
        <v>337.38969244658904</v>
      </c>
      <c r="D17" s="47">
        <f>IntrinsicValue!D19</f>
        <v>2.9166666666666665</v>
      </c>
      <c r="E17" s="76">
        <f>C17/(1+$C$10)^D17</f>
        <v>267.43981775889551</v>
      </c>
    </row>
    <row r="18" spans="2:7" x14ac:dyDescent="0.25">
      <c r="B18" s="46">
        <f t="shared" si="0"/>
        <v>4</v>
      </c>
      <c r="C18" s="76">
        <f>IntrinsicValue!C20</f>
        <v>359.91915870850329</v>
      </c>
      <c r="D18" s="47">
        <f>IntrinsicValue!D20</f>
        <v>3.9166666666666665</v>
      </c>
      <c r="E18" s="76">
        <f t="shared" ref="E18:E24" si="1">C18/(1+$C$10)^D18</f>
        <v>263.45289037628424</v>
      </c>
    </row>
    <row r="19" spans="2:7" x14ac:dyDescent="0.25">
      <c r="B19" s="46">
        <f t="shared" si="0"/>
        <v>5</v>
      </c>
      <c r="C19" s="76">
        <f>IntrinsicValue!C21</f>
        <v>383.95304807939283</v>
      </c>
      <c r="D19" s="47">
        <f>IntrinsicValue!D21</f>
        <v>4.9166666666666661</v>
      </c>
      <c r="E19" s="76">
        <f t="shared" si="1"/>
        <v>259.52539913181954</v>
      </c>
      <c r="G19" s="97"/>
    </row>
    <row r="20" spans="2:7" x14ac:dyDescent="0.25">
      <c r="B20" s="46">
        <f t="shared" si="0"/>
        <v>6</v>
      </c>
      <c r="C20" s="76">
        <f>IntrinsicValue!C22</f>
        <v>409.59181961427964</v>
      </c>
      <c r="D20" s="47">
        <f>IntrinsicValue!D22</f>
        <v>5.9166666666666661</v>
      </c>
      <c r="E20" s="76">
        <f t="shared" si="1"/>
        <v>255.65645796609306</v>
      </c>
    </row>
    <row r="21" spans="2:7" x14ac:dyDescent="0.25">
      <c r="B21" s="46">
        <f t="shared" si="0"/>
        <v>7</v>
      </c>
      <c r="C21" s="76">
        <f>IntrinsicValue!C23</f>
        <v>436.94264060184378</v>
      </c>
      <c r="D21" s="47">
        <f>IntrinsicValue!D23</f>
        <v>6.9166666666666661</v>
      </c>
      <c r="E21" s="76">
        <f t="shared" si="1"/>
        <v>251.8451940288534</v>
      </c>
    </row>
    <row r="22" spans="2:7" x14ac:dyDescent="0.25">
      <c r="B22" s="46">
        <f t="shared" si="0"/>
        <v>8</v>
      </c>
      <c r="C22" s="76">
        <f>IntrinsicValue!C24</f>
        <v>466.11983451208556</v>
      </c>
      <c r="D22" s="47">
        <f>IntrinsicValue!D24</f>
        <v>7.9166666666666661</v>
      </c>
      <c r="E22" s="76">
        <f t="shared" si="1"/>
        <v>248.09074748208712</v>
      </c>
    </row>
    <row r="23" spans="2:7" x14ac:dyDescent="0.25">
      <c r="B23" s="46">
        <f t="shared" si="0"/>
        <v>9</v>
      </c>
      <c r="C23" s="76">
        <f>IntrinsicValue!C25</f>
        <v>497.2453588560503</v>
      </c>
      <c r="D23" s="47">
        <f>IntrinsicValue!D25</f>
        <v>8.9166666666666661</v>
      </c>
      <c r="E23" s="76">
        <f t="shared" si="1"/>
        <v>244.39227130603558</v>
      </c>
    </row>
    <row r="24" spans="2:7" x14ac:dyDescent="0.25">
      <c r="B24" s="62">
        <f>B23+1</f>
        <v>10</v>
      </c>
      <c r="C24" s="77">
        <f>IntrinsicValue!C26</f>
        <v>9480.4897556090837</v>
      </c>
      <c r="D24" s="48">
        <f>IntrinsicValue!D26</f>
        <v>9.9166666666666661</v>
      </c>
      <c r="E24" s="76">
        <f t="shared" si="1"/>
        <v>4302.8008721959804</v>
      </c>
    </row>
    <row r="25" spans="2:7" x14ac:dyDescent="0.25">
      <c r="E25" s="107"/>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746AF-7ADC-44C9-8043-BC6DDCB3DEDA}">
  <sheetPr>
    <tabColor rgb="FFD6002A"/>
  </sheetPr>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9646-AC65-4636-8A02-4C69B5BDBFBF}">
  <dimension ref="B2:R68"/>
  <sheetViews>
    <sheetView showGridLines="0" workbookViewId="0">
      <selection activeCell="H3" sqref="H3"/>
    </sheetView>
  </sheetViews>
  <sheetFormatPr defaultRowHeight="15" x14ac:dyDescent="0.25"/>
  <cols>
    <col min="1" max="1" width="1.85546875" customWidth="1"/>
    <col min="3" max="3" width="12.42578125" bestFit="1" customWidth="1"/>
    <col min="4" max="4" width="17.7109375" bestFit="1" customWidth="1"/>
    <col min="5" max="5" width="16.7109375" bestFit="1" customWidth="1"/>
    <col min="6" max="6" width="5.7109375" customWidth="1"/>
    <col min="8" max="8" width="12.42578125" bestFit="1" customWidth="1"/>
    <col min="9" max="9" width="16.85546875" bestFit="1" customWidth="1"/>
    <col min="10" max="10" width="14.140625" bestFit="1" customWidth="1"/>
    <col min="11" max="11" width="5.7109375" customWidth="1"/>
    <col min="13" max="13" width="13.28515625" bestFit="1" customWidth="1"/>
    <col min="14" max="14" width="18.5703125" bestFit="1" customWidth="1"/>
    <col min="16" max="16" width="29.7109375" bestFit="1" customWidth="1"/>
    <col min="17" max="17" width="6.28515625" bestFit="1" customWidth="1"/>
  </cols>
  <sheetData>
    <row r="2" spans="2:18" x14ac:dyDescent="0.25">
      <c r="B2" s="33" t="s">
        <v>93</v>
      </c>
      <c r="G2" s="33" t="s">
        <v>94</v>
      </c>
      <c r="L2" s="33" t="s">
        <v>97</v>
      </c>
    </row>
    <row r="3" spans="2:18" x14ac:dyDescent="0.25">
      <c r="B3" s="78" t="s">
        <v>0</v>
      </c>
      <c r="C3" s="79" t="s">
        <v>92</v>
      </c>
      <c r="D3" s="80" t="s">
        <v>91</v>
      </c>
      <c r="E3" s="78" t="s">
        <v>5</v>
      </c>
      <c r="F3" s="22"/>
      <c r="G3" s="78" t="s">
        <v>0</v>
      </c>
      <c r="H3" s="79" t="s">
        <v>92</v>
      </c>
      <c r="I3" s="80" t="s">
        <v>96</v>
      </c>
      <c r="J3" s="78" t="s">
        <v>95</v>
      </c>
      <c r="L3" s="78" t="s">
        <v>0</v>
      </c>
      <c r="M3" s="79" t="s">
        <v>90</v>
      </c>
      <c r="N3" s="79" t="s">
        <v>98</v>
      </c>
    </row>
    <row r="4" spans="2:18" x14ac:dyDescent="0.25">
      <c r="B4" s="32">
        <v>2001</v>
      </c>
      <c r="C4" s="57">
        <f>'s&amp;pAllData'!C44</f>
        <v>1148.0899999999999</v>
      </c>
      <c r="D4" s="55">
        <f>'s&amp;pAllData'!F44</f>
        <v>1.37E-2</v>
      </c>
      <c r="E4" s="3">
        <f t="shared" ref="E4:E12" si="0">D4*C4</f>
        <v>15.728833</v>
      </c>
      <c r="F4" s="3"/>
      <c r="G4">
        <v>2001</v>
      </c>
      <c r="H4" s="56">
        <f>'s&amp;pAllData'!C44</f>
        <v>1148.0899999999999</v>
      </c>
      <c r="I4" s="58">
        <f>'s&amp;pAllData'!I44</f>
        <v>14.351166999999998</v>
      </c>
      <c r="J4" s="14">
        <f>I4/H4</f>
        <v>1.2500036582497888E-2</v>
      </c>
      <c r="L4">
        <f>G4</f>
        <v>2001</v>
      </c>
      <c r="M4" s="3">
        <f>I4+E4</f>
        <v>30.08</v>
      </c>
      <c r="N4" s="14">
        <f>M4/H4</f>
        <v>2.620003658249789E-2</v>
      </c>
      <c r="P4" s="78" t="s">
        <v>99</v>
      </c>
      <c r="Q4" s="78" t="s">
        <v>82</v>
      </c>
      <c r="R4" s="20">
        <f>AVERAGE(N8:N27)</f>
        <v>4.7254654502234102E-2</v>
      </c>
    </row>
    <row r="5" spans="2:18" x14ac:dyDescent="0.25">
      <c r="B5" s="32">
        <f t="shared" ref="B5:B27" si="1">B4+1</f>
        <v>2002</v>
      </c>
      <c r="C5" s="57">
        <f>'s&amp;pAllData'!C45</f>
        <v>879.82</v>
      </c>
      <c r="D5" s="55">
        <f>'s&amp;pAllData'!F45</f>
        <v>1.8100000000000002E-2</v>
      </c>
      <c r="E5" s="3">
        <f t="shared" si="0"/>
        <v>15.924742000000002</v>
      </c>
      <c r="F5" s="3"/>
      <c r="G5">
        <f>G4+1</f>
        <v>2002</v>
      </c>
      <c r="H5" s="56">
        <f>'s&amp;pAllData'!C45</f>
        <v>879.82</v>
      </c>
      <c r="I5" s="58">
        <f>'s&amp;pAllData'!I45</f>
        <v>13.905257999999996</v>
      </c>
      <c r="J5" s="14">
        <f t="shared" ref="J5:J27" si="2">I5/H5</f>
        <v>1.5804662317292169E-2</v>
      </c>
      <c r="L5">
        <f t="shared" ref="L5:L27" si="3">G5</f>
        <v>2002</v>
      </c>
      <c r="M5" s="3">
        <f t="shared" ref="M5:M27" si="4">I5+E5</f>
        <v>29.83</v>
      </c>
      <c r="N5" s="14">
        <f t="shared" ref="N5:N27" si="5">M5/H5</f>
        <v>3.3904662317292167E-2</v>
      </c>
    </row>
    <row r="6" spans="2:18" x14ac:dyDescent="0.25">
      <c r="B6" s="32">
        <f t="shared" si="1"/>
        <v>2003</v>
      </c>
      <c r="C6" s="57">
        <f>'s&amp;pAllData'!C46</f>
        <v>1111.9100000000001</v>
      </c>
      <c r="D6" s="55">
        <f>'s&amp;pAllData'!F46</f>
        <v>1.61E-2</v>
      </c>
      <c r="E6" s="3">
        <f t="shared" si="0"/>
        <v>17.901751000000001</v>
      </c>
      <c r="F6" s="3"/>
      <c r="G6">
        <f t="shared" ref="G6:G27" si="6">G5+1</f>
        <v>2003</v>
      </c>
      <c r="H6" s="56">
        <f>'s&amp;pAllData'!C46</f>
        <v>1111.9100000000001</v>
      </c>
      <c r="I6" s="58">
        <f>'s&amp;pAllData'!I46</f>
        <v>13.678248999999997</v>
      </c>
      <c r="J6" s="14">
        <f t="shared" si="2"/>
        <v>1.2301579264508814E-2</v>
      </c>
      <c r="L6">
        <f t="shared" si="3"/>
        <v>2003</v>
      </c>
      <c r="M6" s="3">
        <f t="shared" si="4"/>
        <v>31.58</v>
      </c>
      <c r="N6" s="14">
        <f t="shared" si="5"/>
        <v>2.8401579264508814E-2</v>
      </c>
      <c r="P6" s="78" t="s">
        <v>99</v>
      </c>
      <c r="Q6" s="78" t="s">
        <v>83</v>
      </c>
      <c r="R6" s="20">
        <f>AVERAGE(N13:N27)</f>
        <v>4.4749679422568994E-2</v>
      </c>
    </row>
    <row r="7" spans="2:18" x14ac:dyDescent="0.25">
      <c r="B7" s="32">
        <f t="shared" si="1"/>
        <v>2004</v>
      </c>
      <c r="C7" s="57">
        <f>'s&amp;pAllData'!C47</f>
        <v>1211.92</v>
      </c>
      <c r="D7" s="55">
        <f>'s&amp;pAllData'!F47</f>
        <v>1.5699999999999999E-2</v>
      </c>
      <c r="E7" s="3">
        <f t="shared" si="0"/>
        <v>19.027144</v>
      </c>
      <c r="F7" s="3"/>
      <c r="G7">
        <f t="shared" si="6"/>
        <v>2004</v>
      </c>
      <c r="H7" s="56">
        <f>'s&amp;pAllData'!C47</f>
        <v>1211.92</v>
      </c>
      <c r="I7" s="58">
        <f>'s&amp;pAllData'!I47</f>
        <v>21.572856000000002</v>
      </c>
      <c r="J7" s="14">
        <f t="shared" si="2"/>
        <v>1.7800561093141463E-2</v>
      </c>
      <c r="L7">
        <f t="shared" si="3"/>
        <v>2004</v>
      </c>
      <c r="M7" s="3">
        <f t="shared" si="4"/>
        <v>40.6</v>
      </c>
      <c r="N7" s="14">
        <f t="shared" si="5"/>
        <v>3.3500561093141458E-2</v>
      </c>
      <c r="P7" s="22"/>
      <c r="Q7" s="22"/>
      <c r="R7" s="2"/>
    </row>
    <row r="8" spans="2:18" x14ac:dyDescent="0.25">
      <c r="B8" s="32">
        <f t="shared" si="1"/>
        <v>2005</v>
      </c>
      <c r="C8" s="57">
        <f>'s&amp;pAllData'!C48</f>
        <v>1248.29</v>
      </c>
      <c r="D8" s="55">
        <f>'s&amp;pAllData'!F48</f>
        <v>1.7899999999999999E-2</v>
      </c>
      <c r="E8" s="3">
        <f t="shared" si="0"/>
        <v>22.344390999999998</v>
      </c>
      <c r="F8" s="3"/>
      <c r="G8">
        <f t="shared" si="6"/>
        <v>2005</v>
      </c>
      <c r="H8" s="56">
        <f>'s&amp;pAllData'!C48</f>
        <v>1248.29</v>
      </c>
      <c r="I8" s="58">
        <f>'s&amp;pAllData'!I48</f>
        <v>38.825609</v>
      </c>
      <c r="J8" s="14">
        <f t="shared" si="2"/>
        <v>3.1103036153457931E-2</v>
      </c>
      <c r="L8">
        <f t="shared" si="3"/>
        <v>2005</v>
      </c>
      <c r="M8" s="3">
        <f t="shared" si="4"/>
        <v>61.17</v>
      </c>
      <c r="N8" s="14">
        <f t="shared" si="5"/>
        <v>4.9003036153457934E-2</v>
      </c>
      <c r="P8" s="78" t="s">
        <v>99</v>
      </c>
      <c r="Q8" s="78" t="s">
        <v>15</v>
      </c>
      <c r="R8" s="20">
        <f>AVERAGE(N18:N27)</f>
        <v>4.1998154773879623E-2</v>
      </c>
    </row>
    <row r="9" spans="2:18" x14ac:dyDescent="0.25">
      <c r="B9" s="32">
        <f t="shared" si="1"/>
        <v>2006</v>
      </c>
      <c r="C9" s="57">
        <f>'s&amp;pAllData'!C49</f>
        <v>1418.3</v>
      </c>
      <c r="D9" s="55">
        <f>'s&amp;pAllData'!F49</f>
        <v>1.77E-2</v>
      </c>
      <c r="E9" s="3">
        <f t="shared" si="0"/>
        <v>25.103909999999999</v>
      </c>
      <c r="F9" s="3"/>
      <c r="G9">
        <f t="shared" si="6"/>
        <v>2006</v>
      </c>
      <c r="H9" s="56">
        <f>'s&amp;pAllData'!C49</f>
        <v>1418.3</v>
      </c>
      <c r="I9" s="58">
        <f>'s&amp;pAllData'!I49</f>
        <v>48.056089999999998</v>
      </c>
      <c r="J9" s="14">
        <f t="shared" si="2"/>
        <v>3.3882880913770008E-2</v>
      </c>
      <c r="L9">
        <f t="shared" si="3"/>
        <v>2006</v>
      </c>
      <c r="M9" s="3">
        <f t="shared" si="4"/>
        <v>73.16</v>
      </c>
      <c r="N9" s="14">
        <f t="shared" si="5"/>
        <v>5.1582880913770009E-2</v>
      </c>
      <c r="P9" s="22"/>
      <c r="Q9" s="22"/>
    </row>
    <row r="10" spans="2:18" x14ac:dyDescent="0.25">
      <c r="B10" s="32">
        <f t="shared" si="1"/>
        <v>2007</v>
      </c>
      <c r="C10" s="57">
        <f>'s&amp;pAllData'!C50</f>
        <v>1468.36</v>
      </c>
      <c r="D10" s="55">
        <f>'s&amp;pAllData'!F50</f>
        <v>1.9199999999999998E-2</v>
      </c>
      <c r="E10" s="3">
        <f t="shared" si="0"/>
        <v>28.192511999999997</v>
      </c>
      <c r="F10" s="3"/>
      <c r="G10">
        <f t="shared" si="6"/>
        <v>2007</v>
      </c>
      <c r="H10" s="56">
        <f>'s&amp;pAllData'!C50</f>
        <v>1468.36</v>
      </c>
      <c r="I10" s="58">
        <f>'s&amp;pAllData'!I50</f>
        <v>67.167488000000006</v>
      </c>
      <c r="J10" s="14">
        <f t="shared" si="2"/>
        <v>4.5743201939578856E-2</v>
      </c>
      <c r="L10">
        <f t="shared" si="3"/>
        <v>2007</v>
      </c>
      <c r="M10" s="3">
        <f t="shared" si="4"/>
        <v>95.36</v>
      </c>
      <c r="N10" s="14">
        <f t="shared" si="5"/>
        <v>6.4943201939578851E-2</v>
      </c>
      <c r="P10" s="78" t="s">
        <v>99</v>
      </c>
      <c r="Q10" s="78" t="s">
        <v>84</v>
      </c>
      <c r="R10" s="20">
        <f>AVERAGE(N21:N27)</f>
        <v>3.9861957929881273E-2</v>
      </c>
    </row>
    <row r="11" spans="2:18" x14ac:dyDescent="0.25">
      <c r="B11" s="32">
        <f t="shared" si="1"/>
        <v>2008</v>
      </c>
      <c r="C11" s="57">
        <f>'s&amp;pAllData'!C51</f>
        <v>903.25</v>
      </c>
      <c r="D11" s="55">
        <f>'s&amp;pAllData'!F51</f>
        <v>3.15E-2</v>
      </c>
      <c r="E11" s="3">
        <f t="shared" si="0"/>
        <v>28.452375</v>
      </c>
      <c r="F11" s="3"/>
      <c r="G11">
        <f t="shared" si="6"/>
        <v>2008</v>
      </c>
      <c r="H11" s="56">
        <f>'s&amp;pAllData'!C51</f>
        <v>903.25</v>
      </c>
      <c r="I11" s="58">
        <f>'s&amp;pAllData'!I51</f>
        <v>39.067624999999992</v>
      </c>
      <c r="J11" s="14">
        <f t="shared" si="2"/>
        <v>4.3252283420979788E-2</v>
      </c>
      <c r="L11">
        <f t="shared" si="3"/>
        <v>2008</v>
      </c>
      <c r="M11" s="3">
        <f t="shared" si="4"/>
        <v>67.52</v>
      </c>
      <c r="N11" s="14">
        <f t="shared" si="5"/>
        <v>7.4752283420979795E-2</v>
      </c>
    </row>
    <row r="12" spans="2:18" x14ac:dyDescent="0.25">
      <c r="B12" s="32">
        <f t="shared" si="1"/>
        <v>2009</v>
      </c>
      <c r="C12" s="57">
        <f>'s&amp;pAllData'!C52</f>
        <v>1115.0999999999999</v>
      </c>
      <c r="D12" s="55">
        <f>'s&amp;pAllData'!F52</f>
        <v>1.9699999999999999E-2</v>
      </c>
      <c r="E12" s="3">
        <f t="shared" si="0"/>
        <v>21.967469999999995</v>
      </c>
      <c r="F12" s="3"/>
      <c r="G12">
        <f t="shared" si="6"/>
        <v>2009</v>
      </c>
      <c r="H12" s="56">
        <f>'s&amp;pAllData'!C52</f>
        <v>1115.0999999999999</v>
      </c>
      <c r="I12" s="58">
        <f>'s&amp;pAllData'!I52</f>
        <v>15.462530000000005</v>
      </c>
      <c r="J12" s="14">
        <f t="shared" si="2"/>
        <v>1.3866496278360691E-2</v>
      </c>
      <c r="L12">
        <f t="shared" si="3"/>
        <v>2009</v>
      </c>
      <c r="M12" s="3">
        <f t="shared" si="4"/>
        <v>37.43</v>
      </c>
      <c r="N12" s="14">
        <f t="shared" si="5"/>
        <v>3.356649627836069E-2</v>
      </c>
      <c r="P12" s="78" t="s">
        <v>99</v>
      </c>
      <c r="Q12" s="78" t="s">
        <v>85</v>
      </c>
      <c r="R12" s="20">
        <f>AVERAGE(N23:N27)</f>
        <v>3.5587977321801703E-2</v>
      </c>
    </row>
    <row r="13" spans="2:18" x14ac:dyDescent="0.25">
      <c r="B13" s="32">
        <f t="shared" si="1"/>
        <v>2010</v>
      </c>
      <c r="C13" s="57">
        <f>'s&amp;pAllData'!C53</f>
        <v>1257.6400000000001</v>
      </c>
      <c r="D13" s="55">
        <f>'s&amp;pAllData'!F53</f>
        <v>1.7999999999999999E-2</v>
      </c>
      <c r="E13" s="3">
        <f t="shared" ref="E13:E27" si="7">D13*C13</f>
        <v>22.637519999999999</v>
      </c>
      <c r="F13" s="3"/>
      <c r="G13">
        <f t="shared" si="6"/>
        <v>2010</v>
      </c>
      <c r="H13" s="56">
        <f>'s&amp;pAllData'!C53</f>
        <v>1257.6400000000001</v>
      </c>
      <c r="I13" s="58">
        <f>'s&amp;pAllData'!I53</f>
        <v>32.892480000000006</v>
      </c>
      <c r="J13" s="14">
        <f>I13/H13</f>
        <v>2.6154129957698551E-2</v>
      </c>
      <c r="L13">
        <f t="shared" si="3"/>
        <v>2010</v>
      </c>
      <c r="M13" s="3">
        <f t="shared" si="4"/>
        <v>55.53</v>
      </c>
      <c r="N13" s="14">
        <f t="shared" si="5"/>
        <v>4.4154129957698546E-2</v>
      </c>
    </row>
    <row r="14" spans="2:18" x14ac:dyDescent="0.25">
      <c r="B14" s="32">
        <f t="shared" si="1"/>
        <v>2011</v>
      </c>
      <c r="C14" s="57">
        <f>'s&amp;pAllData'!C54</f>
        <v>1257.5999999999999</v>
      </c>
      <c r="D14" s="55">
        <f>'s&amp;pAllData'!F54</f>
        <v>2.1100000000000001E-2</v>
      </c>
      <c r="E14" s="3">
        <f t="shared" si="7"/>
        <v>26.535360000000001</v>
      </c>
      <c r="F14" s="3"/>
      <c r="G14">
        <f t="shared" si="6"/>
        <v>2011</v>
      </c>
      <c r="H14" s="56">
        <f>'s&amp;pAllData'!C54</f>
        <v>1257.5999999999999</v>
      </c>
      <c r="I14" s="58">
        <f>'s&amp;pAllData'!I54</f>
        <v>44.744640000000004</v>
      </c>
      <c r="J14" s="14">
        <f t="shared" si="2"/>
        <v>3.5579389312977105E-2</v>
      </c>
      <c r="L14">
        <f t="shared" si="3"/>
        <v>2011</v>
      </c>
      <c r="M14" s="3">
        <f t="shared" si="4"/>
        <v>71.28</v>
      </c>
      <c r="N14" s="14">
        <f t="shared" si="5"/>
        <v>5.6679389312977106E-2</v>
      </c>
      <c r="P14" s="78" t="s">
        <v>99</v>
      </c>
      <c r="Q14" s="78" t="s">
        <v>86</v>
      </c>
      <c r="R14" s="20">
        <f>N27</f>
        <v>3.1079819709842339E-2</v>
      </c>
    </row>
    <row r="15" spans="2:18" x14ac:dyDescent="0.25">
      <c r="B15" s="32">
        <f t="shared" si="1"/>
        <v>2012</v>
      </c>
      <c r="C15" s="57">
        <f>'s&amp;pAllData'!C55</f>
        <v>1426.19</v>
      </c>
      <c r="D15" s="55">
        <f>'s&amp;pAllData'!F55</f>
        <v>2.1899999999999999E-2</v>
      </c>
      <c r="E15" s="3">
        <f t="shared" si="7"/>
        <v>31.233561000000002</v>
      </c>
      <c r="F15" s="3"/>
      <c r="G15">
        <f t="shared" si="6"/>
        <v>2012</v>
      </c>
      <c r="H15" s="56">
        <f>'s&amp;pAllData'!C55</f>
        <v>1426.19</v>
      </c>
      <c r="I15" s="58">
        <f>'s&amp;pAllData'!I55</f>
        <v>44.666439000000004</v>
      </c>
      <c r="J15" s="14">
        <f t="shared" si="2"/>
        <v>3.1318715598903375E-2</v>
      </c>
      <c r="L15">
        <f t="shared" si="3"/>
        <v>2012</v>
      </c>
      <c r="M15" s="3">
        <f t="shared" si="4"/>
        <v>75.900000000000006</v>
      </c>
      <c r="N15" s="14">
        <f t="shared" si="5"/>
        <v>5.3218715598903371E-2</v>
      </c>
    </row>
    <row r="16" spans="2:18" x14ac:dyDescent="0.25">
      <c r="B16" s="32">
        <f t="shared" si="1"/>
        <v>2013</v>
      </c>
      <c r="C16" s="57">
        <f>'s&amp;pAllData'!C56</f>
        <v>1848.36</v>
      </c>
      <c r="D16" s="55">
        <f>'s&amp;pAllData'!F56</f>
        <v>1.89E-2</v>
      </c>
      <c r="E16" s="3">
        <f t="shared" si="7"/>
        <v>34.934004000000002</v>
      </c>
      <c r="F16" s="3"/>
      <c r="G16">
        <f t="shared" si="6"/>
        <v>2013</v>
      </c>
      <c r="H16" s="56">
        <f>'s&amp;pAllData'!C56</f>
        <v>1848.36</v>
      </c>
      <c r="I16" s="58">
        <f>'s&amp;pAllData'!I56</f>
        <v>53.195995999999994</v>
      </c>
      <c r="J16" s="14">
        <f t="shared" si="2"/>
        <v>2.878010560713281E-2</v>
      </c>
      <c r="L16">
        <f t="shared" si="3"/>
        <v>2013</v>
      </c>
      <c r="M16" s="3">
        <f t="shared" si="4"/>
        <v>88.13</v>
      </c>
      <c r="N16" s="14">
        <f t="shared" si="5"/>
        <v>4.768010560713281E-2</v>
      </c>
    </row>
    <row r="17" spans="2:14" x14ac:dyDescent="0.25">
      <c r="B17" s="32">
        <f t="shared" si="1"/>
        <v>2014</v>
      </c>
      <c r="C17" s="57">
        <f>'s&amp;pAllData'!C57</f>
        <v>2058.9</v>
      </c>
      <c r="D17" s="55">
        <f>'s&amp;pAllData'!F57</f>
        <v>1.9199999999999998E-2</v>
      </c>
      <c r="E17" s="3">
        <f t="shared" si="7"/>
        <v>39.530879999999996</v>
      </c>
      <c r="F17" s="3"/>
      <c r="G17">
        <f t="shared" si="6"/>
        <v>2014</v>
      </c>
      <c r="H17" s="56">
        <f>'s&amp;pAllData'!C57</f>
        <v>2058.9</v>
      </c>
      <c r="I17" s="58">
        <f>'s&amp;pAllData'!I57</f>
        <v>62.449120000000008</v>
      </c>
      <c r="J17" s="14">
        <f t="shared" si="2"/>
        <v>3.033130312302686E-2</v>
      </c>
      <c r="L17">
        <f t="shared" si="3"/>
        <v>2014</v>
      </c>
      <c r="M17" s="3">
        <f t="shared" si="4"/>
        <v>101.98</v>
      </c>
      <c r="N17" s="14">
        <f t="shared" si="5"/>
        <v>4.9531303123026858E-2</v>
      </c>
    </row>
    <row r="18" spans="2:14" x14ac:dyDescent="0.25">
      <c r="B18" s="32">
        <f t="shared" si="1"/>
        <v>2015</v>
      </c>
      <c r="C18" s="57">
        <f>'s&amp;pAllData'!C58</f>
        <v>2043.94</v>
      </c>
      <c r="D18" s="55">
        <f>'s&amp;pAllData'!F58</f>
        <v>2.12E-2</v>
      </c>
      <c r="E18" s="3">
        <f t="shared" si="7"/>
        <v>43.331527999999999</v>
      </c>
      <c r="F18" s="3"/>
      <c r="G18">
        <f t="shared" si="6"/>
        <v>2015</v>
      </c>
      <c r="H18" s="56">
        <f>'s&amp;pAllData'!C58</f>
        <v>2043.94</v>
      </c>
      <c r="I18" s="58">
        <f>'s&amp;pAllData'!I58</f>
        <v>62.768471999999996</v>
      </c>
      <c r="J18" s="14">
        <f t="shared" si="2"/>
        <v>3.0709547246983764E-2</v>
      </c>
      <c r="L18">
        <f t="shared" si="3"/>
        <v>2015</v>
      </c>
      <c r="M18" s="3">
        <f t="shared" si="4"/>
        <v>106.1</v>
      </c>
      <c r="N18" s="14">
        <f t="shared" si="5"/>
        <v>5.190954724698376E-2</v>
      </c>
    </row>
    <row r="19" spans="2:14" x14ac:dyDescent="0.25">
      <c r="B19" s="32">
        <f t="shared" si="1"/>
        <v>2016</v>
      </c>
      <c r="C19" s="57">
        <f>'s&amp;pAllData'!C59</f>
        <v>2238.83</v>
      </c>
      <c r="D19" s="55">
        <f>'s&amp;pAllData'!F59</f>
        <v>2.0400000000000001E-2</v>
      </c>
      <c r="E19" s="3">
        <f t="shared" si="7"/>
        <v>45.672132000000005</v>
      </c>
      <c r="F19" s="3"/>
      <c r="G19">
        <f t="shared" si="6"/>
        <v>2016</v>
      </c>
      <c r="H19" s="56">
        <f>'s&amp;pAllData'!C59</f>
        <v>2238.83</v>
      </c>
      <c r="I19" s="58">
        <f>'s&amp;pAllData'!I59</f>
        <v>62.997867999999997</v>
      </c>
      <c r="J19" s="14">
        <f t="shared" si="2"/>
        <v>2.8138745684129655E-2</v>
      </c>
      <c r="L19">
        <f t="shared" si="3"/>
        <v>2016</v>
      </c>
      <c r="M19" s="3">
        <f t="shared" si="4"/>
        <v>108.67</v>
      </c>
      <c r="N19" s="14">
        <f t="shared" si="5"/>
        <v>4.8538745684129657E-2</v>
      </c>
    </row>
    <row r="20" spans="2:14" x14ac:dyDescent="0.25">
      <c r="B20" s="32">
        <f t="shared" si="1"/>
        <v>2017</v>
      </c>
      <c r="C20" s="57">
        <f>'s&amp;pAllData'!C60</f>
        <v>2673.61</v>
      </c>
      <c r="D20" s="55">
        <f>'s&amp;pAllData'!F60</f>
        <v>1.83E-2</v>
      </c>
      <c r="E20" s="3">
        <f t="shared" si="7"/>
        <v>48.927063000000004</v>
      </c>
      <c r="F20" s="3"/>
      <c r="G20">
        <f t="shared" si="6"/>
        <v>2017</v>
      </c>
      <c r="H20" s="56">
        <f>'s&amp;pAllData'!C60</f>
        <v>2673.61</v>
      </c>
      <c r="I20" s="58">
        <f>'s&amp;pAllData'!I60</f>
        <v>59.352936999999997</v>
      </c>
      <c r="J20" s="14">
        <f t="shared" si="2"/>
        <v>2.2199549298513994E-2</v>
      </c>
      <c r="L20">
        <f t="shared" si="3"/>
        <v>2017</v>
      </c>
      <c r="M20" s="3">
        <f t="shared" si="4"/>
        <v>108.28</v>
      </c>
      <c r="N20" s="14">
        <f t="shared" si="5"/>
        <v>4.0499549298513994E-2</v>
      </c>
    </row>
    <row r="21" spans="2:14" x14ac:dyDescent="0.25">
      <c r="B21" s="32">
        <f t="shared" si="1"/>
        <v>2018</v>
      </c>
      <c r="C21" s="57">
        <f>'s&amp;pAllData'!C61</f>
        <v>2506.85</v>
      </c>
      <c r="D21" s="55">
        <f>'s&amp;pAllData'!F61</f>
        <v>2.1399999999999999E-2</v>
      </c>
      <c r="E21" s="3">
        <f t="shared" si="7"/>
        <v>53.646589999999996</v>
      </c>
      <c r="F21" s="3"/>
      <c r="G21">
        <f t="shared" si="6"/>
        <v>2018</v>
      </c>
      <c r="H21" s="56">
        <f>'s&amp;pAllData'!C61</f>
        <v>2506.85</v>
      </c>
      <c r="I21" s="58">
        <f>'s&amp;pAllData'!I61</f>
        <v>83.003410000000002</v>
      </c>
      <c r="J21" s="14">
        <f t="shared" si="2"/>
        <v>3.3110640844087207E-2</v>
      </c>
      <c r="L21">
        <f t="shared" si="3"/>
        <v>2018</v>
      </c>
      <c r="M21" s="3">
        <f t="shared" si="4"/>
        <v>136.65</v>
      </c>
      <c r="N21" s="14">
        <f t="shared" si="5"/>
        <v>5.4510640844087202E-2</v>
      </c>
    </row>
    <row r="22" spans="2:14" x14ac:dyDescent="0.25">
      <c r="B22" s="32">
        <f t="shared" si="1"/>
        <v>2019</v>
      </c>
      <c r="C22" s="57">
        <f>'s&amp;pAllData'!C62</f>
        <v>3230.78</v>
      </c>
      <c r="D22" s="55">
        <f>'s&amp;pAllData'!F62</f>
        <v>1.8200000000000001E-2</v>
      </c>
      <c r="E22" s="3">
        <f t="shared" si="7"/>
        <v>58.800196000000007</v>
      </c>
      <c r="F22" s="3"/>
      <c r="G22">
        <f t="shared" si="6"/>
        <v>2019</v>
      </c>
      <c r="H22" s="56">
        <f>'s&amp;pAllData'!C62</f>
        <v>3230.78</v>
      </c>
      <c r="I22" s="58">
        <f>'s&amp;pAllData'!I62</f>
        <v>91.699804</v>
      </c>
      <c r="J22" s="14">
        <f t="shared" si="2"/>
        <v>2.8383178056073145E-2</v>
      </c>
      <c r="L22">
        <f t="shared" si="3"/>
        <v>2019</v>
      </c>
      <c r="M22" s="3">
        <f t="shared" si="4"/>
        <v>150.5</v>
      </c>
      <c r="N22" s="14">
        <f t="shared" si="5"/>
        <v>4.6583178056073142E-2</v>
      </c>
    </row>
    <row r="23" spans="2:14" x14ac:dyDescent="0.25">
      <c r="B23" s="32">
        <f t="shared" si="1"/>
        <v>2020</v>
      </c>
      <c r="C23" s="57">
        <f>'s&amp;pAllData'!C63</f>
        <v>3756.07</v>
      </c>
      <c r="D23" s="55">
        <f>'s&amp;pAllData'!F63</f>
        <v>1.5100000000000001E-2</v>
      </c>
      <c r="E23" s="3">
        <f t="shared" si="7"/>
        <v>56.716657000000005</v>
      </c>
      <c r="F23" s="3"/>
      <c r="G23">
        <f t="shared" si="6"/>
        <v>2020</v>
      </c>
      <c r="H23" s="56">
        <f>'s&amp;pAllData'!C63</f>
        <v>3756.07</v>
      </c>
      <c r="I23" s="58">
        <f>'s&amp;pAllData'!I63</f>
        <v>71.063343000000003</v>
      </c>
      <c r="J23" s="14">
        <f t="shared" si="2"/>
        <v>1.8919600273690319E-2</v>
      </c>
      <c r="L23">
        <f t="shared" si="3"/>
        <v>2020</v>
      </c>
      <c r="M23" s="3">
        <f t="shared" si="4"/>
        <v>127.78</v>
      </c>
      <c r="N23" s="14">
        <f t="shared" si="5"/>
        <v>3.4019600273690317E-2</v>
      </c>
    </row>
    <row r="24" spans="2:14" x14ac:dyDescent="0.25">
      <c r="B24" s="32">
        <f t="shared" si="1"/>
        <v>2021</v>
      </c>
      <c r="C24" s="57">
        <f>'s&amp;pAllData'!C64</f>
        <v>4766.18</v>
      </c>
      <c r="D24" s="55">
        <f>'s&amp;pAllData'!F64</f>
        <v>1.24E-2</v>
      </c>
      <c r="E24" s="3">
        <f t="shared" si="7"/>
        <v>59.100632000000004</v>
      </c>
      <c r="F24" s="3"/>
      <c r="G24">
        <f t="shared" si="6"/>
        <v>2021</v>
      </c>
      <c r="H24" s="56">
        <f>'s&amp;pAllData'!C64</f>
        <v>4766.18</v>
      </c>
      <c r="I24" s="58">
        <f>'s&amp;pAllData'!I64</f>
        <v>88.139368000000005</v>
      </c>
      <c r="J24" s="14">
        <f t="shared" si="2"/>
        <v>1.8492664565752867E-2</v>
      </c>
      <c r="L24">
        <f t="shared" si="3"/>
        <v>2021</v>
      </c>
      <c r="M24" s="3">
        <f t="shared" si="4"/>
        <v>147.24</v>
      </c>
      <c r="N24" s="14">
        <f t="shared" si="5"/>
        <v>3.0892664565752868E-2</v>
      </c>
    </row>
    <row r="25" spans="2:14" x14ac:dyDescent="0.25">
      <c r="B25" s="32">
        <f t="shared" si="1"/>
        <v>2022</v>
      </c>
      <c r="C25" s="57">
        <f>'s&amp;pAllData'!C65</f>
        <v>3839.5</v>
      </c>
      <c r="D25" s="55">
        <f>'s&amp;pAllData'!F65</f>
        <v>1.78E-2</v>
      </c>
      <c r="E25" s="3">
        <f t="shared" si="7"/>
        <v>68.343099999999993</v>
      </c>
      <c r="F25" s="3"/>
      <c r="G25">
        <f t="shared" si="6"/>
        <v>2022</v>
      </c>
      <c r="H25" s="56">
        <f>'s&amp;pAllData'!C65</f>
        <v>3839.5</v>
      </c>
      <c r="I25" s="58">
        <f>'s&amp;pAllData'!I65</f>
        <v>113.64690000000002</v>
      </c>
      <c r="J25" s="14">
        <f t="shared" si="2"/>
        <v>2.9599400963667147E-2</v>
      </c>
      <c r="L25">
        <f t="shared" si="3"/>
        <v>2022</v>
      </c>
      <c r="M25" s="3">
        <f t="shared" si="4"/>
        <v>181.99</v>
      </c>
      <c r="N25" s="14">
        <f t="shared" si="5"/>
        <v>4.7399400963667147E-2</v>
      </c>
    </row>
    <row r="26" spans="2:14" x14ac:dyDescent="0.25">
      <c r="B26" s="32">
        <f t="shared" si="1"/>
        <v>2023</v>
      </c>
      <c r="C26" s="57">
        <f>'s&amp;pAllData'!C66</f>
        <v>4769.83</v>
      </c>
      <c r="D26" s="55">
        <f>'s&amp;pAllData'!F66</f>
        <v>1.47E-2</v>
      </c>
      <c r="E26" s="3">
        <f t="shared" si="7"/>
        <v>70.116501</v>
      </c>
      <c r="F26" s="3"/>
      <c r="G26">
        <f t="shared" si="6"/>
        <v>2023</v>
      </c>
      <c r="H26" s="56">
        <f>'s&amp;pAllData'!C66</f>
        <v>4769.83</v>
      </c>
      <c r="I26" s="58">
        <f>'s&amp;pAllData'!I66</f>
        <v>94.673498999999993</v>
      </c>
      <c r="J26" s="14">
        <f t="shared" si="2"/>
        <v>1.9848401096055832E-2</v>
      </c>
      <c r="L26">
        <f t="shared" si="3"/>
        <v>2023</v>
      </c>
      <c r="M26" s="3">
        <f t="shared" si="4"/>
        <v>164.79</v>
      </c>
      <c r="N26" s="14">
        <f t="shared" si="5"/>
        <v>3.4548401096055836E-2</v>
      </c>
    </row>
    <row r="27" spans="2:14" x14ac:dyDescent="0.25">
      <c r="B27" s="32">
        <f t="shared" si="1"/>
        <v>2024</v>
      </c>
      <c r="C27" s="57">
        <f>'s&amp;pAllData'!C67</f>
        <v>5881.63</v>
      </c>
      <c r="D27" s="55">
        <f>'s&amp;pAllData'!F67</f>
        <v>1.2500000000000001E-2</v>
      </c>
      <c r="E27" s="3">
        <f t="shared" si="7"/>
        <v>73.520375000000001</v>
      </c>
      <c r="F27" s="3"/>
      <c r="G27">
        <f t="shared" si="6"/>
        <v>2024</v>
      </c>
      <c r="H27" s="56">
        <f>'s&amp;pAllData'!C67</f>
        <v>5881.63</v>
      </c>
      <c r="I27" s="58">
        <f>'s&amp;pAllData'!I67</f>
        <v>109.27962500000001</v>
      </c>
      <c r="J27" s="14">
        <f t="shared" si="2"/>
        <v>1.8579819709842342E-2</v>
      </c>
      <c r="L27">
        <f t="shared" si="3"/>
        <v>2024</v>
      </c>
      <c r="M27" s="3">
        <f t="shared" si="4"/>
        <v>182.8</v>
      </c>
      <c r="N27" s="14">
        <f t="shared" si="5"/>
        <v>3.1079819709842339E-2</v>
      </c>
    </row>
    <row r="28" spans="2:14" x14ac:dyDescent="0.25">
      <c r="B28" s="32"/>
      <c r="F28" s="3"/>
      <c r="M28" s="3"/>
    </row>
    <row r="29" spans="2:14" x14ac:dyDescent="0.25">
      <c r="B29" s="32"/>
      <c r="F29" s="3"/>
    </row>
    <row r="30" spans="2:14" x14ac:dyDescent="0.25">
      <c r="B30" s="32"/>
      <c r="F30" s="3"/>
    </row>
    <row r="31" spans="2:14" x14ac:dyDescent="0.25">
      <c r="F31" s="3"/>
    </row>
    <row r="32" spans="2:14" x14ac:dyDescent="0.25">
      <c r="F32" s="3"/>
    </row>
    <row r="33" spans="6:6" x14ac:dyDescent="0.25">
      <c r="F33" s="3"/>
    </row>
    <row r="34" spans="6:6" x14ac:dyDescent="0.25">
      <c r="F34" s="3"/>
    </row>
    <row r="35" spans="6:6" x14ac:dyDescent="0.25">
      <c r="F35" s="3"/>
    </row>
    <row r="36" spans="6:6" x14ac:dyDescent="0.25">
      <c r="F36" s="3"/>
    </row>
    <row r="37" spans="6:6" x14ac:dyDescent="0.25">
      <c r="F37" s="3"/>
    </row>
    <row r="38" spans="6:6" x14ac:dyDescent="0.25">
      <c r="F38" s="3"/>
    </row>
    <row r="39" spans="6:6" x14ac:dyDescent="0.25">
      <c r="F39" s="3"/>
    </row>
    <row r="40" spans="6:6" x14ac:dyDescent="0.25">
      <c r="F40" s="3"/>
    </row>
    <row r="41" spans="6:6" x14ac:dyDescent="0.25">
      <c r="F41" s="3"/>
    </row>
    <row r="42" spans="6:6" x14ac:dyDescent="0.25">
      <c r="F42" s="3"/>
    </row>
    <row r="43" spans="6:6" x14ac:dyDescent="0.25">
      <c r="F43" s="3"/>
    </row>
    <row r="44" spans="6:6" x14ac:dyDescent="0.25">
      <c r="F44" s="3"/>
    </row>
    <row r="45" spans="6:6" x14ac:dyDescent="0.25">
      <c r="F45" s="3"/>
    </row>
    <row r="46" spans="6:6" x14ac:dyDescent="0.25">
      <c r="F46" s="3"/>
    </row>
    <row r="47" spans="6:6" x14ac:dyDescent="0.25">
      <c r="F47" s="3"/>
    </row>
    <row r="48" spans="6:6" x14ac:dyDescent="0.25">
      <c r="F48" s="3"/>
    </row>
    <row r="49" spans="6:6" x14ac:dyDescent="0.25">
      <c r="F49" s="3"/>
    </row>
    <row r="50" spans="6:6" x14ac:dyDescent="0.25">
      <c r="F50" s="3"/>
    </row>
    <row r="51" spans="6:6" x14ac:dyDescent="0.25">
      <c r="F51" s="3"/>
    </row>
    <row r="52" spans="6:6" x14ac:dyDescent="0.25">
      <c r="F52" s="3"/>
    </row>
    <row r="53" spans="6:6" x14ac:dyDescent="0.25">
      <c r="F53" s="3"/>
    </row>
    <row r="54" spans="6:6" x14ac:dyDescent="0.25">
      <c r="F54" s="3"/>
    </row>
    <row r="55" spans="6:6" x14ac:dyDescent="0.25">
      <c r="F55" s="3"/>
    </row>
    <row r="56" spans="6:6" x14ac:dyDescent="0.25">
      <c r="F56" s="3"/>
    </row>
    <row r="57" spans="6:6" x14ac:dyDescent="0.25">
      <c r="F57" s="3"/>
    </row>
    <row r="58" spans="6:6" x14ac:dyDescent="0.25">
      <c r="F58" s="3"/>
    </row>
    <row r="59" spans="6:6" x14ac:dyDescent="0.25">
      <c r="F59" s="3"/>
    </row>
    <row r="60" spans="6:6" x14ac:dyDescent="0.25">
      <c r="F60" s="3"/>
    </row>
    <row r="61" spans="6:6" x14ac:dyDescent="0.25">
      <c r="F61" s="3"/>
    </row>
    <row r="62" spans="6:6" x14ac:dyDescent="0.25">
      <c r="F62" s="3"/>
    </row>
    <row r="63" spans="6:6" x14ac:dyDescent="0.25">
      <c r="F63" s="3"/>
    </row>
    <row r="64" spans="6:6" x14ac:dyDescent="0.25">
      <c r="F64" s="3"/>
    </row>
    <row r="65" spans="6:6" x14ac:dyDescent="0.25">
      <c r="F65" s="3"/>
    </row>
    <row r="66" spans="6:6" x14ac:dyDescent="0.25">
      <c r="F66" s="3"/>
    </row>
    <row r="67" spans="6:6" x14ac:dyDescent="0.25">
      <c r="F67" s="3"/>
    </row>
    <row r="68" spans="6:6" x14ac:dyDescent="0.25">
      <c r="F68" s="3"/>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40F44-9A87-4C1B-9075-10F38F6AB6A7}">
  <dimension ref="B2:L68"/>
  <sheetViews>
    <sheetView showGridLines="0" workbookViewId="0">
      <selection activeCell="O8" sqref="O8"/>
    </sheetView>
  </sheetViews>
  <sheetFormatPr defaultRowHeight="15" x14ac:dyDescent="0.25"/>
  <cols>
    <col min="1" max="1" width="1.85546875" customWidth="1"/>
    <col min="5" max="5" width="18.28515625" customWidth="1"/>
    <col min="6" max="6" width="17.42578125" customWidth="1"/>
    <col min="7" max="7" width="18.42578125" customWidth="1"/>
    <col min="8" max="8" width="17.5703125" customWidth="1"/>
    <col min="9" max="9" width="13.5703125" bestFit="1" customWidth="1"/>
    <col min="10" max="10" width="18.28515625" customWidth="1"/>
    <col min="11" max="11" width="6.28515625" bestFit="1" customWidth="1"/>
  </cols>
  <sheetData>
    <row r="2" spans="2:12" x14ac:dyDescent="0.25">
      <c r="B2" s="33" t="s">
        <v>100</v>
      </c>
    </row>
    <row r="3" spans="2:12" x14ac:dyDescent="0.25">
      <c r="B3" s="78" t="s">
        <v>0</v>
      </c>
      <c r="C3" s="80" t="s">
        <v>3</v>
      </c>
      <c r="D3" s="80" t="s">
        <v>4</v>
      </c>
      <c r="E3" s="80" t="s">
        <v>6</v>
      </c>
      <c r="F3" s="80" t="s">
        <v>7</v>
      </c>
      <c r="G3" s="80" t="s">
        <v>8</v>
      </c>
      <c r="H3" s="80" t="s">
        <v>9</v>
      </c>
      <c r="I3" s="11"/>
    </row>
    <row r="4" spans="2:12" ht="15.75" x14ac:dyDescent="0.25">
      <c r="B4" s="10">
        <v>1960</v>
      </c>
      <c r="C4" s="59">
        <f>'s&amp;pAllData'!C3</f>
        <v>58.11</v>
      </c>
      <c r="D4" s="60">
        <f>'s&amp;pAllData'!E3</f>
        <v>3.1030740000000003</v>
      </c>
      <c r="E4" s="15" t="s">
        <v>10</v>
      </c>
      <c r="F4" s="15" t="s">
        <v>10</v>
      </c>
      <c r="G4" s="15" t="s">
        <v>10</v>
      </c>
      <c r="H4" s="15" t="s">
        <v>10</v>
      </c>
      <c r="J4" s="80" t="s">
        <v>11</v>
      </c>
      <c r="K4" s="116" t="s">
        <v>12</v>
      </c>
      <c r="L4" s="16">
        <f>AVERAGE(E7:E67)</f>
        <v>7.3866373102929678E-2</v>
      </c>
    </row>
    <row r="5" spans="2:12" ht="15.75" x14ac:dyDescent="0.25">
      <c r="B5" s="10">
        <f>B4+1</f>
        <v>1961</v>
      </c>
      <c r="C5" s="59">
        <f>'s&amp;pAllData'!C4</f>
        <v>71.55</v>
      </c>
      <c r="D5" s="60">
        <f>'s&amp;pAllData'!E4</f>
        <v>3.3700049999999999</v>
      </c>
      <c r="E5" s="15" t="s">
        <v>10</v>
      </c>
      <c r="F5" s="15" t="s">
        <v>10</v>
      </c>
      <c r="G5" s="15" t="s">
        <v>10</v>
      </c>
      <c r="H5" s="15" t="s">
        <v>10</v>
      </c>
      <c r="J5" s="12"/>
      <c r="K5" s="17"/>
      <c r="L5" s="18"/>
    </row>
    <row r="6" spans="2:12" ht="15.75" x14ac:dyDescent="0.25">
      <c r="B6" s="10">
        <f t="shared" ref="B6:B68" si="0">B5+1</f>
        <v>1962</v>
      </c>
      <c r="C6" s="59">
        <f>'s&amp;pAllData'!C5</f>
        <v>63.1</v>
      </c>
      <c r="D6" s="60">
        <f>'s&amp;pAllData'!E5</f>
        <v>3.6661100000000002</v>
      </c>
      <c r="E6" s="15" t="s">
        <v>10</v>
      </c>
      <c r="F6" s="15" t="s">
        <v>10</v>
      </c>
      <c r="G6" s="15" t="s">
        <v>10</v>
      </c>
      <c r="H6" s="15" t="s">
        <v>10</v>
      </c>
      <c r="J6" s="80" t="s">
        <v>11</v>
      </c>
      <c r="K6" s="116" t="s">
        <v>13</v>
      </c>
      <c r="L6" s="16">
        <f>AVERAGE(F9:F67)</f>
        <v>6.9508700590485695E-2</v>
      </c>
    </row>
    <row r="7" spans="2:12" ht="15.75" x14ac:dyDescent="0.25">
      <c r="B7" s="10">
        <f t="shared" si="0"/>
        <v>1963</v>
      </c>
      <c r="C7" s="59">
        <f>'s&amp;pAllData'!C6</f>
        <v>75.02</v>
      </c>
      <c r="D7" s="60">
        <f>'s&amp;pAllData'!E6</f>
        <v>4.1336019999999998</v>
      </c>
      <c r="E7" s="14">
        <f>_xlfn.RRI(3,D4,D7)</f>
        <v>0.10030269173256112</v>
      </c>
      <c r="F7" s="15" t="s">
        <v>10</v>
      </c>
      <c r="G7" s="15" t="s">
        <v>10</v>
      </c>
      <c r="H7" s="15" t="s">
        <v>10</v>
      </c>
      <c r="J7" s="12"/>
      <c r="K7" s="17"/>
      <c r="L7" s="18"/>
    </row>
    <row r="8" spans="2:12" ht="15.75" x14ac:dyDescent="0.25">
      <c r="B8" s="10">
        <f t="shared" si="0"/>
        <v>1964</v>
      </c>
      <c r="C8" s="59">
        <f>'s&amp;pAllData'!C7</f>
        <v>84.75</v>
      </c>
      <c r="D8" s="60">
        <f>'s&amp;pAllData'!E7</f>
        <v>4.76295</v>
      </c>
      <c r="E8" s="14">
        <f t="shared" ref="E8:E67" si="1">_xlfn.RRI(3,D5,D8)</f>
        <v>0.12222987453291001</v>
      </c>
      <c r="F8" s="15" t="s">
        <v>10</v>
      </c>
      <c r="G8" s="15" t="s">
        <v>10</v>
      </c>
      <c r="H8" s="15" t="s">
        <v>10</v>
      </c>
      <c r="J8" s="80" t="s">
        <v>11</v>
      </c>
      <c r="K8" s="116" t="s">
        <v>14</v>
      </c>
      <c r="L8" s="16">
        <f>AVERAGE(G11:G67)</f>
        <v>6.7742411700935146E-2</v>
      </c>
    </row>
    <row r="9" spans="2:12" ht="15.75" x14ac:dyDescent="0.25">
      <c r="B9" s="10">
        <f t="shared" si="0"/>
        <v>1965</v>
      </c>
      <c r="C9" s="59">
        <f>'s&amp;pAllData'!C8</f>
        <v>92.43</v>
      </c>
      <c r="D9" s="60">
        <f>'s&amp;pAllData'!E8</f>
        <v>5.2962389999999999</v>
      </c>
      <c r="E9" s="14">
        <f t="shared" si="1"/>
        <v>0.13045694888687454</v>
      </c>
      <c r="F9" s="14">
        <f>_xlfn.RRI(5,D4,D9)</f>
        <v>0.11284604968701584</v>
      </c>
      <c r="G9" s="15" t="s">
        <v>10</v>
      </c>
      <c r="H9" s="15" t="s">
        <v>10</v>
      </c>
      <c r="J9" s="12"/>
      <c r="K9" s="17"/>
      <c r="L9" s="18"/>
    </row>
    <row r="10" spans="2:12" ht="15.75" x14ac:dyDescent="0.25">
      <c r="B10" s="10">
        <f t="shared" si="0"/>
        <v>1966</v>
      </c>
      <c r="C10" s="59">
        <f>'s&amp;pAllData'!C9</f>
        <v>80.33</v>
      </c>
      <c r="D10" s="60">
        <f>'s&amp;pAllData'!E9</f>
        <v>5.4142419999999998</v>
      </c>
      <c r="E10" s="14">
        <f t="shared" si="1"/>
        <v>9.4131869696901349E-2</v>
      </c>
      <c r="F10" s="14">
        <f t="shared" ref="F10:F67" si="2">_xlfn.RRI(5,D5,D10)</f>
        <v>9.9465037778746046E-2</v>
      </c>
      <c r="G10" s="15" t="s">
        <v>10</v>
      </c>
      <c r="H10" s="15" t="s">
        <v>10</v>
      </c>
      <c r="J10" s="80" t="s">
        <v>11</v>
      </c>
      <c r="K10" s="116" t="s">
        <v>15</v>
      </c>
      <c r="L10" s="16">
        <f>AVERAGE(H14:H67)</f>
        <v>6.6775798924209318E-2</v>
      </c>
    </row>
    <row r="11" spans="2:12" ht="15.75" x14ac:dyDescent="0.25">
      <c r="B11" s="10">
        <f t="shared" si="0"/>
        <v>1967</v>
      </c>
      <c r="C11" s="59">
        <f>'s&amp;pAllData'!C10</f>
        <v>96.47</v>
      </c>
      <c r="D11" s="60">
        <f>'s&amp;pAllData'!E10</f>
        <v>5.4602019999999998</v>
      </c>
      <c r="E11" s="14">
        <f t="shared" si="1"/>
        <v>4.65923655565188E-2</v>
      </c>
      <c r="F11" s="14">
        <f t="shared" si="2"/>
        <v>8.2930644928108199E-2</v>
      </c>
      <c r="G11" s="14">
        <f>_xlfn.RRI(7,D4,D11)</f>
        <v>8.4075453859992155E-2</v>
      </c>
      <c r="H11" s="15" t="s">
        <v>10</v>
      </c>
    </row>
    <row r="12" spans="2:12" ht="15.75" x14ac:dyDescent="0.25">
      <c r="B12" s="10">
        <f t="shared" si="0"/>
        <v>1968</v>
      </c>
      <c r="C12" s="59">
        <f>'s&amp;pAllData'!C11</f>
        <v>103.86</v>
      </c>
      <c r="D12" s="60">
        <f>'s&amp;pAllData'!E11</f>
        <v>5.7226860000000004</v>
      </c>
      <c r="E12" s="14">
        <f t="shared" si="1"/>
        <v>2.614983749162092E-2</v>
      </c>
      <c r="F12" s="14">
        <f t="shared" si="2"/>
        <v>6.7220727971482042E-2</v>
      </c>
      <c r="G12" s="14">
        <f t="shared" ref="G12:G67" si="3">_xlfn.RRI(7,D5,D12)</f>
        <v>7.8581004496326656E-2</v>
      </c>
      <c r="H12" s="15" t="s">
        <v>10</v>
      </c>
    </row>
    <row r="13" spans="2:12" ht="15.75" x14ac:dyDescent="0.25">
      <c r="B13" s="10">
        <f t="shared" si="0"/>
        <v>1969</v>
      </c>
      <c r="C13" s="59">
        <f>'s&amp;pAllData'!C12</f>
        <v>92.06</v>
      </c>
      <c r="D13" s="60">
        <f>'s&amp;pAllData'!E12</f>
        <v>6.1035779999999997</v>
      </c>
      <c r="E13" s="14">
        <f t="shared" si="1"/>
        <v>4.0756052394484543E-2</v>
      </c>
      <c r="F13" s="14">
        <f t="shared" si="2"/>
        <v>5.0852339187197559E-2</v>
      </c>
      <c r="G13" s="14">
        <f t="shared" si="3"/>
        <v>7.5537537770870911E-2</v>
      </c>
      <c r="H13" s="15" t="s">
        <v>10</v>
      </c>
    </row>
    <row r="14" spans="2:12" ht="15.75" x14ac:dyDescent="0.25">
      <c r="B14" s="10">
        <f t="shared" si="0"/>
        <v>1970</v>
      </c>
      <c r="C14" s="59">
        <f>'s&amp;pAllData'!C13</f>
        <v>92.15</v>
      </c>
      <c r="D14" s="60">
        <f>'s&amp;pAllData'!E13</f>
        <v>5.5105700000000004</v>
      </c>
      <c r="E14" s="14">
        <f t="shared" si="1"/>
        <v>3.0654491361783442E-3</v>
      </c>
      <c r="F14" s="14">
        <f t="shared" si="2"/>
        <v>7.965783381513214E-3</v>
      </c>
      <c r="G14" s="14">
        <f t="shared" si="3"/>
        <v>4.1929337073405293E-2</v>
      </c>
      <c r="H14" s="13">
        <f>_xlfn.RRI(10,D4,D14)</f>
        <v>5.9108464821141515E-2</v>
      </c>
    </row>
    <row r="15" spans="2:12" ht="15.75" x14ac:dyDescent="0.25">
      <c r="B15" s="10">
        <f t="shared" si="0"/>
        <v>1971</v>
      </c>
      <c r="C15" s="59">
        <f>'s&amp;pAllData'!C14</f>
        <v>102.09</v>
      </c>
      <c r="D15" s="60">
        <f>'s&amp;pAllData'!E14</f>
        <v>5.5741140000000007</v>
      </c>
      <c r="E15" s="14">
        <f t="shared" si="1"/>
        <v>-8.7299687973606543E-3</v>
      </c>
      <c r="F15" s="14">
        <f t="shared" si="2"/>
        <v>5.8370680438113443E-3</v>
      </c>
      <c r="G15" s="14">
        <f t="shared" si="3"/>
        <v>2.272086840096943E-2</v>
      </c>
      <c r="H15" s="13">
        <f t="shared" ref="H15:H67" si="4">_xlfn.RRI(10,D5,D15)</f>
        <v>5.1609571093783835E-2</v>
      </c>
    </row>
    <row r="16" spans="2:12" ht="15.75" x14ac:dyDescent="0.25">
      <c r="B16" s="10">
        <f t="shared" si="0"/>
        <v>1972</v>
      </c>
      <c r="C16" s="59">
        <f>'s&amp;pAllData'!C15</f>
        <v>118.05</v>
      </c>
      <c r="D16" s="60">
        <f>'s&amp;pAllData'!E15</f>
        <v>6.1740149999999998</v>
      </c>
      <c r="E16" s="14">
        <f t="shared" si="1"/>
        <v>3.8320566324441252E-3</v>
      </c>
      <c r="F16" s="14">
        <f t="shared" si="2"/>
        <v>2.4877111355315451E-2</v>
      </c>
      <c r="G16" s="14">
        <f t="shared" si="3"/>
        <v>2.2149218093932221E-2</v>
      </c>
      <c r="H16" s="13">
        <f t="shared" si="4"/>
        <v>5.3504072688885351E-2</v>
      </c>
    </row>
    <row r="17" spans="2:8" ht="15.75" x14ac:dyDescent="0.25">
      <c r="B17" s="10">
        <f t="shared" si="0"/>
        <v>1973</v>
      </c>
      <c r="C17" s="59">
        <f>'s&amp;pAllData'!C16</f>
        <v>97.55</v>
      </c>
      <c r="D17" s="60">
        <f>'s&amp;pAllData'!E16</f>
        <v>7.9600800000000005</v>
      </c>
      <c r="E17" s="14">
        <f t="shared" si="1"/>
        <v>0.13042122413832424</v>
      </c>
      <c r="F17" s="14">
        <f t="shared" si="2"/>
        <v>6.822688262666321E-2</v>
      </c>
      <c r="G17" s="14">
        <f t="shared" si="3"/>
        <v>5.6601920100343817E-2</v>
      </c>
      <c r="H17" s="13">
        <f t="shared" si="4"/>
        <v>6.7723686782088066E-2</v>
      </c>
    </row>
    <row r="18" spans="2:8" ht="15.75" x14ac:dyDescent="0.25">
      <c r="B18" s="10">
        <f t="shared" si="0"/>
        <v>1974</v>
      </c>
      <c r="C18" s="59">
        <f>'s&amp;pAllData'!C17</f>
        <v>68.56</v>
      </c>
      <c r="D18" s="60">
        <f>'s&amp;pAllData'!E17</f>
        <v>9.351583999999999</v>
      </c>
      <c r="E18" s="14">
        <f t="shared" si="1"/>
        <v>0.18823710764899815</v>
      </c>
      <c r="F18" s="14">
        <f t="shared" si="2"/>
        <v>8.9080886162234529E-2</v>
      </c>
      <c r="G18" s="14">
        <f t="shared" si="3"/>
        <v>7.9897045013699541E-2</v>
      </c>
      <c r="H18" s="13">
        <f t="shared" si="4"/>
        <v>6.9795866877251589E-2</v>
      </c>
    </row>
    <row r="19" spans="2:8" ht="15.75" x14ac:dyDescent="0.25">
      <c r="B19" s="10">
        <f t="shared" si="0"/>
        <v>1975</v>
      </c>
      <c r="C19" s="59">
        <f>'s&amp;pAllData'!C18</f>
        <v>90.19</v>
      </c>
      <c r="D19" s="60">
        <f>'s&amp;pAllData'!E18</f>
        <v>7.7112450000000008</v>
      </c>
      <c r="E19" s="14">
        <f t="shared" si="1"/>
        <v>7.6925367561275548E-2</v>
      </c>
      <c r="F19" s="14">
        <f t="shared" si="2"/>
        <v>6.9511837151678746E-2</v>
      </c>
      <c r="G19" s="14">
        <f t="shared" si="3"/>
        <v>4.3526571545192461E-2</v>
      </c>
      <c r="H19" s="13">
        <f t="shared" si="4"/>
        <v>3.8282878973930234E-2</v>
      </c>
    </row>
    <row r="20" spans="2:8" ht="15.75" x14ac:dyDescent="0.25">
      <c r="B20" s="10">
        <f t="shared" si="0"/>
        <v>1976</v>
      </c>
      <c r="C20" s="59">
        <f>'s&amp;pAllData'!C19</f>
        <v>107.46</v>
      </c>
      <c r="D20" s="60">
        <f>'s&amp;pAllData'!E19</f>
        <v>9.7466220000000003</v>
      </c>
      <c r="E20" s="14">
        <f t="shared" si="1"/>
        <v>6.9823738425558224E-2</v>
      </c>
      <c r="F20" s="14">
        <f t="shared" si="2"/>
        <v>0.11824162788053516</v>
      </c>
      <c r="G20" s="14">
        <f t="shared" si="3"/>
        <v>6.9149698357133804E-2</v>
      </c>
      <c r="H20" s="13">
        <f t="shared" si="4"/>
        <v>6.05512153365797E-2</v>
      </c>
    </row>
    <row r="21" spans="2:8" ht="15.75" x14ac:dyDescent="0.25">
      <c r="B21" s="10">
        <f t="shared" si="0"/>
        <v>1977</v>
      </c>
      <c r="C21" s="59">
        <f>'s&amp;pAllData'!C20</f>
        <v>95.1</v>
      </c>
      <c r="D21" s="60">
        <f>'s&amp;pAllData'!E20</f>
        <v>10.86993</v>
      </c>
      <c r="E21" s="14">
        <f t="shared" si="1"/>
        <v>5.1430383250728351E-2</v>
      </c>
      <c r="F21" s="14">
        <f t="shared" si="2"/>
        <v>0.11977769740881583</v>
      </c>
      <c r="G21" s="14">
        <f t="shared" si="3"/>
        <v>0.10191266526393128</v>
      </c>
      <c r="H21" s="13">
        <f t="shared" si="4"/>
        <v>7.1277056545342887E-2</v>
      </c>
    </row>
    <row r="22" spans="2:8" ht="15.75" x14ac:dyDescent="0.25">
      <c r="B22" s="10">
        <f t="shared" si="0"/>
        <v>1978</v>
      </c>
      <c r="C22" s="59">
        <f>'s&amp;pAllData'!C21</f>
        <v>96.11</v>
      </c>
      <c r="D22" s="60">
        <f>'s&amp;pAllData'!E21</f>
        <v>11.638921</v>
      </c>
      <c r="E22" s="14">
        <f t="shared" si="1"/>
        <v>0.14708624725531294</v>
      </c>
      <c r="F22" s="14">
        <f t="shared" si="2"/>
        <v>7.8944380920364265E-2</v>
      </c>
      <c r="G22" s="14">
        <f t="shared" si="3"/>
        <v>0.11090442396550659</v>
      </c>
      <c r="H22" s="13">
        <f t="shared" si="4"/>
        <v>7.357225772563436E-2</v>
      </c>
    </row>
    <row r="23" spans="2:8" ht="15.75" x14ac:dyDescent="0.25">
      <c r="B23" s="10">
        <f t="shared" si="0"/>
        <v>1979</v>
      </c>
      <c r="C23" s="59">
        <f>'s&amp;pAllData'!C22</f>
        <v>107.94</v>
      </c>
      <c r="D23" s="60">
        <f>'s&amp;pAllData'!E22</f>
        <v>14.550312</v>
      </c>
      <c r="E23" s="14">
        <f t="shared" si="1"/>
        <v>0.1428942845552803</v>
      </c>
      <c r="F23" s="14">
        <f t="shared" si="2"/>
        <v>9.243957681392545E-2</v>
      </c>
      <c r="G23" s="14">
        <f t="shared" si="3"/>
        <v>0.13028086443559728</v>
      </c>
      <c r="H23" s="13">
        <f t="shared" si="4"/>
        <v>9.0758938718911608E-2</v>
      </c>
    </row>
    <row r="24" spans="2:8" ht="15.75" x14ac:dyDescent="0.25">
      <c r="B24" s="10">
        <f t="shared" si="0"/>
        <v>1980</v>
      </c>
      <c r="C24" s="59">
        <f>'s&amp;pAllData'!C23</f>
        <v>135.76</v>
      </c>
      <c r="D24" s="60">
        <f>'s&amp;pAllData'!E23</f>
        <v>14.987903999999999</v>
      </c>
      <c r="E24" s="14">
        <f t="shared" si="1"/>
        <v>0.11302448535541876</v>
      </c>
      <c r="F24" s="14">
        <f t="shared" si="2"/>
        <v>0.14215035796127085</v>
      </c>
      <c r="G24" s="14">
        <f t="shared" si="3"/>
        <v>9.4612733029827867E-2</v>
      </c>
      <c r="H24" s="13">
        <f t="shared" si="4"/>
        <v>0.10523451251153304</v>
      </c>
    </row>
    <row r="25" spans="2:8" ht="15.75" x14ac:dyDescent="0.25">
      <c r="B25" s="10">
        <f t="shared" si="0"/>
        <v>1981</v>
      </c>
      <c r="C25" s="59">
        <f>'s&amp;pAllData'!C24</f>
        <v>122.55</v>
      </c>
      <c r="D25" s="60">
        <f>'s&amp;pAllData'!E24</f>
        <v>15.183945</v>
      </c>
      <c r="E25" s="14">
        <f t="shared" si="1"/>
        <v>9.2674061952348508E-2</v>
      </c>
      <c r="F25" s="14">
        <f t="shared" si="2"/>
        <v>9.2712974406653714E-2</v>
      </c>
      <c r="G25" s="14">
        <f t="shared" si="3"/>
        <v>7.1695356449188008E-2</v>
      </c>
      <c r="H25" s="13">
        <f t="shared" si="4"/>
        <v>0.10540360742430988</v>
      </c>
    </row>
    <row r="26" spans="2:8" ht="15.75" x14ac:dyDescent="0.25">
      <c r="B26" s="10">
        <f t="shared" si="0"/>
        <v>1982</v>
      </c>
      <c r="C26" s="59">
        <f>'s&amp;pAllData'!C25</f>
        <v>140.63999999999999</v>
      </c>
      <c r="D26" s="60">
        <f>'s&amp;pAllData'!E25</f>
        <v>13.824911999999998</v>
      </c>
      <c r="E26" s="14">
        <f t="shared" si="1"/>
        <v>-1.690227775844455E-2</v>
      </c>
      <c r="F26" s="14">
        <f t="shared" si="2"/>
        <v>4.9269685075780556E-2</v>
      </c>
      <c r="G26" s="14">
        <f t="shared" si="3"/>
        <v>8.6975352087997004E-2</v>
      </c>
      <c r="H26" s="13">
        <f t="shared" si="4"/>
        <v>8.3950548648336953E-2</v>
      </c>
    </row>
    <row r="27" spans="2:8" ht="15.75" x14ac:dyDescent="0.25">
      <c r="B27" s="10">
        <f t="shared" si="0"/>
        <v>1983</v>
      </c>
      <c r="C27" s="59">
        <f>'s&amp;pAllData'!C26</f>
        <v>164.93</v>
      </c>
      <c r="D27" s="60">
        <f>'s&amp;pAllData'!E26</f>
        <v>13.293358000000001</v>
      </c>
      <c r="E27" s="14">
        <f t="shared" si="1"/>
        <v>-3.920382370327824E-2</v>
      </c>
      <c r="F27" s="14">
        <f t="shared" si="2"/>
        <v>2.6938405847352964E-2</v>
      </c>
      <c r="G27" s="14">
        <f t="shared" si="3"/>
        <v>4.5332295737551931E-2</v>
      </c>
      <c r="H27" s="13">
        <f t="shared" si="4"/>
        <v>5.2620265119533993E-2</v>
      </c>
    </row>
    <row r="28" spans="2:8" ht="15.75" x14ac:dyDescent="0.25">
      <c r="B28" s="10">
        <f t="shared" si="0"/>
        <v>1984</v>
      </c>
      <c r="C28" s="59">
        <f>'s&amp;pAllData'!C27</f>
        <v>167.24</v>
      </c>
      <c r="D28" s="60">
        <f>'s&amp;pAllData'!E27</f>
        <v>16.841068</v>
      </c>
      <c r="E28" s="14">
        <f t="shared" si="1"/>
        <v>3.5130255166469393E-2</v>
      </c>
      <c r="F28" s="14">
        <f t="shared" si="2"/>
        <v>2.9673331556339111E-2</v>
      </c>
      <c r="G28" s="14">
        <f t="shared" si="3"/>
        <v>6.4543147857707206E-2</v>
      </c>
      <c r="H28" s="13">
        <f t="shared" si="4"/>
        <v>6.0592239544487558E-2</v>
      </c>
    </row>
    <row r="29" spans="2:8" ht="15.75" x14ac:dyDescent="0.25">
      <c r="B29" s="10">
        <f t="shared" si="0"/>
        <v>1985</v>
      </c>
      <c r="C29" s="59">
        <f>'s&amp;pAllData'!C28</f>
        <v>211.28</v>
      </c>
      <c r="D29" s="60">
        <f>'s&amp;pAllData'!E28</f>
        <v>15.676976</v>
      </c>
      <c r="E29" s="14">
        <f t="shared" si="1"/>
        <v>4.2797479152437701E-2</v>
      </c>
      <c r="F29" s="14">
        <f t="shared" si="2"/>
        <v>9.0304634888058732E-3</v>
      </c>
      <c r="G29" s="14">
        <f t="shared" si="3"/>
        <v>4.3466499122645663E-2</v>
      </c>
      <c r="H29" s="13">
        <f t="shared" si="4"/>
        <v>7.3528995913741735E-2</v>
      </c>
    </row>
    <row r="30" spans="2:8" ht="15.75" x14ac:dyDescent="0.25">
      <c r="B30" s="10">
        <f t="shared" si="0"/>
        <v>1986</v>
      </c>
      <c r="C30" s="59">
        <f>'s&amp;pAllData'!C29</f>
        <v>242.17</v>
      </c>
      <c r="D30" s="60">
        <f>'s&amp;pAllData'!E29</f>
        <v>14.433332</v>
      </c>
      <c r="E30" s="14">
        <f t="shared" si="1"/>
        <v>2.780478107740425E-2</v>
      </c>
      <c r="F30" s="14">
        <f t="shared" si="2"/>
        <v>-1.0088439956251971E-2</v>
      </c>
      <c r="G30" s="14">
        <f t="shared" si="3"/>
        <v>-1.1525043168935101E-3</v>
      </c>
      <c r="H30" s="13">
        <f t="shared" si="4"/>
        <v>4.0042886219089802E-2</v>
      </c>
    </row>
    <row r="31" spans="2:8" ht="15.75" x14ac:dyDescent="0.25">
      <c r="B31" s="10">
        <f t="shared" si="0"/>
        <v>1987</v>
      </c>
      <c r="C31" s="59">
        <f>'s&amp;pAllData'!C30</f>
        <v>247.08</v>
      </c>
      <c r="D31" s="60">
        <f>'s&amp;pAllData'!E30</f>
        <v>16.035492000000001</v>
      </c>
      <c r="E31" s="14">
        <f t="shared" si="1"/>
        <v>-1.6205885668355346E-2</v>
      </c>
      <c r="F31" s="14">
        <f t="shared" si="2"/>
        <v>3.0110900351352221E-2</v>
      </c>
      <c r="G31" s="14">
        <f t="shared" si="3"/>
        <v>9.69830378790415E-3</v>
      </c>
      <c r="H31" s="13">
        <f t="shared" si="4"/>
        <v>3.9646160962850008E-2</v>
      </c>
    </row>
    <row r="32" spans="2:8" ht="15.75" x14ac:dyDescent="0.25">
      <c r="B32" s="10">
        <f t="shared" si="0"/>
        <v>1988</v>
      </c>
      <c r="C32" s="59">
        <f>'s&amp;pAllData'!C31</f>
        <v>277.72000000000003</v>
      </c>
      <c r="D32" s="60">
        <f>'s&amp;pAllData'!E31</f>
        <v>24.133868000000003</v>
      </c>
      <c r="E32" s="14">
        <f t="shared" si="1"/>
        <v>0.15466201717897987</v>
      </c>
      <c r="F32" s="14">
        <f t="shared" si="2"/>
        <v>0.12667445174609293</v>
      </c>
      <c r="G32" s="14">
        <f t="shared" si="3"/>
        <v>6.8436956560286699E-2</v>
      </c>
      <c r="H32" s="13">
        <f t="shared" si="4"/>
        <v>7.5651089054937337E-2</v>
      </c>
    </row>
    <row r="33" spans="2:8" ht="15.75" x14ac:dyDescent="0.25">
      <c r="B33" s="10">
        <f t="shared" si="0"/>
        <v>1989</v>
      </c>
      <c r="C33" s="59">
        <f>'s&amp;pAllData'!C32</f>
        <v>353.4</v>
      </c>
      <c r="D33" s="60">
        <f>'s&amp;pAllData'!E32</f>
        <v>24.31392</v>
      </c>
      <c r="E33" s="14">
        <f t="shared" si="1"/>
        <v>0.18986071885421962</v>
      </c>
      <c r="F33" s="14">
        <f t="shared" si="2"/>
        <v>7.6210118102454372E-2</v>
      </c>
      <c r="G33" s="14">
        <f t="shared" si="3"/>
        <v>8.3995590082140748E-2</v>
      </c>
      <c r="H33" s="13">
        <f t="shared" si="4"/>
        <v>5.2684595575139603E-2</v>
      </c>
    </row>
    <row r="34" spans="2:8" ht="15.75" x14ac:dyDescent="0.25">
      <c r="B34" s="10">
        <f t="shared" si="0"/>
        <v>1990</v>
      </c>
      <c r="C34" s="59">
        <f>'s&amp;pAllData'!C33</f>
        <v>330.22</v>
      </c>
      <c r="D34" s="60">
        <f>'s&amp;pAllData'!E33</f>
        <v>22.653092000000001</v>
      </c>
      <c r="E34" s="14">
        <f t="shared" si="1"/>
        <v>0.12205737976037256</v>
      </c>
      <c r="F34" s="14">
        <f t="shared" si="2"/>
        <v>7.6398388893100355E-2</v>
      </c>
      <c r="G34" s="14">
        <f t="shared" si="3"/>
        <v>7.9121631554806893E-2</v>
      </c>
      <c r="H34" s="13">
        <f t="shared" si="4"/>
        <v>4.2170218939021842E-2</v>
      </c>
    </row>
    <row r="35" spans="2:8" ht="15.75" x14ac:dyDescent="0.25">
      <c r="B35" s="10">
        <f t="shared" si="0"/>
        <v>1991</v>
      </c>
      <c r="C35" s="59">
        <f>'s&amp;pAllData'!C34</f>
        <v>417.09</v>
      </c>
      <c r="D35" s="60">
        <f>'s&amp;pAllData'!E34</f>
        <v>19.311267000000001</v>
      </c>
      <c r="E35" s="14">
        <f t="shared" si="1"/>
        <v>-7.1615362871793931E-2</v>
      </c>
      <c r="F35" s="14">
        <f t="shared" si="2"/>
        <v>5.9958430451297895E-2</v>
      </c>
      <c r="G35" s="14">
        <f t="shared" si="3"/>
        <v>1.9745015797609344E-2</v>
      </c>
      <c r="H35" s="13">
        <f t="shared" si="4"/>
        <v>2.4336421040259015E-2</v>
      </c>
    </row>
    <row r="36" spans="2:8" ht="15.75" x14ac:dyDescent="0.25">
      <c r="B36" s="10">
        <f t="shared" si="0"/>
        <v>1992</v>
      </c>
      <c r="C36" s="59">
        <f>'s&amp;pAllData'!C35</f>
        <v>435.71</v>
      </c>
      <c r="D36" s="60">
        <f>'s&amp;pAllData'!E35</f>
        <v>20.870508999999998</v>
      </c>
      <c r="E36" s="14">
        <f t="shared" si="1"/>
        <v>-4.9630071718162805E-2</v>
      </c>
      <c r="F36" s="14">
        <f t="shared" si="2"/>
        <v>5.4120235312636211E-2</v>
      </c>
      <c r="G36" s="14">
        <f t="shared" si="3"/>
        <v>4.1724705343758828E-2</v>
      </c>
      <c r="H36" s="13">
        <f t="shared" si="4"/>
        <v>4.2046421555431035E-2</v>
      </c>
    </row>
    <row r="37" spans="2:8" ht="15.75" x14ac:dyDescent="0.25">
      <c r="B37" s="10">
        <f t="shared" si="0"/>
        <v>1993</v>
      </c>
      <c r="C37" s="59">
        <f>'s&amp;pAllData'!C36</f>
        <v>466.45</v>
      </c>
      <c r="D37" s="60">
        <f>'s&amp;pAllData'!E36</f>
        <v>26.914165000000001</v>
      </c>
      <c r="E37" s="14">
        <f t="shared" si="1"/>
        <v>5.9134562733114127E-2</v>
      </c>
      <c r="F37" s="14">
        <f t="shared" si="2"/>
        <v>2.2046829901262166E-2</v>
      </c>
      <c r="G37" s="14">
        <f t="shared" si="3"/>
        <v>9.309821977156596E-2</v>
      </c>
      <c r="H37" s="13">
        <f t="shared" si="4"/>
        <v>7.3086227540842374E-2</v>
      </c>
    </row>
    <row r="38" spans="2:8" ht="15.75" x14ac:dyDescent="0.25">
      <c r="B38" s="10">
        <f t="shared" si="0"/>
        <v>1994</v>
      </c>
      <c r="C38" s="59">
        <f>'s&amp;pAllData'!C37</f>
        <v>459.27</v>
      </c>
      <c r="D38" s="60">
        <f>'s&amp;pAllData'!E37</f>
        <v>31.735556999999996</v>
      </c>
      <c r="E38" s="14">
        <f t="shared" si="1"/>
        <v>0.18008091175966379</v>
      </c>
      <c r="F38" s="14">
        <f t="shared" si="2"/>
        <v>5.4722542736074686E-2</v>
      </c>
      <c r="G38" s="14">
        <f t="shared" si="3"/>
        <v>0.10243242043974443</v>
      </c>
      <c r="H38" s="13">
        <f t="shared" si="4"/>
        <v>6.5412160754377613E-2</v>
      </c>
    </row>
    <row r="39" spans="2:8" ht="15.75" x14ac:dyDescent="0.25">
      <c r="B39" s="10">
        <f t="shared" si="0"/>
        <v>1995</v>
      </c>
      <c r="C39" s="59">
        <f>'s&amp;pAllData'!C38</f>
        <v>615.92999999999995</v>
      </c>
      <c r="D39" s="60">
        <f>'s&amp;pAllData'!E38</f>
        <v>37.694915999999992</v>
      </c>
      <c r="E39" s="14">
        <f t="shared" si="1"/>
        <v>0.2178204043307741</v>
      </c>
      <c r="F39" s="14">
        <f t="shared" si="2"/>
        <v>0.10721269901225661</v>
      </c>
      <c r="G39" s="14">
        <f t="shared" si="3"/>
        <v>6.5773999351291135E-2</v>
      </c>
      <c r="H39" s="13">
        <f t="shared" si="4"/>
        <v>9.1696828509991724E-2</v>
      </c>
    </row>
    <row r="40" spans="2:8" ht="15.75" x14ac:dyDescent="0.25">
      <c r="B40" s="10">
        <f t="shared" si="0"/>
        <v>1996</v>
      </c>
      <c r="C40" s="59">
        <f>'s&amp;pAllData'!C39</f>
        <v>740.74</v>
      </c>
      <c r="D40" s="60">
        <f>'s&amp;pAllData'!E39</f>
        <v>40.666626000000001</v>
      </c>
      <c r="E40" s="14">
        <f t="shared" si="1"/>
        <v>0.14749925002028208</v>
      </c>
      <c r="F40" s="14">
        <f t="shared" si="2"/>
        <v>0.16060777238623092</v>
      </c>
      <c r="G40" s="14">
        <f t="shared" si="3"/>
        <v>7.6246816288586095E-2</v>
      </c>
      <c r="H40" s="13">
        <f t="shared" si="4"/>
        <v>0.10914200749411984</v>
      </c>
    </row>
    <row r="41" spans="2:8" ht="15.75" x14ac:dyDescent="0.25">
      <c r="B41" s="10">
        <f t="shared" si="0"/>
        <v>1997</v>
      </c>
      <c r="C41" s="59">
        <f>'s&amp;pAllData'!C40</f>
        <v>970.43</v>
      </c>
      <c r="D41" s="60">
        <f>'s&amp;pAllData'!E40</f>
        <v>44.057521999999999</v>
      </c>
      <c r="E41" s="14">
        <f t="shared" si="1"/>
        <v>0.11555583939681413</v>
      </c>
      <c r="F41" s="14">
        <f t="shared" si="2"/>
        <v>0.16117427334047774</v>
      </c>
      <c r="G41" s="14">
        <f t="shared" si="3"/>
        <v>9.9690234111491582E-2</v>
      </c>
      <c r="H41" s="13">
        <f t="shared" si="4"/>
        <v>0.10635315259307854</v>
      </c>
    </row>
    <row r="42" spans="2:8" ht="15.75" x14ac:dyDescent="0.25">
      <c r="B42" s="10">
        <f t="shared" si="0"/>
        <v>1998</v>
      </c>
      <c r="C42" s="59">
        <f>'s&amp;pAllData'!C41</f>
        <v>1229.23</v>
      </c>
      <c r="D42" s="60">
        <f>'s&amp;pAllData'!E41</f>
        <v>44.252279999999999</v>
      </c>
      <c r="E42" s="14">
        <f t="shared" si="1"/>
        <v>5.4915379564076883E-2</v>
      </c>
      <c r="F42" s="14">
        <f t="shared" si="2"/>
        <v>0.10456416187561923</v>
      </c>
      <c r="G42" s="14">
        <f t="shared" si="3"/>
        <v>0.12576155125036781</v>
      </c>
      <c r="H42" s="13">
        <f t="shared" si="4"/>
        <v>6.250472943301344E-2</v>
      </c>
    </row>
    <row r="43" spans="2:8" ht="15.75" x14ac:dyDescent="0.25">
      <c r="B43" s="10">
        <f t="shared" si="0"/>
        <v>1999</v>
      </c>
      <c r="C43" s="59">
        <f>'s&amp;pAllData'!C42</f>
        <v>1469.25</v>
      </c>
      <c r="D43" s="60">
        <f>'s&amp;pAllData'!E42</f>
        <v>51.717600000000004</v>
      </c>
      <c r="E43" s="14">
        <f t="shared" si="1"/>
        <v>8.3428046095060493E-2</v>
      </c>
      <c r="F43" s="14">
        <f t="shared" si="2"/>
        <v>0.10260116634056815</v>
      </c>
      <c r="G43" s="14">
        <f t="shared" si="3"/>
        <v>0.13841539528792013</v>
      </c>
      <c r="H43" s="13">
        <f t="shared" si="4"/>
        <v>7.8396172928338004E-2</v>
      </c>
    </row>
    <row r="44" spans="2:8" ht="15.75" x14ac:dyDescent="0.25">
      <c r="B44" s="10">
        <f t="shared" si="0"/>
        <v>2000</v>
      </c>
      <c r="C44" s="59">
        <f>'s&amp;pAllData'!C43</f>
        <v>1320.28</v>
      </c>
      <c r="D44" s="60">
        <f>'s&amp;pAllData'!E43</f>
        <v>56.111900000000006</v>
      </c>
      <c r="E44" s="14">
        <f t="shared" si="1"/>
        <v>8.3955955767127444E-2</v>
      </c>
      <c r="F44" s="14">
        <f t="shared" si="2"/>
        <v>8.281543785109835E-2</v>
      </c>
      <c r="G44" s="14">
        <f t="shared" si="3"/>
        <v>0.11066224524664414</v>
      </c>
      <c r="H44" s="13">
        <f t="shared" si="4"/>
        <v>9.494611898268901E-2</v>
      </c>
    </row>
    <row r="45" spans="2:8" ht="15.75" x14ac:dyDescent="0.25">
      <c r="B45" s="10">
        <f>B44+1</f>
        <v>2001</v>
      </c>
      <c r="C45" s="59">
        <f>'s&amp;pAllData'!C44</f>
        <v>1148.0899999999999</v>
      </c>
      <c r="D45" s="60">
        <f>'s&amp;pAllData'!E44</f>
        <v>38.805441999999992</v>
      </c>
      <c r="E45" s="14">
        <f>_xlfn.RRI(3,D42,D45)</f>
        <v>-4.2837531771906079E-2</v>
      </c>
      <c r="F45" s="14">
        <f>_xlfn.RRI(5,D40,D45)</f>
        <v>-9.3256957544054497E-3</v>
      </c>
      <c r="G45" s="14">
        <f t="shared" ref="G45:G51" si="5">_xlfn.RRI(7,D38,D45)</f>
        <v>2.914856486048456E-2</v>
      </c>
      <c r="H45" s="13">
        <f t="shared" ref="H45:H54" si="6">_xlfn.RRI(10,D35,D45)</f>
        <v>7.2279952909107825E-2</v>
      </c>
    </row>
    <row r="46" spans="2:8" ht="15.75" x14ac:dyDescent="0.25">
      <c r="B46" s="10">
        <f t="shared" si="0"/>
        <v>2002</v>
      </c>
      <c r="C46" s="59">
        <f>'s&amp;pAllData'!C45</f>
        <v>879.82</v>
      </c>
      <c r="D46" s="60">
        <f>'s&amp;pAllData'!E45</f>
        <v>46.014586000000001</v>
      </c>
      <c r="E46" s="14">
        <f>_xlfn.RRI(3,D43,D46)</f>
        <v>-3.8197905041756131E-2</v>
      </c>
      <c r="F46" s="14">
        <f>_xlfn.RRI(5,D41,D46)</f>
        <v>8.73035617111384E-3</v>
      </c>
      <c r="G46" s="14">
        <f t="shared" si="5"/>
        <v>2.890019242458064E-2</v>
      </c>
      <c r="H46" s="13">
        <f t="shared" si="6"/>
        <v>8.2271564037175615E-2</v>
      </c>
    </row>
    <row r="47" spans="2:8" ht="15.75" x14ac:dyDescent="0.25">
      <c r="B47" s="10">
        <f t="shared" si="0"/>
        <v>2003</v>
      </c>
      <c r="C47" s="59">
        <f>'s&amp;pAllData'!C46</f>
        <v>1111.9100000000001</v>
      </c>
      <c r="D47" s="60">
        <f>'s&amp;pAllData'!E46</f>
        <v>54.705972000000003</v>
      </c>
      <c r="E47" s="14">
        <f>_xlfn.RRI(3,D44,D47)</f>
        <v>-8.4226723388219904E-3</v>
      </c>
      <c r="F47" s="14">
        <f>_xlfn.RRI(5,D42,D47)</f>
        <v>4.3325488712555371E-2</v>
      </c>
      <c r="G47" s="14">
        <f t="shared" si="5"/>
        <v>4.3276713698394698E-2</v>
      </c>
      <c r="H47" s="13">
        <f t="shared" si="6"/>
        <v>7.3508241236766025E-2</v>
      </c>
    </row>
    <row r="48" spans="2:8" ht="15.75" x14ac:dyDescent="0.25">
      <c r="B48" s="10">
        <f t="shared" si="0"/>
        <v>2004</v>
      </c>
      <c r="C48" s="59">
        <f>'s&amp;pAllData'!C47</f>
        <v>1211.92</v>
      </c>
      <c r="D48" s="60">
        <f>'s&amp;pAllData'!E47</f>
        <v>67.625136000000012</v>
      </c>
      <c r="E48" s="14">
        <f t="shared" si="1"/>
        <v>0.20338660315060841</v>
      </c>
      <c r="F48" s="14">
        <f>_xlfn.RRI(5,D43,D48)</f>
        <v>5.5100813125995352E-2</v>
      </c>
      <c r="G48" s="14">
        <f t="shared" si="5"/>
        <v>6.3124219480575672E-2</v>
      </c>
      <c r="H48" s="13">
        <f t="shared" si="6"/>
        <v>7.8589535995785775E-2</v>
      </c>
    </row>
    <row r="49" spans="2:8" ht="15.75" x14ac:dyDescent="0.25">
      <c r="B49" s="10">
        <f t="shared" si="0"/>
        <v>2005</v>
      </c>
      <c r="C49" s="59">
        <f>'s&amp;pAllData'!C48</f>
        <v>1248.29</v>
      </c>
      <c r="D49" s="60">
        <f>'s&amp;pAllData'!E48</f>
        <v>76.395347999999998</v>
      </c>
      <c r="E49" s="14">
        <f t="shared" si="1"/>
        <v>0.18410568133243532</v>
      </c>
      <c r="F49" s="14">
        <f>_xlfn.RRI(5,D44,D49)</f>
        <v>6.3658923175994309E-2</v>
      </c>
      <c r="G49" s="14">
        <f t="shared" si="5"/>
        <v>8.1124961265484075E-2</v>
      </c>
      <c r="H49" s="13">
        <f t="shared" si="6"/>
        <v>7.3194438404822426E-2</v>
      </c>
    </row>
    <row r="50" spans="2:8" ht="15.75" x14ac:dyDescent="0.25">
      <c r="B50" s="10">
        <f t="shared" si="0"/>
        <v>2006</v>
      </c>
      <c r="C50" s="59">
        <f>'s&amp;pAllData'!C49</f>
        <v>1418.3</v>
      </c>
      <c r="D50" s="60">
        <f>'s&amp;pAllData'!E49</f>
        <v>87.650939999999991</v>
      </c>
      <c r="E50" s="14">
        <f t="shared" si="1"/>
        <v>0.17014751063402733</v>
      </c>
      <c r="F50" s="14">
        <f t="shared" si="2"/>
        <v>0.17699004259043072</v>
      </c>
      <c r="G50" s="14">
        <f t="shared" si="5"/>
        <v>7.8279065521089652E-2</v>
      </c>
      <c r="H50" s="13">
        <f t="shared" si="6"/>
        <v>7.9821184987249438E-2</v>
      </c>
    </row>
    <row r="51" spans="2:8" ht="15.75" x14ac:dyDescent="0.25">
      <c r="B51" s="10">
        <f t="shared" si="0"/>
        <v>2007</v>
      </c>
      <c r="C51" s="59">
        <f>'s&amp;pAllData'!C50</f>
        <v>1468.36</v>
      </c>
      <c r="D51" s="60">
        <f>'s&amp;pAllData'!E50</f>
        <v>82.521831999999989</v>
      </c>
      <c r="E51" s="14">
        <f t="shared" si="1"/>
        <v>6.8612466629408564E-2</v>
      </c>
      <c r="F51" s="14">
        <f t="shared" si="2"/>
        <v>0.12391810791481594</v>
      </c>
      <c r="G51" s="14">
        <f t="shared" si="5"/>
        <v>5.6648534851156063E-2</v>
      </c>
      <c r="H51" s="13">
        <f t="shared" si="6"/>
        <v>6.4767727396015884E-2</v>
      </c>
    </row>
    <row r="52" spans="2:8" ht="15.75" x14ac:dyDescent="0.25">
      <c r="B52" s="10">
        <f t="shared" si="0"/>
        <v>2008</v>
      </c>
      <c r="C52" s="59">
        <f>'s&amp;pAllData'!C51</f>
        <v>903.25</v>
      </c>
      <c r="D52" s="60">
        <f>'s&amp;pAllData'!E51</f>
        <v>49.498100000000001</v>
      </c>
      <c r="E52" s="14">
        <f t="shared" si="1"/>
        <v>-0.13468571815130737</v>
      </c>
      <c r="F52" s="14">
        <f t="shared" si="2"/>
        <v>-1.9808892974401249E-2</v>
      </c>
      <c r="G52" s="14">
        <f t="shared" si="3"/>
        <v>3.5379146081634616E-2</v>
      </c>
      <c r="H52" s="13">
        <f t="shared" si="6"/>
        <v>1.1265724609107686E-2</v>
      </c>
    </row>
    <row r="53" spans="2:8" ht="15.75" x14ac:dyDescent="0.25">
      <c r="B53" s="10">
        <f t="shared" si="0"/>
        <v>2009</v>
      </c>
      <c r="C53" s="59">
        <f>'s&amp;pAllData'!C52</f>
        <v>1115.0999999999999</v>
      </c>
      <c r="D53" s="60">
        <f>'s&amp;pAllData'!E52</f>
        <v>56.870099999999994</v>
      </c>
      <c r="E53" s="14">
        <f t="shared" si="1"/>
        <v>-0.13428328137879786</v>
      </c>
      <c r="F53" s="14">
        <f t="shared" si="2"/>
        <v>-3.4048840632078359E-2</v>
      </c>
      <c r="G53" s="14">
        <f t="shared" si="3"/>
        <v>3.0721203941217246E-2</v>
      </c>
      <c r="H53" s="13">
        <f t="shared" si="6"/>
        <v>9.5423981631934662E-3</v>
      </c>
    </row>
    <row r="54" spans="2:8" ht="15.75" x14ac:dyDescent="0.25">
      <c r="B54" s="10">
        <f t="shared" si="0"/>
        <v>2010</v>
      </c>
      <c r="C54" s="59">
        <f>'s&amp;pAllData'!C53</f>
        <v>1257.6400000000001</v>
      </c>
      <c r="D54" s="60">
        <f>'s&amp;pAllData'!E53</f>
        <v>83.758824000000018</v>
      </c>
      <c r="E54" s="14">
        <f t="shared" si="1"/>
        <v>4.971864809382387E-3</v>
      </c>
      <c r="F54" s="14">
        <f t="shared" si="2"/>
        <v>1.8574340717835147E-2</v>
      </c>
      <c r="G54" s="14">
        <f t="shared" si="3"/>
        <v>6.2742322076850376E-2</v>
      </c>
      <c r="H54" s="13">
        <f t="shared" si="6"/>
        <v>4.0872560125700952E-2</v>
      </c>
    </row>
    <row r="55" spans="2:8" ht="15.75" x14ac:dyDescent="0.25">
      <c r="B55" s="10">
        <f t="shared" si="0"/>
        <v>2011</v>
      </c>
      <c r="C55" s="59">
        <f>'s&amp;pAllData'!C54</f>
        <v>1257.5999999999999</v>
      </c>
      <c r="D55" s="60">
        <f>'s&amp;pAllData'!E54</f>
        <v>96.457920000000001</v>
      </c>
      <c r="E55" s="14">
        <f t="shared" si="1"/>
        <v>0.24905948405726375</v>
      </c>
      <c r="F55" s="14">
        <f t="shared" si="2"/>
        <v>1.9333419179580424E-2</v>
      </c>
      <c r="G55" s="14">
        <f t="shared" si="3"/>
        <v>5.2041374861824696E-2</v>
      </c>
      <c r="H55" s="13">
        <f t="shared" si="4"/>
        <v>9.5328847631625191E-2</v>
      </c>
    </row>
    <row r="56" spans="2:8" ht="15.75" x14ac:dyDescent="0.25">
      <c r="B56" s="10">
        <f t="shared" si="0"/>
        <v>2012</v>
      </c>
      <c r="C56" s="59">
        <f>'s&amp;pAllData'!C55</f>
        <v>1426.19</v>
      </c>
      <c r="D56" s="60">
        <f>'s&amp;pAllData'!E55</f>
        <v>96.838301000000001</v>
      </c>
      <c r="E56" s="14">
        <f t="shared" si="1"/>
        <v>0.19413764544279344</v>
      </c>
      <c r="F56" s="14">
        <f t="shared" si="2"/>
        <v>3.2513313060771987E-2</v>
      </c>
      <c r="G56" s="14">
        <f t="shared" si="3"/>
        <v>3.4454668585834236E-2</v>
      </c>
      <c r="H56" s="13">
        <f t="shared" si="4"/>
        <v>7.7246679833417264E-2</v>
      </c>
    </row>
    <row r="57" spans="2:8" ht="15.75" x14ac:dyDescent="0.25">
      <c r="B57" s="10">
        <f t="shared" si="0"/>
        <v>2013</v>
      </c>
      <c r="C57" s="59">
        <f>'s&amp;pAllData'!C56</f>
        <v>1848.36</v>
      </c>
      <c r="D57" s="60">
        <f>'s&amp;pAllData'!E56</f>
        <v>104.98684799999999</v>
      </c>
      <c r="E57" s="14">
        <f t="shared" si="1"/>
        <v>7.8205249665768806E-2</v>
      </c>
      <c r="F57" s="14">
        <f t="shared" si="2"/>
        <v>0.16227600963918509</v>
      </c>
      <c r="G57" s="14">
        <f t="shared" si="3"/>
        <v>2.6117047207793398E-2</v>
      </c>
      <c r="H57" s="13">
        <f t="shared" si="4"/>
        <v>6.7357769708699111E-2</v>
      </c>
    </row>
    <row r="58" spans="2:8" ht="15.75" x14ac:dyDescent="0.25">
      <c r="B58" s="10">
        <f t="shared" si="0"/>
        <v>2014</v>
      </c>
      <c r="C58" s="59">
        <f>'s&amp;pAllData'!C57</f>
        <v>2058.9</v>
      </c>
      <c r="D58" s="60">
        <f>'s&amp;pAllData'!E57</f>
        <v>116.12196</v>
      </c>
      <c r="E58" s="14">
        <f t="shared" si="1"/>
        <v>6.3797147977412205E-2</v>
      </c>
      <c r="F58" s="14">
        <f t="shared" si="2"/>
        <v>0.15346938772339769</v>
      </c>
      <c r="G58" s="14">
        <f t="shared" si="3"/>
        <v>5.0007047066144228E-2</v>
      </c>
      <c r="H58" s="13">
        <f t="shared" si="4"/>
        <v>5.5554400477219712E-2</v>
      </c>
    </row>
    <row r="59" spans="2:8" ht="15.75" x14ac:dyDescent="0.25">
      <c r="B59" s="10">
        <f t="shared" si="0"/>
        <v>2015</v>
      </c>
      <c r="C59" s="59">
        <f>'s&amp;pAllData'!C58</f>
        <v>2043.94</v>
      </c>
      <c r="D59" s="60">
        <f>'s&amp;pAllData'!E58</f>
        <v>100.561848</v>
      </c>
      <c r="E59" s="14">
        <f t="shared" si="1"/>
        <v>1.2656204919504699E-2</v>
      </c>
      <c r="F59" s="14">
        <f t="shared" si="2"/>
        <v>3.7243053289939931E-2</v>
      </c>
      <c r="G59" s="14">
        <f t="shared" si="3"/>
        <v>0.10656726027348307</v>
      </c>
      <c r="H59" s="13">
        <f t="shared" si="4"/>
        <v>2.7866313860394509E-2</v>
      </c>
    </row>
    <row r="60" spans="2:8" ht="15.75" x14ac:dyDescent="0.25">
      <c r="B60" s="10">
        <f t="shared" si="0"/>
        <v>2016</v>
      </c>
      <c r="C60" s="59">
        <f>'s&amp;pAllData'!C59</f>
        <v>2238.83</v>
      </c>
      <c r="D60" s="60">
        <f>'s&amp;pAllData'!E59</f>
        <v>106.344425</v>
      </c>
      <c r="E60" s="14">
        <f t="shared" si="1"/>
        <v>4.2918617216729515E-3</v>
      </c>
      <c r="F60" s="14">
        <f t="shared" si="2"/>
        <v>1.9706920934464689E-2</v>
      </c>
      <c r="G60" s="14">
        <f t="shared" si="3"/>
        <v>9.3535691073591831E-2</v>
      </c>
      <c r="H60" s="13">
        <f t="shared" si="4"/>
        <v>1.9520152952951619E-2</v>
      </c>
    </row>
    <row r="61" spans="2:8" ht="15.75" x14ac:dyDescent="0.25">
      <c r="B61" s="10">
        <f t="shared" si="0"/>
        <v>2017</v>
      </c>
      <c r="C61" s="59">
        <f>'s&amp;pAllData'!C60</f>
        <v>2673.61</v>
      </c>
      <c r="D61" s="60">
        <f>'s&amp;pAllData'!E60</f>
        <v>124.59022600000002</v>
      </c>
      <c r="E61" s="14">
        <f t="shared" si="1"/>
        <v>2.3740470159973714E-2</v>
      </c>
      <c r="F61" s="14">
        <f t="shared" si="2"/>
        <v>5.1689075002790075E-2</v>
      </c>
      <c r="G61" s="14">
        <f t="shared" si="3"/>
        <v>5.8366781454845862E-2</v>
      </c>
      <c r="H61" s="13">
        <f t="shared" si="4"/>
        <v>4.2057086315787862E-2</v>
      </c>
    </row>
    <row r="62" spans="2:8" ht="15.75" x14ac:dyDescent="0.25">
      <c r="B62" s="10">
        <f t="shared" si="0"/>
        <v>2018</v>
      </c>
      <c r="C62" s="59">
        <f>'s&amp;pAllData'!C61</f>
        <v>2506.85</v>
      </c>
      <c r="D62" s="60">
        <f>'s&amp;pAllData'!E61</f>
        <v>148.40552</v>
      </c>
      <c r="E62" s="14">
        <f t="shared" si="1"/>
        <v>0.13851547081751514</v>
      </c>
      <c r="F62" s="14">
        <f t="shared" si="2"/>
        <v>7.1674832054100746E-2</v>
      </c>
      <c r="G62" s="14">
        <f t="shared" si="3"/>
        <v>6.3482404710327289E-2</v>
      </c>
      <c r="H62" s="13">
        <f t="shared" si="4"/>
        <v>0.11605642663378979</v>
      </c>
    </row>
    <row r="63" spans="2:8" ht="15.75" x14ac:dyDescent="0.25">
      <c r="B63" s="10">
        <f t="shared" si="0"/>
        <v>2019</v>
      </c>
      <c r="C63" s="59">
        <f>'s&amp;pAllData'!C62</f>
        <v>3230.78</v>
      </c>
      <c r="D63" s="60">
        <f>'s&amp;pAllData'!E62</f>
        <v>162.50823400000002</v>
      </c>
      <c r="E63" s="14">
        <f t="shared" si="1"/>
        <v>0.15182600945895319</v>
      </c>
      <c r="F63" s="14">
        <f t="shared" si="2"/>
        <v>6.9528107994917709E-2</v>
      </c>
      <c r="G63" s="14">
        <f t="shared" si="3"/>
        <v>7.675851698434677E-2</v>
      </c>
      <c r="H63" s="13">
        <f t="shared" si="4"/>
        <v>0.11070605106925657</v>
      </c>
    </row>
    <row r="64" spans="2:8" ht="15.75" x14ac:dyDescent="0.25">
      <c r="B64" s="10">
        <f t="shared" si="0"/>
        <v>2020</v>
      </c>
      <c r="C64" s="59">
        <f>'s&amp;pAllData'!C63</f>
        <v>3756.07</v>
      </c>
      <c r="D64" s="60">
        <f>'s&amp;pAllData'!E63</f>
        <v>138.223376</v>
      </c>
      <c r="E64" s="14">
        <f t="shared" si="1"/>
        <v>3.521965126478066E-2</v>
      </c>
      <c r="F64" s="14">
        <f t="shared" si="2"/>
        <v>6.5686956075869052E-2</v>
      </c>
      <c r="G64" s="14">
        <f t="shared" si="3"/>
        <v>4.0072946071079807E-2</v>
      </c>
      <c r="H64" s="13">
        <f t="shared" si="4"/>
        <v>5.1368818337027111E-2</v>
      </c>
    </row>
    <row r="65" spans="2:8" ht="15.75" x14ac:dyDescent="0.25">
      <c r="B65" s="10">
        <f t="shared" si="0"/>
        <v>2021</v>
      </c>
      <c r="C65" s="59">
        <f>'s&amp;pAllData'!C64</f>
        <v>4766.18</v>
      </c>
      <c r="D65" s="60">
        <f>'s&amp;pAllData'!E64</f>
        <v>206.37559400000001</v>
      </c>
      <c r="E65" s="14">
        <f t="shared" si="1"/>
        <v>0.11618477348691925</v>
      </c>
      <c r="F65" s="14">
        <f t="shared" si="2"/>
        <v>0.14179653777763823</v>
      </c>
      <c r="G65" s="14">
        <f t="shared" si="3"/>
        <v>8.5619689181172021E-2</v>
      </c>
      <c r="H65" s="13">
        <f t="shared" si="4"/>
        <v>7.9026335114610546E-2</v>
      </c>
    </row>
    <row r="66" spans="2:8" ht="15.75" x14ac:dyDescent="0.25">
      <c r="B66" s="10">
        <f t="shared" si="0"/>
        <v>2022</v>
      </c>
      <c r="C66" s="59">
        <f>'s&amp;pAllData'!C65</f>
        <v>3839.5</v>
      </c>
      <c r="D66" s="60">
        <f>'s&amp;pAllData'!E65</f>
        <v>219.61940000000001</v>
      </c>
      <c r="E66" s="14">
        <f t="shared" si="1"/>
        <v>0.10560105209871273</v>
      </c>
      <c r="F66" s="14">
        <f t="shared" si="2"/>
        <v>0.12004983245776213</v>
      </c>
      <c r="G66" s="14">
        <f t="shared" si="3"/>
        <v>0.11805326340242828</v>
      </c>
      <c r="H66" s="13">
        <f t="shared" si="4"/>
        <v>8.5331365185091324E-2</v>
      </c>
    </row>
    <row r="67" spans="2:8" ht="15.75" x14ac:dyDescent="0.25">
      <c r="B67" s="10">
        <f t="shared" si="0"/>
        <v>2023</v>
      </c>
      <c r="C67" s="59">
        <f>'s&amp;pAllData'!C66</f>
        <v>4769.83</v>
      </c>
      <c r="D67" s="60">
        <f>'s&amp;pAllData'!E66</f>
        <v>219.889163</v>
      </c>
      <c r="E67" s="14">
        <f t="shared" si="1"/>
        <v>0.16736708379102727</v>
      </c>
      <c r="F67" s="14">
        <f t="shared" si="2"/>
        <v>8.180940862250341E-2</v>
      </c>
      <c r="G67" s="14">
        <f t="shared" si="3"/>
        <v>0.10935327865992051</v>
      </c>
      <c r="H67" s="13">
        <f t="shared" si="4"/>
        <v>7.6730196613834734E-2</v>
      </c>
    </row>
    <row r="68" spans="2:8" ht="15.75" x14ac:dyDescent="0.25">
      <c r="B68" s="10">
        <f t="shared" si="0"/>
        <v>2024</v>
      </c>
      <c r="C68" s="59">
        <f>'s&amp;pAllData'!C67</f>
        <v>5881.63</v>
      </c>
      <c r="D68" s="60">
        <f>'s&amp;pAllData'!E67</f>
        <v>243.499482</v>
      </c>
      <c r="E68" s="14">
        <f>_xlfn.RRI(3,D65,D68)</f>
        <v>5.668749625700964E-2</v>
      </c>
      <c r="F68" s="14">
        <f>_xlfn.RRI(5,D63,D68)</f>
        <v>8.4237775212690158E-2</v>
      </c>
      <c r="G68" s="14">
        <f>_xlfn.RRI(7,D61,D68)</f>
        <v>0.10045791470721732</v>
      </c>
      <c r="H68" s="13">
        <f>_xlfn.RRI(10,D58,D68)</f>
        <v>7.6857825499655918E-2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37326-005B-4DE6-904C-F6A53044413F}">
  <dimension ref="B2:R353"/>
  <sheetViews>
    <sheetView showGridLines="0" workbookViewId="0">
      <selection activeCell="J34" sqref="J34"/>
    </sheetView>
  </sheetViews>
  <sheetFormatPr defaultRowHeight="15" x14ac:dyDescent="0.25"/>
  <cols>
    <col min="1" max="1" width="1.85546875" customWidth="1"/>
    <col min="7" max="7" width="9.5703125" bestFit="1" customWidth="1"/>
    <col min="10" max="10" width="14.28515625" bestFit="1" customWidth="1"/>
    <col min="12" max="12" width="23.5703125" customWidth="1"/>
    <col min="13" max="13" width="16.28515625" bestFit="1" customWidth="1"/>
    <col min="16" max="18" width="17.7109375" customWidth="1"/>
  </cols>
  <sheetData>
    <row r="2" spans="2:18" x14ac:dyDescent="0.25">
      <c r="B2" s="33" t="s">
        <v>101</v>
      </c>
    </row>
    <row r="3" spans="2:18" x14ac:dyDescent="0.25">
      <c r="B3" s="78" t="s">
        <v>16</v>
      </c>
      <c r="C3" s="80" t="s">
        <v>17</v>
      </c>
      <c r="D3" s="80" t="s">
        <v>18</v>
      </c>
      <c r="E3" s="80" t="s">
        <v>19</v>
      </c>
      <c r="F3" s="80" t="s">
        <v>20</v>
      </c>
      <c r="G3" s="80" t="s">
        <v>22</v>
      </c>
      <c r="I3" s="78" t="s">
        <v>0</v>
      </c>
      <c r="J3" s="80" t="s">
        <v>21</v>
      </c>
    </row>
    <row r="4" spans="2:18" x14ac:dyDescent="0.25">
      <c r="B4" s="39">
        <v>45659</v>
      </c>
      <c r="C4" s="64">
        <v>4.2020000000000002E-2</v>
      </c>
      <c r="D4" s="64">
        <v>4.5629999999999997E-2</v>
      </c>
      <c r="E4" s="64">
        <v>4.6600000000000003E-2</v>
      </c>
      <c r="F4" s="64">
        <v>4.1929999999999995E-2</v>
      </c>
      <c r="G4" s="53">
        <v>-7.4899999999999994E-2</v>
      </c>
      <c r="H4" s="3"/>
      <c r="I4">
        <v>1996</v>
      </c>
      <c r="J4" s="14">
        <f>AVERAGEIFS($C$4:$C$353,$B$4:$B$353,"&gt;="&amp;DATE(I4,1,1),$B$4:$B$353,"&lt;="&amp;DATE(I4,12,31))</f>
        <v>6.4600000000000005E-2</v>
      </c>
      <c r="P4" s="116" t="s">
        <v>31</v>
      </c>
      <c r="Q4" s="98"/>
      <c r="R4" s="98"/>
    </row>
    <row r="5" spans="2:18" x14ac:dyDescent="0.25">
      <c r="B5" s="39">
        <v>45658</v>
      </c>
      <c r="C5" s="64">
        <v>4.5419999999999995E-2</v>
      </c>
      <c r="D5" s="64">
        <v>4.5710000000000001E-2</v>
      </c>
      <c r="E5" s="64">
        <v>4.8090000000000001E-2</v>
      </c>
      <c r="F5" s="64">
        <v>4.4859999999999997E-2</v>
      </c>
      <c r="G5" s="53">
        <v>-6.6E-3</v>
      </c>
      <c r="I5">
        <f>I4+1</f>
        <v>1997</v>
      </c>
      <c r="J5" s="14">
        <f t="shared" ref="J5:J32" si="0">AVERAGEIFS($C$4:$C$353,$B$4:$B$353,"&gt;="&amp;DATE(I5,1,1),$B$4:$B$353,"&lt;="&amp;DATE(I5,12,31))</f>
        <v>6.3129999999999992E-2</v>
      </c>
      <c r="L5" s="116" t="s">
        <v>79</v>
      </c>
      <c r="M5" s="78"/>
      <c r="N5" s="19">
        <f>R6</f>
        <v>0</v>
      </c>
      <c r="P5" s="98" t="s">
        <v>32</v>
      </c>
      <c r="Q5" s="98" t="s">
        <v>33</v>
      </c>
      <c r="R5" s="98" t="s">
        <v>34</v>
      </c>
    </row>
    <row r="6" spans="2:18" x14ac:dyDescent="0.25">
      <c r="B6" s="39">
        <v>45303</v>
      </c>
      <c r="C6" s="64">
        <v>4.5720000000000004E-2</v>
      </c>
      <c r="D6" s="64">
        <v>4.2069999999999996E-2</v>
      </c>
      <c r="E6" s="64">
        <v>4.641E-2</v>
      </c>
      <c r="F6" s="64">
        <v>4.1260000000000005E-2</v>
      </c>
      <c r="G6" s="53">
        <v>9.4500000000000001E-2</v>
      </c>
      <c r="I6">
        <f t="shared" ref="I6:I33" si="1">I5+1</f>
        <v>1998</v>
      </c>
      <c r="J6" s="14">
        <f t="shared" si="0"/>
        <v>5.2140833333333331E-2</v>
      </c>
      <c r="P6" s="1" t="s">
        <v>35</v>
      </c>
      <c r="Q6" s="1" t="s">
        <v>36</v>
      </c>
      <c r="R6" s="23">
        <v>0</v>
      </c>
    </row>
    <row r="7" spans="2:18" x14ac:dyDescent="0.25">
      <c r="B7" s="39">
        <v>45302</v>
      </c>
      <c r="C7" s="64">
        <v>4.1769999999999995E-2</v>
      </c>
      <c r="D7" s="64">
        <v>4.292E-2</v>
      </c>
      <c r="E7" s="64">
        <v>4.505E-2</v>
      </c>
      <c r="F7" s="64">
        <v>4.172E-2</v>
      </c>
      <c r="G7" s="53">
        <v>-2.4299999999999999E-2</v>
      </c>
      <c r="I7">
        <f t="shared" si="1"/>
        <v>1999</v>
      </c>
      <c r="J7" s="14">
        <f t="shared" si="0"/>
        <v>5.6967500000000004E-2</v>
      </c>
      <c r="P7" s="1" t="s">
        <v>37</v>
      </c>
      <c r="Q7" s="1" t="s">
        <v>38</v>
      </c>
      <c r="R7" s="23">
        <v>39.577444416893947</v>
      </c>
    </row>
    <row r="8" spans="2:18" x14ac:dyDescent="0.25">
      <c r="B8" s="39">
        <v>45301</v>
      </c>
      <c r="C8" s="64">
        <v>4.2809999999999994E-2</v>
      </c>
      <c r="D8" s="64">
        <v>3.7789999999999997E-2</v>
      </c>
      <c r="E8" s="64">
        <v>4.3390000000000005E-2</v>
      </c>
      <c r="F8" s="64">
        <v>3.696E-2</v>
      </c>
      <c r="G8" s="53">
        <v>0.13089999999999999</v>
      </c>
      <c r="I8">
        <f t="shared" si="1"/>
        <v>2000</v>
      </c>
      <c r="J8" s="14">
        <f t="shared" si="0"/>
        <v>5.9609166666666658E-2</v>
      </c>
      <c r="L8" s="80" t="s">
        <v>23</v>
      </c>
      <c r="M8" s="78" t="s">
        <v>24</v>
      </c>
      <c r="N8" s="20">
        <f>AVERAGE(J14:J33)</f>
        <v>2.872333333333334E-2</v>
      </c>
      <c r="P8" s="1" t="s">
        <v>39</v>
      </c>
      <c r="Q8" s="1" t="s">
        <v>40</v>
      </c>
      <c r="R8" s="23">
        <v>48.889784279692527</v>
      </c>
    </row>
    <row r="9" spans="2:18" x14ac:dyDescent="0.25">
      <c r="B9" s="39">
        <v>45300</v>
      </c>
      <c r="C9" s="64">
        <v>3.7859999999999998E-2</v>
      </c>
      <c r="D9" s="64">
        <v>3.9280000000000002E-2</v>
      </c>
      <c r="E9" s="64">
        <v>3.9320000000000001E-2</v>
      </c>
      <c r="F9" s="64">
        <v>3.5990000000000001E-2</v>
      </c>
      <c r="G9" s="53">
        <v>-3.1600000000000003E-2</v>
      </c>
      <c r="I9">
        <f t="shared" si="1"/>
        <v>2001</v>
      </c>
      <c r="J9" s="14">
        <f t="shared" si="0"/>
        <v>4.9639999999999997E-2</v>
      </c>
      <c r="L9" s="11"/>
      <c r="P9" s="1" t="s">
        <v>41</v>
      </c>
      <c r="Q9" s="1" t="s">
        <v>42</v>
      </c>
      <c r="R9" s="23">
        <v>59.366166625340931</v>
      </c>
    </row>
    <row r="10" spans="2:18" x14ac:dyDescent="0.25">
      <c r="B10" s="39">
        <v>45299</v>
      </c>
      <c r="C10" s="64">
        <v>3.909E-2</v>
      </c>
      <c r="D10" s="64">
        <v>4.0559999999999999E-2</v>
      </c>
      <c r="E10" s="64">
        <v>4.0660000000000002E-2</v>
      </c>
      <c r="F10" s="64">
        <v>3.6670000000000001E-2</v>
      </c>
      <c r="G10" s="53">
        <v>-3.0800000000000001E-2</v>
      </c>
      <c r="I10">
        <f t="shared" si="1"/>
        <v>2002</v>
      </c>
      <c r="J10" s="14">
        <f t="shared" si="0"/>
        <v>4.5318333333333329E-2</v>
      </c>
      <c r="L10" s="80" t="s">
        <v>23</v>
      </c>
      <c r="M10" s="78" t="s">
        <v>25</v>
      </c>
      <c r="N10" s="20">
        <f>AVERAGE(J19:J33)</f>
        <v>2.5404166666666672E-2</v>
      </c>
      <c r="P10" s="1" t="s">
        <v>43</v>
      </c>
      <c r="Q10" s="1" t="s">
        <v>44</v>
      </c>
      <c r="R10" s="23">
        <v>69.842548970989341</v>
      </c>
    </row>
    <row r="11" spans="2:18" x14ac:dyDescent="0.25">
      <c r="B11" s="39">
        <v>45298</v>
      </c>
      <c r="C11" s="64">
        <v>4.0330000000000005E-2</v>
      </c>
      <c r="D11" s="64">
        <v>4.4119999999999999E-2</v>
      </c>
      <c r="E11" s="64">
        <v>4.4930000000000005E-2</v>
      </c>
      <c r="F11" s="64">
        <v>4.0309999999999999E-2</v>
      </c>
      <c r="G11" s="53">
        <v>-8.1699999999999995E-2</v>
      </c>
      <c r="I11">
        <f t="shared" si="1"/>
        <v>2003</v>
      </c>
      <c r="J11" s="14">
        <f t="shared" si="0"/>
        <v>3.9910833333333333E-2</v>
      </c>
      <c r="L11" s="21"/>
      <c r="M11" s="22"/>
      <c r="N11" s="2"/>
      <c r="P11" s="1" t="s">
        <v>45</v>
      </c>
      <c r="Q11" s="1" t="s">
        <v>46</v>
      </c>
      <c r="R11" s="23">
        <v>83.811058765187198</v>
      </c>
    </row>
    <row r="12" spans="2:18" x14ac:dyDescent="0.25">
      <c r="B12" s="39">
        <v>45297</v>
      </c>
      <c r="C12" s="64">
        <v>4.3920000000000001E-2</v>
      </c>
      <c r="D12" s="64">
        <v>4.4930000000000005E-2</v>
      </c>
      <c r="E12" s="64">
        <v>4.5010000000000001E-2</v>
      </c>
      <c r="F12" s="64">
        <v>4.1880000000000001E-2</v>
      </c>
      <c r="G12" s="53">
        <v>-2.4500000000000001E-2</v>
      </c>
      <c r="I12">
        <f t="shared" si="1"/>
        <v>2004</v>
      </c>
      <c r="J12" s="14">
        <f t="shared" si="0"/>
        <v>4.2634166666666667E-2</v>
      </c>
      <c r="L12" s="80" t="s">
        <v>23</v>
      </c>
      <c r="M12" s="78" t="s">
        <v>26</v>
      </c>
      <c r="N12" s="20">
        <f>AVERAGE(J24:J33)</f>
        <v>2.67055E-2</v>
      </c>
      <c r="P12" s="1" t="s">
        <v>47</v>
      </c>
      <c r="Q12" s="1" t="s">
        <v>48</v>
      </c>
      <c r="R12" s="23">
        <v>118.73233325068186</v>
      </c>
    </row>
    <row r="13" spans="2:18" x14ac:dyDescent="0.25">
      <c r="B13" s="39">
        <v>45296</v>
      </c>
      <c r="C13" s="64">
        <v>4.5030000000000001E-2</v>
      </c>
      <c r="D13" s="64">
        <v>4.6820000000000001E-2</v>
      </c>
      <c r="E13" s="64">
        <v>4.6940000000000003E-2</v>
      </c>
      <c r="F13" s="64">
        <v>4.3129999999999995E-2</v>
      </c>
      <c r="G13" s="53">
        <v>-3.8300000000000001E-2</v>
      </c>
      <c r="I13">
        <f t="shared" si="1"/>
        <v>2005</v>
      </c>
      <c r="J13" s="14">
        <f t="shared" si="0"/>
        <v>4.2649166666666675E-2</v>
      </c>
      <c r="L13" s="21"/>
      <c r="M13" s="22"/>
      <c r="P13" s="1" t="s">
        <v>49</v>
      </c>
      <c r="Q13" s="1" t="s">
        <v>50</v>
      </c>
      <c r="R13" s="23">
        <v>158.30977766757579</v>
      </c>
    </row>
    <row r="14" spans="2:18" x14ac:dyDescent="0.25">
      <c r="B14" s="39">
        <v>45295</v>
      </c>
      <c r="C14" s="64">
        <v>4.6820000000000001E-2</v>
      </c>
      <c r="D14" s="64">
        <v>4.1900000000000007E-2</v>
      </c>
      <c r="E14" s="64">
        <v>4.7390000000000002E-2</v>
      </c>
      <c r="F14" s="64">
        <v>4.1880000000000001E-2</v>
      </c>
      <c r="G14" s="53">
        <v>0.11310000000000001</v>
      </c>
      <c r="I14">
        <f t="shared" si="1"/>
        <v>2006</v>
      </c>
      <c r="J14" s="14">
        <f t="shared" si="0"/>
        <v>4.7810833333333337E-2</v>
      </c>
      <c r="L14" s="80" t="s">
        <v>23</v>
      </c>
      <c r="M14" s="78" t="s">
        <v>27</v>
      </c>
      <c r="N14" s="20">
        <f>AVERAGE(J27:J33)</f>
        <v>2.8080119047619045E-2</v>
      </c>
      <c r="P14" s="1" t="s">
        <v>51</v>
      </c>
      <c r="Q14" s="1" t="s">
        <v>52</v>
      </c>
      <c r="R14" s="23">
        <v>188.5748822216712</v>
      </c>
    </row>
    <row r="15" spans="2:18" x14ac:dyDescent="0.25">
      <c r="B15" s="39">
        <v>45294</v>
      </c>
      <c r="C15" s="64">
        <v>4.2060000000000007E-2</v>
      </c>
      <c r="D15" s="64">
        <v>4.2539999999999994E-2</v>
      </c>
      <c r="E15" s="64">
        <v>4.3479999999999998E-2</v>
      </c>
      <c r="F15" s="64">
        <v>4.0379999999999999E-2</v>
      </c>
      <c r="G15" s="53">
        <v>-1.1299999999999999E-2</v>
      </c>
      <c r="I15">
        <f t="shared" si="1"/>
        <v>2007</v>
      </c>
      <c r="J15" s="14">
        <f t="shared" si="0"/>
        <v>4.5747499999999997E-2</v>
      </c>
      <c r="L15" s="11"/>
      <c r="P15" s="1" t="s">
        <v>53</v>
      </c>
      <c r="Q15" s="1" t="s">
        <v>54</v>
      </c>
      <c r="R15" s="23">
        <v>217.67594429291677</v>
      </c>
    </row>
    <row r="16" spans="2:18" x14ac:dyDescent="0.25">
      <c r="B16" s="39">
        <v>45293</v>
      </c>
      <c r="C16" s="64">
        <v>4.2539999999999994E-2</v>
      </c>
      <c r="D16" s="64">
        <v>3.9309999999999998E-2</v>
      </c>
      <c r="E16" s="64">
        <v>4.3540000000000002E-2</v>
      </c>
      <c r="F16" s="64">
        <v>3.8159999999999999E-2</v>
      </c>
      <c r="G16" s="53">
        <v>8.5800000000000001E-2</v>
      </c>
      <c r="I16">
        <f t="shared" si="1"/>
        <v>2008</v>
      </c>
      <c r="J16" s="14">
        <f t="shared" si="0"/>
        <v>3.5862499999999999E-2</v>
      </c>
      <c r="L16" s="80" t="s">
        <v>23</v>
      </c>
      <c r="M16" s="78" t="s">
        <v>28</v>
      </c>
      <c r="N16" s="20">
        <f>AVERAGE(J29:J33)</f>
        <v>3.3511166666666661E-2</v>
      </c>
      <c r="P16" s="1" t="s">
        <v>55</v>
      </c>
      <c r="Q16" s="1" t="s">
        <v>56</v>
      </c>
      <c r="R16" s="23">
        <v>247.94104884701215</v>
      </c>
    </row>
    <row r="17" spans="2:18" x14ac:dyDescent="0.25">
      <c r="B17" s="39">
        <v>45292</v>
      </c>
      <c r="C17" s="64">
        <v>3.918E-2</v>
      </c>
      <c r="D17" s="64">
        <v>3.8989999999999997E-2</v>
      </c>
      <c r="E17" s="64">
        <v>4.1980000000000003E-2</v>
      </c>
      <c r="F17" s="64">
        <v>3.8809999999999997E-2</v>
      </c>
      <c r="G17" s="53">
        <v>1.35E-2</v>
      </c>
      <c r="I17">
        <f t="shared" si="1"/>
        <v>2009</v>
      </c>
      <c r="J17" s="14">
        <f t="shared" si="0"/>
        <v>3.2723333333333333E-2</v>
      </c>
      <c r="L17" s="11"/>
      <c r="P17" s="1" t="s">
        <v>57</v>
      </c>
      <c r="Q17" s="1" t="s">
        <v>58</v>
      </c>
      <c r="R17" s="23">
        <v>297.99487560955447</v>
      </c>
    </row>
    <row r="18" spans="2:18" x14ac:dyDescent="0.25">
      <c r="B18" s="39">
        <v>44938</v>
      </c>
      <c r="C18" s="64">
        <v>3.866E-2</v>
      </c>
      <c r="D18" s="64">
        <v>4.3209999999999998E-2</v>
      </c>
      <c r="E18" s="64">
        <v>4.3490000000000001E-2</v>
      </c>
      <c r="F18" s="64">
        <v>3.7830000000000003E-2</v>
      </c>
      <c r="G18" s="53">
        <v>-0.1072</v>
      </c>
      <c r="I18">
        <f t="shared" si="1"/>
        <v>2010</v>
      </c>
      <c r="J18" s="14">
        <f t="shared" si="0"/>
        <v>3.1260000000000003E-2</v>
      </c>
      <c r="L18" s="80" t="s">
        <v>23</v>
      </c>
      <c r="M18" s="78" t="s">
        <v>29</v>
      </c>
      <c r="N18" s="20">
        <f>J33</f>
        <v>4.1099999999999998E-2</v>
      </c>
      <c r="P18" s="1" t="s">
        <v>59</v>
      </c>
      <c r="Q18" s="1" t="s">
        <v>60</v>
      </c>
      <c r="R18" s="23">
        <v>356.19699975204554</v>
      </c>
    </row>
    <row r="19" spans="2:18" x14ac:dyDescent="0.25">
      <c r="B19" s="39">
        <v>44937</v>
      </c>
      <c r="C19" s="64">
        <v>4.3299999999999998E-2</v>
      </c>
      <c r="D19" s="64">
        <v>4.9259999999999998E-2</v>
      </c>
      <c r="E19" s="64">
        <v>4.9349999999999998E-2</v>
      </c>
      <c r="F19" s="64">
        <v>4.2470000000000001E-2</v>
      </c>
      <c r="G19" s="53">
        <v>-0.121</v>
      </c>
      <c r="I19">
        <f t="shared" si="1"/>
        <v>2011</v>
      </c>
      <c r="J19" s="14">
        <f t="shared" si="0"/>
        <v>2.7319166666666662E-2</v>
      </c>
      <c r="L19" s="11"/>
      <c r="P19" s="1" t="s">
        <v>61</v>
      </c>
      <c r="Q19" s="1" t="s">
        <v>62</v>
      </c>
      <c r="R19" s="23">
        <v>445.82827093148182</v>
      </c>
    </row>
    <row r="20" spans="2:18" x14ac:dyDescent="0.25">
      <c r="B20" s="39">
        <v>44936</v>
      </c>
      <c r="C20" s="64">
        <v>4.9259999999999998E-2</v>
      </c>
      <c r="D20" s="64">
        <v>4.614E-2</v>
      </c>
      <c r="E20" s="64">
        <v>5.0209999999999998E-2</v>
      </c>
      <c r="F20" s="64">
        <v>4.53E-2</v>
      </c>
      <c r="G20" s="53">
        <v>7.5800000000000006E-2</v>
      </c>
      <c r="I20">
        <f t="shared" si="1"/>
        <v>2012</v>
      </c>
      <c r="J20" s="14">
        <f t="shared" si="0"/>
        <v>1.7354999999999999E-2</v>
      </c>
      <c r="L20" s="80" t="s">
        <v>30</v>
      </c>
      <c r="M20" s="78" t="s">
        <v>86</v>
      </c>
      <c r="N20" s="20">
        <f>N18-N5</f>
        <v>4.1099999999999998E-2</v>
      </c>
      <c r="P20" s="1" t="s">
        <v>63</v>
      </c>
      <c r="Q20" s="1" t="s">
        <v>64</v>
      </c>
      <c r="R20" s="23">
        <v>544.77188197371675</v>
      </c>
    </row>
    <row r="21" spans="2:18" x14ac:dyDescent="0.25">
      <c r="B21" s="39">
        <v>44935</v>
      </c>
      <c r="C21" s="64">
        <v>4.5789999999999997E-2</v>
      </c>
      <c r="D21" s="64">
        <v>4.1139999999999996E-2</v>
      </c>
      <c r="E21" s="64">
        <v>4.6879999999999998E-2</v>
      </c>
      <c r="F21" s="64">
        <v>4.0599999999999997E-2</v>
      </c>
      <c r="G21" s="53">
        <v>0.1152</v>
      </c>
      <c r="I21">
        <f t="shared" si="1"/>
        <v>2013</v>
      </c>
      <c r="J21" s="14">
        <f t="shared" si="0"/>
        <v>2.3605000000000001E-2</v>
      </c>
      <c r="P21" s="1" t="s">
        <v>65</v>
      </c>
      <c r="Q21" s="1" t="s">
        <v>66</v>
      </c>
      <c r="R21" s="23">
        <v>643.71549301595155</v>
      </c>
    </row>
    <row r="22" spans="2:18" x14ac:dyDescent="0.25">
      <c r="B22" s="39">
        <v>44934</v>
      </c>
      <c r="C22" s="64">
        <v>4.1059999999999999E-2</v>
      </c>
      <c r="D22" s="64">
        <v>3.9649999999999998E-2</v>
      </c>
      <c r="E22" s="64">
        <v>4.3659999999999997E-2</v>
      </c>
      <c r="F22" s="64">
        <v>3.9489999999999997E-2</v>
      </c>
      <c r="G22" s="53">
        <v>3.5099999999999999E-2</v>
      </c>
      <c r="I22">
        <f t="shared" si="1"/>
        <v>2014</v>
      </c>
      <c r="J22" s="14">
        <f t="shared" si="0"/>
        <v>2.4787500000000001E-2</v>
      </c>
      <c r="P22" s="1" t="s">
        <v>67</v>
      </c>
      <c r="Q22" s="1" t="s">
        <v>68</v>
      </c>
      <c r="R22" s="23">
        <v>742.65910405818647</v>
      </c>
    </row>
    <row r="23" spans="2:18" x14ac:dyDescent="0.25">
      <c r="B23" s="39">
        <v>44933</v>
      </c>
      <c r="C23" s="64">
        <v>3.9670000000000004E-2</v>
      </c>
      <c r="D23" s="64">
        <v>3.8450000000000005E-2</v>
      </c>
      <c r="E23" s="64">
        <v>4.0940000000000004E-2</v>
      </c>
      <c r="F23" s="64">
        <v>3.7269999999999998E-2</v>
      </c>
      <c r="G23" s="53">
        <v>3.2899999999999999E-2</v>
      </c>
      <c r="I23">
        <f t="shared" si="1"/>
        <v>2015</v>
      </c>
      <c r="J23" s="14">
        <f t="shared" si="0"/>
        <v>2.0940833333333339E-2</v>
      </c>
      <c r="L23" s="51" t="s">
        <v>128</v>
      </c>
      <c r="P23" s="1" t="s">
        <v>69</v>
      </c>
      <c r="Q23" s="1" t="s">
        <v>70</v>
      </c>
      <c r="R23" s="23">
        <v>891.65654186296365</v>
      </c>
    </row>
    <row r="24" spans="2:18" x14ac:dyDescent="0.25">
      <c r="B24" s="39">
        <v>44932</v>
      </c>
      <c r="C24" s="64">
        <v>3.841E-2</v>
      </c>
      <c r="D24" s="64">
        <v>3.6389999999999999E-2</v>
      </c>
      <c r="E24" s="64">
        <v>3.8919999999999996E-2</v>
      </c>
      <c r="F24" s="64">
        <v>3.5699999999999996E-2</v>
      </c>
      <c r="G24" s="53">
        <v>5.33E-2</v>
      </c>
      <c r="I24">
        <f t="shared" si="1"/>
        <v>2016</v>
      </c>
      <c r="J24" s="14">
        <f t="shared" si="0"/>
        <v>1.8233333333333334E-2</v>
      </c>
      <c r="P24" s="1" t="s">
        <v>71</v>
      </c>
      <c r="Q24" s="1" t="s">
        <v>72</v>
      </c>
      <c r="R24" s="23">
        <v>990.60015290519868</v>
      </c>
    </row>
    <row r="25" spans="2:18" x14ac:dyDescent="0.25">
      <c r="B25" s="39">
        <v>44931</v>
      </c>
      <c r="C25" s="64">
        <v>3.6459999999999999E-2</v>
      </c>
      <c r="D25" s="64">
        <v>3.4500000000000003E-2</v>
      </c>
      <c r="E25" s="64">
        <v>3.8589999999999999E-2</v>
      </c>
      <c r="F25" s="64">
        <v>3.2959999999999996E-2</v>
      </c>
      <c r="G25" s="53">
        <v>6.2100000000000002E-2</v>
      </c>
      <c r="I25">
        <f t="shared" si="1"/>
        <v>2017</v>
      </c>
      <c r="J25" s="14">
        <f t="shared" si="0"/>
        <v>2.3337500000000001E-2</v>
      </c>
      <c r="P25" s="1" t="s">
        <v>73</v>
      </c>
      <c r="Q25" s="1" t="s">
        <v>74</v>
      </c>
      <c r="R25" s="23">
        <v>1188.4873749896685</v>
      </c>
    </row>
    <row r="26" spans="2:18" x14ac:dyDescent="0.25">
      <c r="B26" s="39">
        <v>44930</v>
      </c>
      <c r="C26" s="64">
        <v>3.4329999999999999E-2</v>
      </c>
      <c r="D26" s="64">
        <v>3.524E-2</v>
      </c>
      <c r="E26" s="64">
        <v>3.6389999999999999E-2</v>
      </c>
      <c r="F26" s="64">
        <v>3.2530000000000003E-2</v>
      </c>
      <c r="G26" s="53">
        <v>-1.15E-2</v>
      </c>
      <c r="I26">
        <f t="shared" si="1"/>
        <v>2018</v>
      </c>
      <c r="J26" s="14">
        <f t="shared" si="0"/>
        <v>2.8923333333333332E-2</v>
      </c>
      <c r="P26" s="1" t="s">
        <v>75</v>
      </c>
      <c r="Q26" s="1" t="s">
        <v>74</v>
      </c>
      <c r="R26" s="23">
        <v>1188.4873749896685</v>
      </c>
    </row>
    <row r="27" spans="2:18" x14ac:dyDescent="0.25">
      <c r="B27" s="39">
        <v>44929</v>
      </c>
      <c r="C27" s="64">
        <v>3.4729999999999997E-2</v>
      </c>
      <c r="D27" s="64">
        <v>3.9379999999999998E-2</v>
      </c>
      <c r="E27" s="64">
        <v>4.0910000000000002E-2</v>
      </c>
      <c r="F27" s="64">
        <v>3.2850000000000004E-2</v>
      </c>
      <c r="G27" s="53">
        <v>-0.1157</v>
      </c>
      <c r="I27">
        <f t="shared" si="1"/>
        <v>2019</v>
      </c>
      <c r="J27" s="14">
        <f t="shared" si="0"/>
        <v>2.0796666666666668E-2</v>
      </c>
      <c r="P27" s="1" t="s">
        <v>76</v>
      </c>
      <c r="Q27" s="1" t="s">
        <v>75</v>
      </c>
      <c r="R27" s="23">
        <v>1750</v>
      </c>
    </row>
    <row r="28" spans="2:18" x14ac:dyDescent="0.25">
      <c r="B28" s="39">
        <v>44928</v>
      </c>
      <c r="C28" s="64">
        <v>3.9280000000000002E-2</v>
      </c>
      <c r="D28" s="64">
        <v>3.5159999999999997E-2</v>
      </c>
      <c r="E28" s="64">
        <v>3.9830000000000004E-2</v>
      </c>
      <c r="F28" s="64">
        <v>3.3329999999999999E-2</v>
      </c>
      <c r="G28" s="53">
        <v>0.11890000000000001</v>
      </c>
      <c r="I28">
        <f t="shared" si="1"/>
        <v>2020</v>
      </c>
      <c r="J28" s="14">
        <f t="shared" si="0"/>
        <v>8.2083333333333331E-3</v>
      </c>
      <c r="P28" s="1" t="s">
        <v>77</v>
      </c>
      <c r="Q28" s="1" t="s">
        <v>77</v>
      </c>
      <c r="R28" s="24" t="s">
        <v>78</v>
      </c>
    </row>
    <row r="29" spans="2:18" x14ac:dyDescent="0.25">
      <c r="B29" s="39">
        <v>44927</v>
      </c>
      <c r="C29" s="64">
        <v>3.5099999999999999E-2</v>
      </c>
      <c r="D29" s="64">
        <v>3.848E-2</v>
      </c>
      <c r="E29" s="64">
        <v>3.848E-2</v>
      </c>
      <c r="F29" s="64">
        <v>3.3210000000000003E-2</v>
      </c>
      <c r="G29" s="53">
        <v>-9.4899999999999998E-2</v>
      </c>
      <c r="I29">
        <f t="shared" si="1"/>
        <v>2021</v>
      </c>
      <c r="J29" s="14">
        <f t="shared" si="0"/>
        <v>1.4542500000000002E-2</v>
      </c>
    </row>
    <row r="30" spans="2:18" x14ac:dyDescent="0.25">
      <c r="B30" s="39">
        <v>44573</v>
      </c>
      <c r="C30" s="64">
        <v>3.8789999999999998E-2</v>
      </c>
      <c r="D30" s="64">
        <v>3.6200000000000003E-2</v>
      </c>
      <c r="E30" s="64">
        <v>3.9050000000000001E-2</v>
      </c>
      <c r="F30" s="64">
        <v>3.4020000000000002E-2</v>
      </c>
      <c r="G30" s="53">
        <v>7.4099999999999999E-2</v>
      </c>
      <c r="I30">
        <f t="shared" si="1"/>
        <v>2022</v>
      </c>
      <c r="J30" s="14">
        <f t="shared" si="0"/>
        <v>2.998166666666667E-2</v>
      </c>
      <c r="P30" s="51" t="s">
        <v>123</v>
      </c>
    </row>
    <row r="31" spans="2:18" x14ac:dyDescent="0.25">
      <c r="B31" s="39">
        <v>44572</v>
      </c>
      <c r="C31" s="64">
        <v>3.6110000000000003E-2</v>
      </c>
      <c r="D31" s="64">
        <v>4.0579999999999998E-2</v>
      </c>
      <c r="E31" s="64">
        <v>4.2430000000000002E-2</v>
      </c>
      <c r="F31" s="64">
        <v>3.6000000000000004E-2</v>
      </c>
      <c r="G31" s="53">
        <v>-0.1084</v>
      </c>
      <c r="I31">
        <f t="shared" si="1"/>
        <v>2023</v>
      </c>
      <c r="J31" s="14">
        <f t="shared" si="0"/>
        <v>3.9670833333333329E-2</v>
      </c>
    </row>
    <row r="32" spans="2:18" x14ac:dyDescent="0.25">
      <c r="B32" s="39">
        <v>44571</v>
      </c>
      <c r="C32" s="64">
        <v>4.0500000000000001E-2</v>
      </c>
      <c r="D32" s="64">
        <v>3.8130000000000004E-2</v>
      </c>
      <c r="E32" s="64">
        <v>4.3380000000000002E-2</v>
      </c>
      <c r="F32" s="64">
        <v>3.5619999999999999E-2</v>
      </c>
      <c r="G32" s="53">
        <v>5.7799999999999997E-2</v>
      </c>
      <c r="I32">
        <f t="shared" si="1"/>
        <v>2024</v>
      </c>
      <c r="J32" s="14">
        <f t="shared" si="0"/>
        <v>4.2260833333333331E-2</v>
      </c>
    </row>
    <row r="33" spans="2:10" x14ac:dyDescent="0.25">
      <c r="B33" s="39">
        <v>44570</v>
      </c>
      <c r="C33" s="64">
        <v>3.8290000000000005E-2</v>
      </c>
      <c r="D33" s="64">
        <v>3.1980000000000001E-2</v>
      </c>
      <c r="E33" s="64">
        <v>4.0190000000000003E-2</v>
      </c>
      <c r="F33" s="64">
        <v>3.1739999999999997E-2</v>
      </c>
      <c r="G33" s="53">
        <v>0.1978</v>
      </c>
      <c r="I33">
        <f t="shared" si="1"/>
        <v>2025</v>
      </c>
      <c r="J33" s="65">
        <v>4.1099999999999998E-2</v>
      </c>
    </row>
    <row r="34" spans="2:10" x14ac:dyDescent="0.25">
      <c r="B34" s="39">
        <v>44569</v>
      </c>
      <c r="C34" s="64">
        <v>3.1960000000000002E-2</v>
      </c>
      <c r="D34" s="64">
        <v>2.6690000000000002E-2</v>
      </c>
      <c r="E34" s="64">
        <v>3.1980000000000001E-2</v>
      </c>
      <c r="F34" s="64">
        <v>2.5160000000000002E-2</v>
      </c>
      <c r="G34" s="53">
        <v>0.20269999999999999</v>
      </c>
    </row>
    <row r="35" spans="2:10" x14ac:dyDescent="0.25">
      <c r="B35" s="39">
        <v>44568</v>
      </c>
      <c r="C35" s="64">
        <v>2.6579999999999999E-2</v>
      </c>
      <c r="D35" s="64">
        <v>3.024E-2</v>
      </c>
      <c r="E35" s="64">
        <v>3.1030000000000002E-2</v>
      </c>
      <c r="F35" s="64">
        <v>2.6179999999999998E-2</v>
      </c>
      <c r="G35" s="53">
        <v>-0.11899999999999999</v>
      </c>
    </row>
    <row r="36" spans="2:10" x14ac:dyDescent="0.25">
      <c r="B36" s="39">
        <v>44567</v>
      </c>
      <c r="C36" s="64">
        <v>3.0169999999999999E-2</v>
      </c>
      <c r="D36" s="64">
        <v>2.8639999999999999E-2</v>
      </c>
      <c r="E36" s="64">
        <v>3.4980000000000004E-2</v>
      </c>
      <c r="F36" s="64">
        <v>2.8330000000000001E-2</v>
      </c>
      <c r="G36" s="53">
        <v>5.8599999999999999E-2</v>
      </c>
    </row>
    <row r="37" spans="2:10" x14ac:dyDescent="0.25">
      <c r="B37" s="39">
        <v>44566</v>
      </c>
      <c r="C37" s="64">
        <v>2.8490000000000001E-2</v>
      </c>
      <c r="D37" s="64">
        <v>2.9319999999999999E-2</v>
      </c>
      <c r="E37" s="64">
        <v>3.2029999999999996E-2</v>
      </c>
      <c r="F37" s="64">
        <v>2.7060000000000001E-2</v>
      </c>
      <c r="G37" s="53">
        <v>-0.03</v>
      </c>
    </row>
    <row r="38" spans="2:10" x14ac:dyDescent="0.25">
      <c r="B38" s="39">
        <v>44565</v>
      </c>
      <c r="C38" s="64">
        <v>2.9380000000000003E-2</v>
      </c>
      <c r="D38" s="64">
        <v>2.3519999999999999E-2</v>
      </c>
      <c r="E38" s="64">
        <v>2.981E-2</v>
      </c>
      <c r="F38" s="64">
        <v>2.3519999999999999E-2</v>
      </c>
      <c r="G38" s="53">
        <v>0.25259999999999999</v>
      </c>
    </row>
    <row r="39" spans="2:10" x14ac:dyDescent="0.25">
      <c r="B39" s="39">
        <v>44564</v>
      </c>
      <c r="C39" s="64">
        <v>2.3450000000000002E-2</v>
      </c>
      <c r="D39" s="64">
        <v>1.84E-2</v>
      </c>
      <c r="E39" s="64">
        <v>2.5569999999999999E-2</v>
      </c>
      <c r="F39" s="64">
        <v>1.668E-2</v>
      </c>
      <c r="G39" s="53">
        <v>0.28739999999999999</v>
      </c>
    </row>
    <row r="40" spans="2:10" x14ac:dyDescent="0.25">
      <c r="B40" s="39">
        <v>44563</v>
      </c>
      <c r="C40" s="64">
        <v>1.822E-2</v>
      </c>
      <c r="D40" s="64">
        <v>1.787E-2</v>
      </c>
      <c r="E40" s="64">
        <v>2.0649999999999998E-2</v>
      </c>
      <c r="F40" s="64">
        <v>1.7390000000000003E-2</v>
      </c>
      <c r="G40" s="53">
        <v>2.12E-2</v>
      </c>
    </row>
    <row r="41" spans="2:10" x14ac:dyDescent="0.25">
      <c r="B41" s="39">
        <v>44562</v>
      </c>
      <c r="C41" s="64">
        <v>1.7840000000000002E-2</v>
      </c>
      <c r="D41" s="64">
        <v>1.5309999999999999E-2</v>
      </c>
      <c r="E41" s="64">
        <v>1.9019999999999999E-2</v>
      </c>
      <c r="F41" s="64">
        <v>1.529E-2</v>
      </c>
      <c r="G41" s="53">
        <v>0.1799</v>
      </c>
    </row>
    <row r="42" spans="2:10" x14ac:dyDescent="0.25">
      <c r="B42" s="39">
        <v>44208</v>
      </c>
      <c r="C42" s="64">
        <v>1.512E-2</v>
      </c>
      <c r="D42" s="64">
        <v>1.477E-2</v>
      </c>
      <c r="E42" s="64">
        <v>1.5600000000000001E-2</v>
      </c>
      <c r="F42" s="64">
        <v>1.3349999999999999E-2</v>
      </c>
      <c r="G42" s="53">
        <v>3.8199999999999998E-2</v>
      </c>
    </row>
    <row r="43" spans="2:10" x14ac:dyDescent="0.25">
      <c r="B43" s="39">
        <v>44207</v>
      </c>
      <c r="C43" s="64">
        <v>1.456E-2</v>
      </c>
      <c r="D43" s="64">
        <v>1.575E-2</v>
      </c>
      <c r="E43" s="64">
        <v>1.6930000000000001E-2</v>
      </c>
      <c r="F43" s="64">
        <v>1.4119999999999999E-2</v>
      </c>
      <c r="G43" s="53">
        <v>-6.7100000000000007E-2</v>
      </c>
    </row>
    <row r="44" spans="2:10" x14ac:dyDescent="0.25">
      <c r="B44" s="39">
        <v>44206</v>
      </c>
      <c r="C44" s="64">
        <v>1.5609999999999999E-2</v>
      </c>
      <c r="D44" s="64">
        <v>1.5009999999999999E-2</v>
      </c>
      <c r="E44" s="64">
        <v>1.7049999999999999E-2</v>
      </c>
      <c r="F44" s="64">
        <v>1.4530000000000001E-2</v>
      </c>
      <c r="G44" s="53">
        <v>4.58E-2</v>
      </c>
    </row>
    <row r="45" spans="2:10" x14ac:dyDescent="0.25">
      <c r="B45" s="39">
        <v>44205</v>
      </c>
      <c r="C45" s="64">
        <v>1.4919999999999999E-2</v>
      </c>
      <c r="D45" s="64">
        <v>1.3169999999999999E-2</v>
      </c>
      <c r="E45" s="64">
        <v>1.567E-2</v>
      </c>
      <c r="F45" s="64">
        <v>1.26E-2</v>
      </c>
      <c r="G45" s="53">
        <v>0.14180000000000001</v>
      </c>
    </row>
    <row r="46" spans="2:10" x14ac:dyDescent="0.25">
      <c r="B46" s="39">
        <v>44204</v>
      </c>
      <c r="C46" s="64">
        <v>1.307E-2</v>
      </c>
      <c r="D46" s="64">
        <v>1.2370000000000001E-2</v>
      </c>
      <c r="E46" s="64">
        <v>1.379E-2</v>
      </c>
      <c r="F46" s="64">
        <v>1.1270000000000001E-2</v>
      </c>
      <c r="G46" s="53">
        <v>6.6500000000000004E-2</v>
      </c>
    </row>
    <row r="47" spans="2:10" x14ac:dyDescent="0.25">
      <c r="B47" s="39">
        <v>44203</v>
      </c>
      <c r="C47" s="64">
        <v>1.226E-2</v>
      </c>
      <c r="D47" s="64">
        <v>1.47E-2</v>
      </c>
      <c r="E47" s="64">
        <v>1.485E-2</v>
      </c>
      <c r="F47" s="64">
        <v>1.1279999999999998E-2</v>
      </c>
      <c r="G47" s="53">
        <v>-0.1651</v>
      </c>
    </row>
    <row r="48" spans="2:10" x14ac:dyDescent="0.25">
      <c r="B48" s="39">
        <v>44202</v>
      </c>
      <c r="C48" s="64">
        <v>1.468E-2</v>
      </c>
      <c r="D48" s="64">
        <v>1.6080000000000001E-2</v>
      </c>
      <c r="E48" s="64">
        <v>1.6390000000000002E-2</v>
      </c>
      <c r="F48" s="64">
        <v>1.3540000000000002E-2</v>
      </c>
      <c r="G48" s="53">
        <v>-7.1300000000000002E-2</v>
      </c>
    </row>
    <row r="49" spans="2:7" x14ac:dyDescent="0.25">
      <c r="B49" s="39">
        <v>44201</v>
      </c>
      <c r="C49" s="64">
        <v>1.5810000000000001E-2</v>
      </c>
      <c r="D49" s="64">
        <v>1.6310000000000002E-2</v>
      </c>
      <c r="E49" s="64">
        <v>1.7070000000000002E-2</v>
      </c>
      <c r="F49" s="64">
        <v>1.4690000000000002E-2</v>
      </c>
      <c r="G49" s="53">
        <v>-2.7799999999999998E-2</v>
      </c>
    </row>
    <row r="50" spans="2:7" x14ac:dyDescent="0.25">
      <c r="B50" s="39">
        <v>44200</v>
      </c>
      <c r="C50" s="64">
        <v>1.626E-2</v>
      </c>
      <c r="D50" s="64">
        <v>1.737E-2</v>
      </c>
      <c r="E50" s="64">
        <v>1.753E-2</v>
      </c>
      <c r="F50" s="64">
        <v>1.528E-2</v>
      </c>
      <c r="G50" s="53">
        <v>-6.7699999999999996E-2</v>
      </c>
    </row>
    <row r="51" spans="2:7" x14ac:dyDescent="0.25">
      <c r="B51" s="39">
        <v>44199</v>
      </c>
      <c r="C51" s="64">
        <v>1.7440000000000001E-2</v>
      </c>
      <c r="D51" s="64">
        <v>1.3950000000000001E-2</v>
      </c>
      <c r="E51" s="64">
        <v>1.7760000000000001E-2</v>
      </c>
      <c r="F51" s="64">
        <v>1.383E-2</v>
      </c>
      <c r="G51" s="53">
        <v>0.2399</v>
      </c>
    </row>
    <row r="52" spans="2:7" x14ac:dyDescent="0.25">
      <c r="B52" s="39">
        <v>44198</v>
      </c>
      <c r="C52" s="64">
        <v>1.4070000000000001E-2</v>
      </c>
      <c r="D52" s="64">
        <v>1.0709999999999999E-2</v>
      </c>
      <c r="E52" s="64">
        <v>1.6140000000000002E-2</v>
      </c>
      <c r="F52" s="64">
        <v>1.06E-2</v>
      </c>
      <c r="G52" s="53">
        <v>0.31380000000000002</v>
      </c>
    </row>
    <row r="53" spans="2:7" x14ac:dyDescent="0.25">
      <c r="B53" s="39">
        <v>44197</v>
      </c>
      <c r="C53" s="64">
        <v>1.0709999999999999E-2</v>
      </c>
      <c r="D53" s="64">
        <v>9.300000000000001E-3</v>
      </c>
      <c r="E53" s="64">
        <v>1.187E-2</v>
      </c>
      <c r="F53" s="64">
        <v>9.0600000000000003E-3</v>
      </c>
      <c r="G53" s="53">
        <v>0.1681</v>
      </c>
    </row>
    <row r="54" spans="2:7" x14ac:dyDescent="0.25">
      <c r="B54" s="39">
        <v>43842</v>
      </c>
      <c r="C54" s="64">
        <v>9.1599999999999997E-3</v>
      </c>
      <c r="D54" s="64">
        <v>8.4700000000000001E-3</v>
      </c>
      <c r="E54" s="64">
        <v>9.8600000000000007E-3</v>
      </c>
      <c r="F54" s="64">
        <v>8.3400000000000002E-3</v>
      </c>
      <c r="G54" s="53">
        <v>8.8200000000000001E-2</v>
      </c>
    </row>
    <row r="55" spans="2:7" x14ac:dyDescent="0.25">
      <c r="B55" s="39">
        <v>43841</v>
      </c>
      <c r="C55" s="64">
        <v>8.4200000000000004E-3</v>
      </c>
      <c r="D55" s="64">
        <v>8.5500000000000003E-3</v>
      </c>
      <c r="E55" s="64">
        <v>9.75E-3</v>
      </c>
      <c r="F55" s="64">
        <v>7.1799999999999998E-3</v>
      </c>
      <c r="G55" s="53">
        <v>-3.61E-2</v>
      </c>
    </row>
    <row r="56" spans="2:7" x14ac:dyDescent="0.25">
      <c r="B56" s="39">
        <v>43840</v>
      </c>
      <c r="C56" s="64">
        <v>8.7399999999999995E-3</v>
      </c>
      <c r="D56" s="64">
        <v>6.8899999999999994E-3</v>
      </c>
      <c r="E56" s="64">
        <v>8.77E-3</v>
      </c>
      <c r="F56" s="64">
        <v>6.5300000000000002E-3</v>
      </c>
      <c r="G56" s="53">
        <v>0.2742</v>
      </c>
    </row>
    <row r="57" spans="2:7" x14ac:dyDescent="0.25">
      <c r="B57" s="39">
        <v>43839</v>
      </c>
      <c r="C57" s="64">
        <v>6.8600000000000006E-3</v>
      </c>
      <c r="D57" s="64">
        <v>7.1300000000000001E-3</v>
      </c>
      <c r="E57" s="64">
        <v>7.3099999999999997E-3</v>
      </c>
      <c r="F57" s="64">
        <v>6.0400000000000002E-3</v>
      </c>
      <c r="G57" s="53">
        <v>-2.93E-2</v>
      </c>
    </row>
    <row r="58" spans="2:7" x14ac:dyDescent="0.25">
      <c r="B58" s="39">
        <v>43838</v>
      </c>
      <c r="C58" s="64">
        <v>7.0599999999999994E-3</v>
      </c>
      <c r="D58" s="64">
        <v>5.3500000000000006E-3</v>
      </c>
      <c r="E58" s="64">
        <v>7.8900000000000012E-3</v>
      </c>
      <c r="F58" s="64">
        <v>5.0400000000000002E-3</v>
      </c>
      <c r="G58" s="53">
        <v>0.3251</v>
      </c>
    </row>
    <row r="59" spans="2:7" x14ac:dyDescent="0.25">
      <c r="B59" s="39">
        <v>43837</v>
      </c>
      <c r="C59" s="64">
        <v>5.3300000000000005E-3</v>
      </c>
      <c r="D59" s="64">
        <v>6.5799999999999999E-3</v>
      </c>
      <c r="E59" s="64">
        <v>7.2399999999999999E-3</v>
      </c>
      <c r="F59" s="64">
        <v>5.1999999999999998E-3</v>
      </c>
      <c r="G59" s="53">
        <v>-0.18940000000000001</v>
      </c>
    </row>
    <row r="60" spans="2:7" x14ac:dyDescent="0.25">
      <c r="B60" s="39">
        <v>43836</v>
      </c>
      <c r="C60" s="64">
        <v>6.5799999999999999E-3</v>
      </c>
      <c r="D60" s="64">
        <v>6.4000000000000003E-3</v>
      </c>
      <c r="E60" s="64">
        <v>9.5899999999999996E-3</v>
      </c>
      <c r="F60" s="64">
        <v>6.1799999999999997E-3</v>
      </c>
      <c r="G60" s="53">
        <v>7.7999999999999996E-3</v>
      </c>
    </row>
    <row r="61" spans="2:7" x14ac:dyDescent="0.25">
      <c r="B61" s="39">
        <v>43835</v>
      </c>
      <c r="C61" s="64">
        <v>6.5300000000000002E-3</v>
      </c>
      <c r="D61" s="64">
        <v>6.3E-3</v>
      </c>
      <c r="E61" s="64">
        <v>7.45E-3</v>
      </c>
      <c r="F61" s="64">
        <v>5.8999999999999999E-3</v>
      </c>
      <c r="G61" s="53">
        <v>1.0800000000000001E-2</v>
      </c>
    </row>
    <row r="62" spans="2:7" x14ac:dyDescent="0.25">
      <c r="B62" s="39">
        <v>43834</v>
      </c>
      <c r="C62" s="64">
        <v>6.4600000000000005E-3</v>
      </c>
      <c r="D62" s="64">
        <v>6.6300000000000005E-3</v>
      </c>
      <c r="E62" s="64">
        <v>7.8500000000000011E-3</v>
      </c>
      <c r="F62" s="64">
        <v>5.4300000000000008E-3</v>
      </c>
      <c r="G62" s="53">
        <v>-3.3399999999999999E-2</v>
      </c>
    </row>
    <row r="63" spans="2:7" x14ac:dyDescent="0.25">
      <c r="B63" s="39">
        <v>43833</v>
      </c>
      <c r="C63" s="64">
        <v>6.6800000000000002E-3</v>
      </c>
      <c r="D63" s="64">
        <v>1.1049999999999999E-2</v>
      </c>
      <c r="E63" s="64">
        <v>1.2829999999999999E-2</v>
      </c>
      <c r="F63" s="64">
        <v>3.1800000000000001E-3</v>
      </c>
      <c r="G63" s="53">
        <v>-0.4259</v>
      </c>
    </row>
    <row r="64" spans="2:7" x14ac:dyDescent="0.25">
      <c r="B64" s="39">
        <v>43832</v>
      </c>
      <c r="C64" s="64">
        <v>1.163E-2</v>
      </c>
      <c r="D64" s="64">
        <v>1.5140000000000001E-2</v>
      </c>
      <c r="E64" s="64">
        <v>1.6840000000000001E-2</v>
      </c>
      <c r="F64" s="64">
        <v>1.1160000000000002E-2</v>
      </c>
      <c r="G64" s="53">
        <v>-0.2271</v>
      </c>
    </row>
    <row r="65" spans="2:7" x14ac:dyDescent="0.25">
      <c r="B65" s="39">
        <v>43831</v>
      </c>
      <c r="C65" s="64">
        <v>1.5049999999999999E-2</v>
      </c>
      <c r="D65" s="64">
        <v>1.9189999999999999E-2</v>
      </c>
      <c r="E65" s="64">
        <v>1.9459999999999998E-2</v>
      </c>
      <c r="F65" s="64">
        <v>1.5029999999999998E-2</v>
      </c>
      <c r="G65" s="53">
        <v>-0.21579999999999999</v>
      </c>
    </row>
    <row r="66" spans="2:7" x14ac:dyDescent="0.25">
      <c r="B66" s="39">
        <v>43477</v>
      </c>
      <c r="C66" s="64">
        <v>1.9189999999999999E-2</v>
      </c>
      <c r="D66" s="64">
        <v>1.796E-2</v>
      </c>
      <c r="E66" s="64">
        <v>1.9519999999999999E-2</v>
      </c>
      <c r="F66" s="64">
        <v>1.6930000000000001E-2</v>
      </c>
      <c r="G66" s="53">
        <v>8.1799999999999998E-2</v>
      </c>
    </row>
    <row r="67" spans="2:7" x14ac:dyDescent="0.25">
      <c r="B67" s="39">
        <v>43476</v>
      </c>
      <c r="C67" s="64">
        <v>1.7739999999999999E-2</v>
      </c>
      <c r="D67" s="64">
        <v>1.6890000000000002E-2</v>
      </c>
      <c r="E67" s="64">
        <v>1.9730000000000001E-2</v>
      </c>
      <c r="F67" s="64">
        <v>1.67E-2</v>
      </c>
      <c r="G67" s="53">
        <v>5.1299999999999998E-2</v>
      </c>
    </row>
    <row r="68" spans="2:7" x14ac:dyDescent="0.25">
      <c r="B68" s="39">
        <v>43475</v>
      </c>
      <c r="C68" s="64">
        <v>1.6879999999999999E-2</v>
      </c>
      <c r="D68" s="64">
        <v>1.67E-2</v>
      </c>
      <c r="E68" s="64">
        <v>1.8600000000000002E-2</v>
      </c>
      <c r="F68" s="64">
        <v>1.5049999999999999E-2</v>
      </c>
      <c r="G68" s="53">
        <v>1.17E-2</v>
      </c>
    </row>
    <row r="69" spans="2:7" x14ac:dyDescent="0.25">
      <c r="B69" s="39">
        <v>43474</v>
      </c>
      <c r="C69" s="64">
        <v>1.668E-2</v>
      </c>
      <c r="D69" s="64">
        <v>1.508E-2</v>
      </c>
      <c r="E69" s="64">
        <v>1.908E-2</v>
      </c>
      <c r="F69" s="64">
        <v>1.4290000000000001E-2</v>
      </c>
      <c r="G69" s="53">
        <v>0.1124</v>
      </c>
    </row>
    <row r="70" spans="2:7" x14ac:dyDescent="0.25">
      <c r="B70" s="39">
        <v>43473</v>
      </c>
      <c r="C70" s="64">
        <v>1.4990000000000002E-2</v>
      </c>
      <c r="D70" s="64">
        <v>2.0250000000000001E-2</v>
      </c>
      <c r="E70" s="64">
        <v>2.061E-2</v>
      </c>
      <c r="F70" s="64">
        <v>1.443E-2</v>
      </c>
      <c r="G70" s="53">
        <v>-0.25309999999999999</v>
      </c>
    </row>
    <row r="71" spans="2:7" x14ac:dyDescent="0.25">
      <c r="B71" s="39">
        <v>43472</v>
      </c>
      <c r="C71" s="64">
        <v>2.0070000000000001E-2</v>
      </c>
      <c r="D71" s="64">
        <v>2.0449999999999999E-2</v>
      </c>
      <c r="E71" s="64">
        <v>2.1499999999999998E-2</v>
      </c>
      <c r="F71" s="64">
        <v>1.9390000000000001E-2</v>
      </c>
      <c r="G71" s="53">
        <v>2.9999999999999997E-4</v>
      </c>
    </row>
    <row r="72" spans="2:7" x14ac:dyDescent="0.25">
      <c r="B72" s="39">
        <v>43471</v>
      </c>
      <c r="C72" s="64">
        <v>2.0070000000000001E-2</v>
      </c>
      <c r="D72" s="64">
        <v>2.1259999999999998E-2</v>
      </c>
      <c r="E72" s="64">
        <v>2.1780000000000001E-2</v>
      </c>
      <c r="F72" s="64">
        <v>1.9740000000000001E-2</v>
      </c>
      <c r="G72" s="53">
        <v>-5.9299999999999999E-2</v>
      </c>
    </row>
    <row r="73" spans="2:7" x14ac:dyDescent="0.25">
      <c r="B73" s="39">
        <v>43470</v>
      </c>
      <c r="C73" s="64">
        <v>2.1330000000000002E-2</v>
      </c>
      <c r="D73" s="64">
        <v>2.5089999999999998E-2</v>
      </c>
      <c r="E73" s="64">
        <v>2.5779999999999997E-2</v>
      </c>
      <c r="F73" s="64">
        <v>2.1259999999999998E-2</v>
      </c>
      <c r="G73" s="53">
        <v>-0.1479</v>
      </c>
    </row>
    <row r="74" spans="2:7" x14ac:dyDescent="0.25">
      <c r="B74" s="39">
        <v>43469</v>
      </c>
      <c r="C74" s="64">
        <v>2.504E-2</v>
      </c>
      <c r="D74" s="64">
        <v>2.4300000000000002E-2</v>
      </c>
      <c r="E74" s="64">
        <v>2.614E-2</v>
      </c>
      <c r="F74" s="64">
        <v>2.4239999999999998E-2</v>
      </c>
      <c r="G74" s="53">
        <v>4.02E-2</v>
      </c>
    </row>
    <row r="75" spans="2:7" x14ac:dyDescent="0.25">
      <c r="B75" s="39">
        <v>43468</v>
      </c>
      <c r="C75" s="64">
        <v>2.4070000000000001E-2</v>
      </c>
      <c r="D75" s="64">
        <v>2.7189999999999999E-2</v>
      </c>
      <c r="E75" s="64">
        <v>2.7679999999999996E-2</v>
      </c>
      <c r="F75" s="64">
        <v>2.3399999999999997E-2</v>
      </c>
      <c r="G75" s="53">
        <v>-0.11409999999999999</v>
      </c>
    </row>
    <row r="76" spans="2:7" x14ac:dyDescent="0.25">
      <c r="B76" s="39">
        <v>43467</v>
      </c>
      <c r="C76" s="64">
        <v>2.717E-2</v>
      </c>
      <c r="D76" s="64">
        <v>2.6450000000000001E-2</v>
      </c>
      <c r="E76" s="64">
        <v>2.7400000000000001E-2</v>
      </c>
      <c r="F76" s="64">
        <v>2.6239999999999999E-2</v>
      </c>
      <c r="G76" s="53">
        <v>3.1899999999999998E-2</v>
      </c>
    </row>
    <row r="77" spans="2:7" x14ac:dyDescent="0.25">
      <c r="B77" s="39">
        <v>43466</v>
      </c>
      <c r="C77" s="64">
        <v>2.6329999999999999E-2</v>
      </c>
      <c r="D77" s="64">
        <v>2.6859999999999998E-2</v>
      </c>
      <c r="E77" s="64">
        <v>2.7990000000000001E-2</v>
      </c>
      <c r="F77" s="64">
        <v>2.5430000000000001E-2</v>
      </c>
      <c r="G77" s="53">
        <v>-1.9800000000000002E-2</v>
      </c>
    </row>
    <row r="78" spans="2:7" x14ac:dyDescent="0.25">
      <c r="B78" s="39">
        <v>43112</v>
      </c>
      <c r="C78" s="64">
        <v>2.6859999999999998E-2</v>
      </c>
      <c r="D78" s="64">
        <v>3.0369999999999998E-2</v>
      </c>
      <c r="E78" s="64">
        <v>3.0499999999999999E-2</v>
      </c>
      <c r="F78" s="64">
        <v>2.6789999999999998E-2</v>
      </c>
      <c r="G78" s="53">
        <v>-0.1027</v>
      </c>
    </row>
    <row r="79" spans="2:7" x14ac:dyDescent="0.25">
      <c r="B79" s="39">
        <v>43111</v>
      </c>
      <c r="C79" s="64">
        <v>2.9929999999999998E-2</v>
      </c>
      <c r="D79" s="64">
        <v>3.1549999999999995E-2</v>
      </c>
      <c r="E79" s="64">
        <v>3.2500000000000001E-2</v>
      </c>
      <c r="F79" s="64">
        <v>2.988E-2</v>
      </c>
      <c r="G79" s="53">
        <v>-4.9500000000000002E-2</v>
      </c>
    </row>
    <row r="80" spans="2:7" x14ac:dyDescent="0.25">
      <c r="B80" s="39">
        <v>43110</v>
      </c>
      <c r="C80" s="64">
        <v>3.1489999999999997E-2</v>
      </c>
      <c r="D80" s="64">
        <v>3.0670000000000003E-2</v>
      </c>
      <c r="E80" s="64">
        <v>3.261E-2</v>
      </c>
      <c r="F80" s="64">
        <v>3.0459999999999997E-2</v>
      </c>
      <c r="G80" s="53">
        <v>2.75E-2</v>
      </c>
    </row>
    <row r="81" spans="2:7" x14ac:dyDescent="0.25">
      <c r="B81" s="39">
        <v>43109</v>
      </c>
      <c r="C81" s="64">
        <v>3.065E-2</v>
      </c>
      <c r="D81" s="64">
        <v>2.86E-2</v>
      </c>
      <c r="E81" s="64">
        <v>3.1130000000000001E-2</v>
      </c>
      <c r="F81" s="64">
        <v>2.8549999999999999E-2</v>
      </c>
      <c r="G81" s="53">
        <v>7.1499999999999994E-2</v>
      </c>
    </row>
    <row r="82" spans="2:7" x14ac:dyDescent="0.25">
      <c r="B82" s="39">
        <v>43108</v>
      </c>
      <c r="C82" s="64">
        <v>2.86E-2</v>
      </c>
      <c r="D82" s="64">
        <v>2.9580000000000002E-2</v>
      </c>
      <c r="E82" s="64">
        <v>3.0159999999999999E-2</v>
      </c>
      <c r="F82" s="64">
        <v>2.8079999999999997E-2</v>
      </c>
      <c r="G82" s="53">
        <v>-3.4200000000000001E-2</v>
      </c>
    </row>
    <row r="83" spans="2:7" x14ac:dyDescent="0.25">
      <c r="B83" s="39">
        <v>43107</v>
      </c>
      <c r="C83" s="64">
        <v>2.962E-2</v>
      </c>
      <c r="D83" s="64">
        <v>2.8580000000000001E-2</v>
      </c>
      <c r="E83" s="64">
        <v>2.9900000000000003E-2</v>
      </c>
      <c r="F83" s="64">
        <v>2.8069999999999998E-2</v>
      </c>
      <c r="G83" s="53">
        <v>3.5499999999999997E-2</v>
      </c>
    </row>
    <row r="84" spans="2:7" x14ac:dyDescent="0.25">
      <c r="B84" s="39">
        <v>43106</v>
      </c>
      <c r="C84" s="64">
        <v>2.86E-2</v>
      </c>
      <c r="D84" s="64">
        <v>2.862E-2</v>
      </c>
      <c r="E84" s="64">
        <v>3.0099999999999998E-2</v>
      </c>
      <c r="F84" s="64">
        <v>2.8220000000000002E-2</v>
      </c>
      <c r="G84" s="53">
        <v>0</v>
      </c>
    </row>
    <row r="85" spans="2:7" x14ac:dyDescent="0.25">
      <c r="B85" s="39">
        <v>43105</v>
      </c>
      <c r="C85" s="64">
        <v>2.86E-2</v>
      </c>
      <c r="D85" s="64">
        <v>2.9590000000000002E-2</v>
      </c>
      <c r="E85" s="64">
        <v>3.1280000000000002E-2</v>
      </c>
      <c r="F85" s="64">
        <v>2.759E-2</v>
      </c>
      <c r="G85" s="53">
        <v>-3.2000000000000001E-2</v>
      </c>
    </row>
    <row r="86" spans="2:7" x14ac:dyDescent="0.25">
      <c r="B86" s="39">
        <v>43104</v>
      </c>
      <c r="C86" s="64">
        <v>2.955E-2</v>
      </c>
      <c r="D86" s="64">
        <v>2.759E-2</v>
      </c>
      <c r="E86" s="64">
        <v>3.0350000000000002E-2</v>
      </c>
      <c r="F86" s="64">
        <v>2.717E-2</v>
      </c>
      <c r="G86" s="53">
        <v>7.8200000000000006E-2</v>
      </c>
    </row>
    <row r="87" spans="2:7" x14ac:dyDescent="0.25">
      <c r="B87" s="39">
        <v>43103</v>
      </c>
      <c r="C87" s="64">
        <v>2.741E-2</v>
      </c>
      <c r="D87" s="64">
        <v>2.8660000000000001E-2</v>
      </c>
      <c r="E87" s="64">
        <v>2.9360000000000001E-2</v>
      </c>
      <c r="F87" s="64">
        <v>2.7389999999999998E-2</v>
      </c>
      <c r="G87" s="53">
        <v>-4.3099999999999999E-2</v>
      </c>
    </row>
    <row r="88" spans="2:7" x14ac:dyDescent="0.25">
      <c r="B88" s="39">
        <v>43102</v>
      </c>
      <c r="C88" s="64">
        <v>2.8639999999999999E-2</v>
      </c>
      <c r="D88" s="64">
        <v>2.724E-2</v>
      </c>
      <c r="E88" s="64">
        <v>2.9569999999999999E-2</v>
      </c>
      <c r="F88" s="64">
        <v>2.648E-2</v>
      </c>
      <c r="G88" s="53">
        <v>5.5899999999999998E-2</v>
      </c>
    </row>
    <row r="89" spans="2:7" x14ac:dyDescent="0.25">
      <c r="B89" s="39">
        <v>43101</v>
      </c>
      <c r="C89" s="64">
        <v>2.7130000000000001E-2</v>
      </c>
      <c r="D89" s="64">
        <v>2.4289999999999999E-2</v>
      </c>
      <c r="E89" s="64">
        <v>2.7539999999999999E-2</v>
      </c>
      <c r="F89" s="64">
        <v>2.4160000000000001E-2</v>
      </c>
      <c r="G89" s="53">
        <v>0.12770000000000001</v>
      </c>
    </row>
    <row r="90" spans="2:7" x14ac:dyDescent="0.25">
      <c r="B90" s="39">
        <v>42747</v>
      </c>
      <c r="C90" s="64">
        <v>2.4049999999999998E-2</v>
      </c>
      <c r="D90" s="64">
        <v>2.4109999999999999E-2</v>
      </c>
      <c r="E90" s="64">
        <v>2.504E-2</v>
      </c>
      <c r="F90" s="64">
        <v>2.3140000000000001E-2</v>
      </c>
      <c r="G90" s="53">
        <v>-4.0000000000000001E-3</v>
      </c>
    </row>
    <row r="91" spans="2:7" x14ac:dyDescent="0.25">
      <c r="B91" s="39">
        <v>42746</v>
      </c>
      <c r="C91" s="64">
        <v>2.4150000000000001E-2</v>
      </c>
      <c r="D91" s="64">
        <v>2.3789999999999999E-2</v>
      </c>
      <c r="E91" s="64">
        <v>2.4369999999999999E-2</v>
      </c>
      <c r="F91" s="64">
        <v>2.3039999999999998E-2</v>
      </c>
      <c r="G91" s="53">
        <v>1.5800000000000002E-2</v>
      </c>
    </row>
    <row r="92" spans="2:7" x14ac:dyDescent="0.25">
      <c r="B92" s="39">
        <v>42745</v>
      </c>
      <c r="C92" s="64">
        <v>2.3780000000000003E-2</v>
      </c>
      <c r="D92" s="64">
        <v>2.3439999999999999E-2</v>
      </c>
      <c r="E92" s="64">
        <v>2.477E-2</v>
      </c>
      <c r="F92" s="64">
        <v>2.273E-2</v>
      </c>
      <c r="G92" s="53">
        <v>1.6500000000000001E-2</v>
      </c>
    </row>
    <row r="93" spans="2:7" x14ac:dyDescent="0.25">
      <c r="B93" s="39">
        <v>42744</v>
      </c>
      <c r="C93" s="64">
        <v>2.3390000000000001E-2</v>
      </c>
      <c r="D93" s="64">
        <v>2.1269999999999997E-2</v>
      </c>
      <c r="E93" s="64">
        <v>2.359E-2</v>
      </c>
      <c r="F93" s="64">
        <v>2.0160000000000001E-2</v>
      </c>
      <c r="G93" s="53">
        <v>0.10299999999999999</v>
      </c>
    </row>
    <row r="94" spans="2:7" x14ac:dyDescent="0.25">
      <c r="B94" s="39">
        <v>42743</v>
      </c>
      <c r="C94" s="64">
        <v>2.121E-2</v>
      </c>
      <c r="D94" s="64">
        <v>2.3029999999999998E-2</v>
      </c>
      <c r="E94" s="64">
        <v>2.3210000000000001E-2</v>
      </c>
      <c r="F94" s="64">
        <v>2.086E-2</v>
      </c>
      <c r="G94" s="53">
        <v>-7.6399999999999996E-2</v>
      </c>
    </row>
    <row r="95" spans="2:7" x14ac:dyDescent="0.25">
      <c r="B95" s="39">
        <v>42742</v>
      </c>
      <c r="C95" s="64">
        <v>2.2959999999999998E-2</v>
      </c>
      <c r="D95" s="64">
        <v>2.3140000000000001E-2</v>
      </c>
      <c r="E95" s="64">
        <v>2.3980000000000001E-2</v>
      </c>
      <c r="F95" s="64">
        <v>2.2250000000000002E-2</v>
      </c>
      <c r="G95" s="53">
        <v>-3.3E-3</v>
      </c>
    </row>
    <row r="96" spans="2:7" x14ac:dyDescent="0.25">
      <c r="B96" s="39">
        <v>42741</v>
      </c>
      <c r="C96" s="64">
        <v>2.3039999999999998E-2</v>
      </c>
      <c r="D96" s="64">
        <v>2.213E-2</v>
      </c>
      <c r="E96" s="64">
        <v>2.3090000000000003E-2</v>
      </c>
      <c r="F96" s="64">
        <v>2.1030000000000004E-2</v>
      </c>
      <c r="G96" s="53">
        <v>4.41E-2</v>
      </c>
    </row>
    <row r="97" spans="2:7" x14ac:dyDescent="0.25">
      <c r="B97" s="39">
        <v>42740</v>
      </c>
      <c r="C97" s="64">
        <v>2.206E-2</v>
      </c>
      <c r="D97" s="64">
        <v>2.282E-2</v>
      </c>
      <c r="E97" s="64">
        <v>2.4230000000000002E-2</v>
      </c>
      <c r="F97" s="64">
        <v>2.181E-2</v>
      </c>
      <c r="G97" s="53">
        <v>-3.6200000000000003E-2</v>
      </c>
    </row>
    <row r="98" spans="2:7" x14ac:dyDescent="0.25">
      <c r="B98" s="39">
        <v>42739</v>
      </c>
      <c r="C98" s="64">
        <v>2.2890000000000001E-2</v>
      </c>
      <c r="D98" s="64">
        <v>2.3959999999999999E-2</v>
      </c>
      <c r="E98" s="64">
        <v>2.4049999999999998E-2</v>
      </c>
      <c r="F98" s="64">
        <v>2.1649999999999999E-2</v>
      </c>
      <c r="G98" s="53">
        <v>-4.19E-2</v>
      </c>
    </row>
    <row r="99" spans="2:7" x14ac:dyDescent="0.25">
      <c r="B99" s="39">
        <v>42738</v>
      </c>
      <c r="C99" s="64">
        <v>2.3889999999999998E-2</v>
      </c>
      <c r="D99" s="64">
        <v>2.4150000000000001E-2</v>
      </c>
      <c r="E99" s="64">
        <v>2.6290000000000001E-2</v>
      </c>
      <c r="F99" s="64">
        <v>2.3479999999999997E-2</v>
      </c>
      <c r="G99" s="53">
        <v>-3.3E-3</v>
      </c>
    </row>
    <row r="100" spans="2:7" x14ac:dyDescent="0.25">
      <c r="B100" s="39">
        <v>42737</v>
      </c>
      <c r="C100" s="64">
        <v>2.3969999999999998E-2</v>
      </c>
      <c r="D100" s="64">
        <v>2.461E-2</v>
      </c>
      <c r="E100" s="64">
        <v>2.5239999999999999E-2</v>
      </c>
      <c r="F100" s="64">
        <v>2.3099999999999999E-2</v>
      </c>
      <c r="G100" s="53">
        <v>-2.7900000000000001E-2</v>
      </c>
    </row>
    <row r="101" spans="2:7" x14ac:dyDescent="0.25">
      <c r="B101" s="39">
        <v>42736</v>
      </c>
      <c r="C101" s="64">
        <v>2.4660000000000001E-2</v>
      </c>
      <c r="D101" s="64">
        <v>2.4390000000000002E-2</v>
      </c>
      <c r="E101" s="64">
        <v>2.5550000000000003E-2</v>
      </c>
      <c r="F101" s="64">
        <v>2.3050000000000001E-2</v>
      </c>
      <c r="G101" s="53">
        <v>8.0999999999999996E-3</v>
      </c>
    </row>
    <row r="102" spans="2:7" x14ac:dyDescent="0.25">
      <c r="B102" s="39">
        <v>42381</v>
      </c>
      <c r="C102" s="64">
        <v>2.4460000000000003E-2</v>
      </c>
      <c r="D102" s="64">
        <v>2.3969999999999998E-2</v>
      </c>
      <c r="E102" s="64">
        <v>2.6409999999999999E-2</v>
      </c>
      <c r="F102" s="64">
        <v>2.3399999999999997E-2</v>
      </c>
      <c r="G102" s="53">
        <v>2.35E-2</v>
      </c>
    </row>
    <row r="103" spans="2:7" x14ac:dyDescent="0.25">
      <c r="B103" s="39">
        <v>42380</v>
      </c>
      <c r="C103" s="64">
        <v>2.3900000000000001E-2</v>
      </c>
      <c r="D103" s="64">
        <v>1.8380000000000001E-2</v>
      </c>
      <c r="E103" s="64">
        <v>2.4169999999999997E-2</v>
      </c>
      <c r="F103" s="64">
        <v>1.7159999999999998E-2</v>
      </c>
      <c r="G103" s="53">
        <v>0.30919999999999997</v>
      </c>
    </row>
    <row r="104" spans="2:7" x14ac:dyDescent="0.25">
      <c r="B104" s="39">
        <v>42379</v>
      </c>
      <c r="C104" s="64">
        <v>1.8260000000000002E-2</v>
      </c>
      <c r="D104" s="64">
        <v>1.6E-2</v>
      </c>
      <c r="E104" s="64">
        <v>1.8790000000000001E-2</v>
      </c>
      <c r="F104" s="64">
        <v>1.593E-2</v>
      </c>
      <c r="G104" s="53">
        <v>0.1424</v>
      </c>
    </row>
    <row r="105" spans="2:7" x14ac:dyDescent="0.25">
      <c r="B105" s="39">
        <v>42378</v>
      </c>
      <c r="C105" s="64">
        <v>1.5980000000000001E-2</v>
      </c>
      <c r="D105" s="64">
        <v>1.5800000000000002E-2</v>
      </c>
      <c r="E105" s="64">
        <v>1.7520000000000001E-2</v>
      </c>
      <c r="F105" s="64">
        <v>1.5189999999999999E-2</v>
      </c>
      <c r="G105" s="53">
        <v>1.24E-2</v>
      </c>
    </row>
    <row r="106" spans="2:7" x14ac:dyDescent="0.25">
      <c r="B106" s="39">
        <v>42377</v>
      </c>
      <c r="C106" s="64">
        <v>1.5780000000000002E-2</v>
      </c>
      <c r="D106" s="64">
        <v>1.4630000000000001E-2</v>
      </c>
      <c r="E106" s="64">
        <v>1.635E-2</v>
      </c>
      <c r="F106" s="64">
        <v>1.4630000000000001E-2</v>
      </c>
      <c r="G106" s="53">
        <v>8.8700000000000001E-2</v>
      </c>
    </row>
    <row r="107" spans="2:7" x14ac:dyDescent="0.25">
      <c r="B107" s="39">
        <v>42376</v>
      </c>
      <c r="C107" s="64">
        <v>1.4499999999999999E-2</v>
      </c>
      <c r="D107" s="64">
        <v>1.4710000000000001E-2</v>
      </c>
      <c r="E107" s="64">
        <v>1.6279999999999999E-2</v>
      </c>
      <c r="F107" s="64">
        <v>1.321E-2</v>
      </c>
      <c r="G107" s="53">
        <v>-1.7000000000000001E-2</v>
      </c>
    </row>
    <row r="108" spans="2:7" x14ac:dyDescent="0.25">
      <c r="B108" s="39">
        <v>42375</v>
      </c>
      <c r="C108" s="64">
        <v>1.4750000000000001E-2</v>
      </c>
      <c r="D108" s="64">
        <v>1.8440000000000002E-2</v>
      </c>
      <c r="E108" s="64">
        <v>1.856E-2</v>
      </c>
      <c r="F108" s="64">
        <v>1.406E-2</v>
      </c>
      <c r="G108" s="53">
        <v>-0.20330000000000001</v>
      </c>
    </row>
    <row r="109" spans="2:7" x14ac:dyDescent="0.25">
      <c r="B109" s="39">
        <v>42374</v>
      </c>
      <c r="C109" s="64">
        <v>1.8509999999999999E-2</v>
      </c>
      <c r="D109" s="64">
        <v>1.83E-2</v>
      </c>
      <c r="E109" s="64">
        <v>1.89E-2</v>
      </c>
      <c r="F109" s="64">
        <v>1.7000000000000001E-2</v>
      </c>
      <c r="G109" s="53">
        <v>8.8000000000000005E-3</v>
      </c>
    </row>
    <row r="110" spans="2:7" x14ac:dyDescent="0.25">
      <c r="B110" s="39">
        <v>42373</v>
      </c>
      <c r="C110" s="64">
        <v>1.8349999999999998E-2</v>
      </c>
      <c r="D110" s="64">
        <v>1.7840000000000002E-2</v>
      </c>
      <c r="E110" s="64">
        <v>1.941E-2</v>
      </c>
      <c r="F110" s="64">
        <v>1.685E-2</v>
      </c>
      <c r="G110" s="53">
        <v>3.6499999999999998E-2</v>
      </c>
    </row>
    <row r="111" spans="2:7" x14ac:dyDescent="0.25">
      <c r="B111" s="39">
        <v>42372</v>
      </c>
      <c r="C111" s="64">
        <v>1.77E-2</v>
      </c>
      <c r="D111" s="64">
        <v>1.737E-2</v>
      </c>
      <c r="E111" s="64">
        <v>2.0019999999999996E-2</v>
      </c>
      <c r="F111" s="64">
        <v>1.702E-2</v>
      </c>
      <c r="G111" s="53">
        <v>1.8499999999999999E-2</v>
      </c>
    </row>
    <row r="112" spans="2:7" x14ac:dyDescent="0.25">
      <c r="B112" s="39">
        <v>42371</v>
      </c>
      <c r="C112" s="64">
        <v>1.738E-2</v>
      </c>
      <c r="D112" s="64">
        <v>1.933E-2</v>
      </c>
      <c r="E112" s="64">
        <v>1.966E-2</v>
      </c>
      <c r="F112" s="64">
        <v>1.5300000000000001E-2</v>
      </c>
      <c r="G112" s="53">
        <v>-9.5899999999999999E-2</v>
      </c>
    </row>
    <row r="113" spans="2:7" x14ac:dyDescent="0.25">
      <c r="B113" s="39">
        <v>42370</v>
      </c>
      <c r="C113" s="64">
        <v>1.9230000000000001E-2</v>
      </c>
      <c r="D113" s="64">
        <v>2.2930000000000002E-2</v>
      </c>
      <c r="E113" s="64">
        <v>2.2930000000000002E-2</v>
      </c>
      <c r="F113" s="64">
        <v>1.9110000000000002E-2</v>
      </c>
      <c r="G113" s="53">
        <v>-0.15279999999999999</v>
      </c>
    </row>
    <row r="114" spans="2:7" x14ac:dyDescent="0.25">
      <c r="B114" s="39">
        <v>42016</v>
      </c>
      <c r="C114" s="64">
        <v>2.2690000000000002E-2</v>
      </c>
      <c r="D114" s="64">
        <v>2.2170000000000002E-2</v>
      </c>
      <c r="E114" s="64">
        <v>2.358E-2</v>
      </c>
      <c r="F114" s="64">
        <v>2.12E-2</v>
      </c>
      <c r="G114" s="53">
        <v>2.7900000000000001E-2</v>
      </c>
    </row>
    <row r="115" spans="2:7" x14ac:dyDescent="0.25">
      <c r="B115" s="39">
        <v>42015</v>
      </c>
      <c r="C115" s="64">
        <v>2.2080000000000002E-2</v>
      </c>
      <c r="D115" s="64">
        <v>2.137E-2</v>
      </c>
      <c r="E115" s="64">
        <v>2.3769999999999999E-2</v>
      </c>
      <c r="F115" s="64">
        <v>2.1299999999999999E-2</v>
      </c>
      <c r="G115" s="53">
        <v>2.8899999999999999E-2</v>
      </c>
    </row>
    <row r="116" spans="2:7" x14ac:dyDescent="0.25">
      <c r="B116" s="39">
        <v>42014</v>
      </c>
      <c r="C116" s="64">
        <v>2.146E-2</v>
      </c>
      <c r="D116" s="64">
        <v>2.0419999999999997E-2</v>
      </c>
      <c r="E116" s="64">
        <v>2.1829999999999999E-2</v>
      </c>
      <c r="F116" s="64">
        <v>1.9039999999999998E-2</v>
      </c>
      <c r="G116" s="53">
        <v>5.4399999999999997E-2</v>
      </c>
    </row>
    <row r="117" spans="2:7" x14ac:dyDescent="0.25">
      <c r="B117" s="39">
        <v>42013</v>
      </c>
      <c r="C117" s="64">
        <v>2.035E-2</v>
      </c>
      <c r="D117" s="64">
        <v>2.214E-2</v>
      </c>
      <c r="E117" s="64">
        <v>2.3029999999999998E-2</v>
      </c>
      <c r="F117" s="64">
        <v>2.035E-2</v>
      </c>
      <c r="G117" s="53">
        <v>-8.1000000000000003E-2</v>
      </c>
    </row>
    <row r="118" spans="2:7" x14ac:dyDescent="0.25">
      <c r="B118" s="39">
        <v>42012</v>
      </c>
      <c r="C118" s="64">
        <v>2.214E-2</v>
      </c>
      <c r="D118" s="64">
        <v>2.2000000000000002E-2</v>
      </c>
      <c r="E118" s="64">
        <v>2.2930000000000002E-2</v>
      </c>
      <c r="F118" s="64">
        <v>1.9050000000000001E-2</v>
      </c>
      <c r="G118" s="53">
        <v>1.24E-2</v>
      </c>
    </row>
    <row r="119" spans="2:7" x14ac:dyDescent="0.25">
      <c r="B119" s="39">
        <v>42011</v>
      </c>
      <c r="C119" s="64">
        <v>2.1869999999999997E-2</v>
      </c>
      <c r="D119" s="64">
        <v>2.3730000000000001E-2</v>
      </c>
      <c r="E119" s="64">
        <v>2.4700000000000003E-2</v>
      </c>
      <c r="F119" s="64">
        <v>2.1760000000000002E-2</v>
      </c>
      <c r="G119" s="53">
        <v>-6.9099999999999995E-2</v>
      </c>
    </row>
    <row r="120" spans="2:7" x14ac:dyDescent="0.25">
      <c r="B120" s="39">
        <v>42010</v>
      </c>
      <c r="C120" s="64">
        <v>2.349E-2</v>
      </c>
      <c r="D120" s="64">
        <v>2.128E-2</v>
      </c>
      <c r="E120" s="64">
        <v>2.5000000000000001E-2</v>
      </c>
      <c r="F120" s="64">
        <v>2.1059999999999999E-2</v>
      </c>
      <c r="G120" s="53">
        <v>0.1066</v>
      </c>
    </row>
    <row r="121" spans="2:7" x14ac:dyDescent="0.25">
      <c r="B121" s="39">
        <v>42009</v>
      </c>
      <c r="C121" s="64">
        <v>2.1230000000000002E-2</v>
      </c>
      <c r="D121" s="64">
        <v>2.0489999999999998E-2</v>
      </c>
      <c r="E121" s="64">
        <v>2.366E-2</v>
      </c>
      <c r="F121" s="64">
        <v>2.0459999999999999E-2</v>
      </c>
      <c r="G121" s="53">
        <v>4.3200000000000002E-2</v>
      </c>
    </row>
    <row r="122" spans="2:7" x14ac:dyDescent="0.25">
      <c r="B122" s="39">
        <v>42008</v>
      </c>
      <c r="C122" s="64">
        <v>2.035E-2</v>
      </c>
      <c r="D122" s="64">
        <v>1.9299999999999998E-2</v>
      </c>
      <c r="E122" s="64">
        <v>2.1099999999999997E-2</v>
      </c>
      <c r="F122" s="64">
        <v>1.8020000000000001E-2</v>
      </c>
      <c r="G122" s="53">
        <v>5.6399999999999999E-2</v>
      </c>
    </row>
    <row r="123" spans="2:7" x14ac:dyDescent="0.25">
      <c r="B123" s="39">
        <v>42007</v>
      </c>
      <c r="C123" s="64">
        <v>1.9269999999999999E-2</v>
      </c>
      <c r="D123" s="64">
        <v>2.0049999999999998E-2</v>
      </c>
      <c r="E123" s="64">
        <v>2.2589999999999999E-2</v>
      </c>
      <c r="F123" s="64">
        <v>1.8520000000000002E-2</v>
      </c>
      <c r="G123" s="53">
        <v>-3.5000000000000003E-2</v>
      </c>
    </row>
    <row r="124" spans="2:7" x14ac:dyDescent="0.25">
      <c r="B124" s="39">
        <v>42006</v>
      </c>
      <c r="C124" s="64">
        <v>1.9970000000000002E-2</v>
      </c>
      <c r="D124" s="64">
        <v>1.653E-2</v>
      </c>
      <c r="E124" s="64">
        <v>2.1640000000000003E-2</v>
      </c>
      <c r="F124" s="64">
        <v>1.6490000000000001E-2</v>
      </c>
      <c r="G124" s="53">
        <v>0.21809999999999999</v>
      </c>
    </row>
    <row r="125" spans="2:7" x14ac:dyDescent="0.25">
      <c r="B125" s="39">
        <v>42005</v>
      </c>
      <c r="C125" s="64">
        <v>1.6390000000000002E-2</v>
      </c>
      <c r="D125" s="64">
        <v>2.2000000000000002E-2</v>
      </c>
      <c r="E125" s="64">
        <v>2.213E-2</v>
      </c>
      <c r="F125" s="64">
        <v>1.6369999999999999E-2</v>
      </c>
      <c r="G125" s="53">
        <v>-0.24479999999999999</v>
      </c>
    </row>
    <row r="126" spans="2:7" x14ac:dyDescent="0.25">
      <c r="B126" s="39">
        <v>41651</v>
      </c>
      <c r="C126" s="64">
        <v>2.1700000000000001E-2</v>
      </c>
      <c r="D126" s="64">
        <v>2.1780000000000001E-2</v>
      </c>
      <c r="E126" s="64">
        <v>2.3470000000000001E-2</v>
      </c>
      <c r="F126" s="64">
        <v>2.009E-2</v>
      </c>
      <c r="G126" s="53">
        <v>-1.1999999999999999E-3</v>
      </c>
    </row>
    <row r="127" spans="2:7" x14ac:dyDescent="0.25">
      <c r="B127" s="39">
        <v>41650</v>
      </c>
      <c r="C127" s="64">
        <v>2.1729999999999999E-2</v>
      </c>
      <c r="D127" s="64">
        <v>2.3090000000000003E-2</v>
      </c>
      <c r="E127" s="64">
        <v>2.4070000000000001E-2</v>
      </c>
      <c r="F127" s="64">
        <v>2.1659999999999999E-2</v>
      </c>
      <c r="G127" s="53">
        <v>-6.9599999999999995E-2</v>
      </c>
    </row>
    <row r="128" spans="2:7" x14ac:dyDescent="0.25">
      <c r="B128" s="39">
        <v>41649</v>
      </c>
      <c r="C128" s="64">
        <v>2.3349999999999999E-2</v>
      </c>
      <c r="D128" s="64">
        <v>2.5000000000000001E-2</v>
      </c>
      <c r="E128" s="64">
        <v>2.5080000000000002E-2</v>
      </c>
      <c r="F128" s="64">
        <v>1.865E-2</v>
      </c>
      <c r="G128" s="53">
        <v>-6.4000000000000001E-2</v>
      </c>
    </row>
    <row r="129" spans="2:7" x14ac:dyDescent="0.25">
      <c r="B129" s="39">
        <v>41648</v>
      </c>
      <c r="C129" s="64">
        <v>2.495E-2</v>
      </c>
      <c r="D129" s="64">
        <v>2.3570000000000001E-2</v>
      </c>
      <c r="E129" s="64">
        <v>2.6549999999999997E-2</v>
      </c>
      <c r="F129" s="64">
        <v>2.3540000000000002E-2</v>
      </c>
      <c r="G129" s="53">
        <v>6.4100000000000004E-2</v>
      </c>
    </row>
    <row r="130" spans="2:7" x14ac:dyDescent="0.25">
      <c r="B130" s="39">
        <v>41647</v>
      </c>
      <c r="C130" s="64">
        <v>2.3450000000000002E-2</v>
      </c>
      <c r="D130" s="64">
        <v>2.5619999999999997E-2</v>
      </c>
      <c r="E130" s="64">
        <v>2.5910000000000002E-2</v>
      </c>
      <c r="F130" s="64">
        <v>2.3029999999999998E-2</v>
      </c>
      <c r="G130" s="53">
        <v>-8.4599999999999995E-2</v>
      </c>
    </row>
    <row r="131" spans="2:7" x14ac:dyDescent="0.25">
      <c r="B131" s="39">
        <v>41646</v>
      </c>
      <c r="C131" s="64">
        <v>2.5619999999999997E-2</v>
      </c>
      <c r="D131" s="64">
        <v>2.53E-2</v>
      </c>
      <c r="E131" s="64">
        <v>2.6920000000000003E-2</v>
      </c>
      <c r="F131" s="64">
        <v>2.4409999999999998E-2</v>
      </c>
      <c r="G131" s="53">
        <v>1.1599999999999999E-2</v>
      </c>
    </row>
    <row r="132" spans="2:7" x14ac:dyDescent="0.25">
      <c r="B132" s="39">
        <v>41645</v>
      </c>
      <c r="C132" s="64">
        <v>2.5319999999999999E-2</v>
      </c>
      <c r="D132" s="64">
        <v>2.4840000000000001E-2</v>
      </c>
      <c r="E132" s="64">
        <v>2.6619999999999998E-2</v>
      </c>
      <c r="F132" s="64">
        <v>2.4750000000000001E-2</v>
      </c>
      <c r="G132" s="53">
        <v>2.3099999999999999E-2</v>
      </c>
    </row>
    <row r="133" spans="2:7" x14ac:dyDescent="0.25">
      <c r="B133" s="39">
        <v>41644</v>
      </c>
      <c r="C133" s="64">
        <v>2.4750000000000001E-2</v>
      </c>
      <c r="D133" s="64">
        <v>2.6589999999999999E-2</v>
      </c>
      <c r="E133" s="64">
        <v>2.7000000000000003E-2</v>
      </c>
      <c r="F133" s="64">
        <v>2.402E-2</v>
      </c>
      <c r="G133" s="53">
        <v>-6.4600000000000005E-2</v>
      </c>
    </row>
    <row r="134" spans="2:7" x14ac:dyDescent="0.25">
      <c r="B134" s="39">
        <v>41643</v>
      </c>
      <c r="C134" s="64">
        <v>2.6459999999999997E-2</v>
      </c>
      <c r="D134" s="64">
        <v>2.726E-2</v>
      </c>
      <c r="E134" s="64">
        <v>2.81E-2</v>
      </c>
      <c r="F134" s="64">
        <v>2.596E-2</v>
      </c>
      <c r="G134" s="53">
        <v>-2.69E-2</v>
      </c>
    </row>
    <row r="135" spans="2:7" x14ac:dyDescent="0.25">
      <c r="B135" s="39">
        <v>41642</v>
      </c>
      <c r="C135" s="64">
        <v>2.7189999999999999E-2</v>
      </c>
      <c r="D135" s="64">
        <v>2.6099999999999998E-2</v>
      </c>
      <c r="E135" s="64">
        <v>2.8210000000000002E-2</v>
      </c>
      <c r="F135" s="64">
        <v>2.5920000000000002E-2</v>
      </c>
      <c r="G135" s="53">
        <v>2.63E-2</v>
      </c>
    </row>
    <row r="136" spans="2:7" x14ac:dyDescent="0.25">
      <c r="B136" s="39">
        <v>41641</v>
      </c>
      <c r="C136" s="64">
        <v>2.649E-2</v>
      </c>
      <c r="D136" s="64">
        <v>2.666E-2</v>
      </c>
      <c r="E136" s="64">
        <v>2.7859999999999999E-2</v>
      </c>
      <c r="F136" s="64">
        <v>2.5699999999999997E-2</v>
      </c>
      <c r="G136" s="53">
        <v>2E-3</v>
      </c>
    </row>
    <row r="137" spans="2:7" x14ac:dyDescent="0.25">
      <c r="B137" s="39">
        <v>41640</v>
      </c>
      <c r="C137" s="64">
        <v>2.6440000000000002E-2</v>
      </c>
      <c r="D137" s="64">
        <v>3.0379999999999997E-2</v>
      </c>
      <c r="E137" s="64">
        <v>3.041E-2</v>
      </c>
      <c r="F137" s="64">
        <v>2.6459999999999997E-2</v>
      </c>
      <c r="G137" s="53">
        <v>-0.1263</v>
      </c>
    </row>
    <row r="138" spans="2:7" x14ac:dyDescent="0.25">
      <c r="B138" s="39">
        <v>41286</v>
      </c>
      <c r="C138" s="64">
        <v>3.0259999999999999E-2</v>
      </c>
      <c r="D138" s="64">
        <v>2.7530000000000002E-2</v>
      </c>
      <c r="E138" s="64">
        <v>3.0360000000000002E-2</v>
      </c>
      <c r="F138" s="64">
        <v>2.7519999999999999E-2</v>
      </c>
      <c r="G138" s="53">
        <v>0.10199999999999999</v>
      </c>
    </row>
    <row r="139" spans="2:7" x14ac:dyDescent="0.25">
      <c r="B139" s="39">
        <v>41285</v>
      </c>
      <c r="C139" s="64">
        <v>2.7459999999999998E-2</v>
      </c>
      <c r="D139" s="64">
        <v>2.5600000000000001E-2</v>
      </c>
      <c r="E139" s="64">
        <v>2.8389999999999999E-2</v>
      </c>
      <c r="F139" s="64">
        <v>2.5539999999999997E-2</v>
      </c>
      <c r="G139" s="53">
        <v>7.5999999999999998E-2</v>
      </c>
    </row>
    <row r="140" spans="2:7" x14ac:dyDescent="0.25">
      <c r="B140" s="39">
        <v>41284</v>
      </c>
      <c r="C140" s="64">
        <v>2.5520000000000001E-2</v>
      </c>
      <c r="D140" s="64">
        <v>2.614E-2</v>
      </c>
      <c r="E140" s="64">
        <v>2.759E-2</v>
      </c>
      <c r="F140" s="64">
        <v>2.4709999999999999E-2</v>
      </c>
      <c r="G140" s="53">
        <v>-2.41E-2</v>
      </c>
    </row>
    <row r="141" spans="2:7" x14ac:dyDescent="0.25">
      <c r="B141" s="39">
        <v>41283</v>
      </c>
      <c r="C141" s="64">
        <v>2.6150000000000003E-2</v>
      </c>
      <c r="D141" s="64">
        <v>2.8370000000000003E-2</v>
      </c>
      <c r="E141" s="64">
        <v>3.007E-2</v>
      </c>
      <c r="F141" s="64">
        <v>2.5899999999999999E-2</v>
      </c>
      <c r="G141" s="53">
        <v>-6.2399999999999997E-2</v>
      </c>
    </row>
    <row r="142" spans="2:7" x14ac:dyDescent="0.25">
      <c r="B142" s="39">
        <v>41282</v>
      </c>
      <c r="C142" s="64">
        <v>2.7890000000000002E-2</v>
      </c>
      <c r="D142" s="64">
        <v>2.5840000000000002E-2</v>
      </c>
      <c r="E142" s="64">
        <v>2.9360000000000001E-2</v>
      </c>
      <c r="F142" s="64">
        <v>2.5520000000000001E-2</v>
      </c>
      <c r="G142" s="53">
        <v>7.8E-2</v>
      </c>
    </row>
    <row r="143" spans="2:7" x14ac:dyDescent="0.25">
      <c r="B143" s="39">
        <v>41281</v>
      </c>
      <c r="C143" s="64">
        <v>2.588E-2</v>
      </c>
      <c r="D143" s="64">
        <v>2.495E-2</v>
      </c>
      <c r="E143" s="64">
        <v>2.7549999999999998E-2</v>
      </c>
      <c r="F143" s="64">
        <v>2.4150000000000001E-2</v>
      </c>
      <c r="G143" s="53">
        <v>4.02E-2</v>
      </c>
    </row>
    <row r="144" spans="2:7" x14ac:dyDescent="0.25">
      <c r="B144" s="39">
        <v>41280</v>
      </c>
      <c r="C144" s="64">
        <v>2.487E-2</v>
      </c>
      <c r="D144" s="64">
        <v>2.1569999999999999E-2</v>
      </c>
      <c r="E144" s="64">
        <v>2.6669999999999999E-2</v>
      </c>
      <c r="F144" s="64">
        <v>1.9990000000000001E-2</v>
      </c>
      <c r="G144" s="53">
        <v>0.16689999999999999</v>
      </c>
    </row>
    <row r="145" spans="2:7" x14ac:dyDescent="0.25">
      <c r="B145" s="39">
        <v>41279</v>
      </c>
      <c r="C145" s="64">
        <v>2.1320000000000002E-2</v>
      </c>
      <c r="D145" s="64">
        <v>1.668E-2</v>
      </c>
      <c r="E145" s="64">
        <v>2.2349999999999998E-2</v>
      </c>
      <c r="F145" s="64">
        <v>1.6140000000000002E-2</v>
      </c>
      <c r="G145" s="53">
        <v>0.27389999999999998</v>
      </c>
    </row>
    <row r="146" spans="2:7" x14ac:dyDescent="0.25">
      <c r="B146" s="39">
        <v>41278</v>
      </c>
      <c r="C146" s="64">
        <v>1.6730000000000002E-2</v>
      </c>
      <c r="D146" s="64">
        <v>1.8749999999999999E-2</v>
      </c>
      <c r="E146" s="64">
        <v>1.8879999999999997E-2</v>
      </c>
      <c r="F146" s="64">
        <v>1.6379999999999999E-2</v>
      </c>
      <c r="G146" s="53">
        <v>-9.6500000000000002E-2</v>
      </c>
    </row>
    <row r="147" spans="2:7" x14ac:dyDescent="0.25">
      <c r="B147" s="39">
        <v>41277</v>
      </c>
      <c r="C147" s="64">
        <v>1.8520000000000002E-2</v>
      </c>
      <c r="D147" s="64">
        <v>1.8769999999999998E-2</v>
      </c>
      <c r="E147" s="64">
        <v>2.0870000000000003E-2</v>
      </c>
      <c r="F147" s="64">
        <v>1.8269999999999998E-2</v>
      </c>
      <c r="G147" s="53">
        <v>-1.5299999999999999E-2</v>
      </c>
    </row>
    <row r="148" spans="2:7" x14ac:dyDescent="0.25">
      <c r="B148" s="39">
        <v>41276</v>
      </c>
      <c r="C148" s="64">
        <v>1.881E-2</v>
      </c>
      <c r="D148" s="64">
        <v>1.9900000000000001E-2</v>
      </c>
      <c r="E148" s="64">
        <v>2.0640000000000002E-2</v>
      </c>
      <c r="F148" s="64">
        <v>1.8360000000000001E-2</v>
      </c>
      <c r="G148" s="53">
        <v>-5.2400000000000002E-2</v>
      </c>
    </row>
    <row r="149" spans="2:7" x14ac:dyDescent="0.25">
      <c r="B149" s="39">
        <v>41275</v>
      </c>
      <c r="C149" s="64">
        <v>1.985E-2</v>
      </c>
      <c r="D149" s="64">
        <v>1.7569999999999999E-2</v>
      </c>
      <c r="E149" s="64">
        <v>2.0369999999999999E-2</v>
      </c>
      <c r="F149" s="64">
        <v>1.7569999999999999E-2</v>
      </c>
      <c r="G149" s="53">
        <v>0.13</v>
      </c>
    </row>
    <row r="150" spans="2:7" x14ac:dyDescent="0.25">
      <c r="B150" s="39">
        <v>40920</v>
      </c>
      <c r="C150" s="64">
        <v>1.7569999999999999E-2</v>
      </c>
      <c r="D150" s="64">
        <v>1.618E-2</v>
      </c>
      <c r="E150" s="64">
        <v>1.847E-2</v>
      </c>
      <c r="F150" s="64">
        <v>1.5640000000000001E-2</v>
      </c>
      <c r="G150" s="53">
        <v>8.6699999999999999E-2</v>
      </c>
    </row>
    <row r="151" spans="2:7" x14ac:dyDescent="0.25">
      <c r="B151" s="39">
        <v>40919</v>
      </c>
      <c r="C151" s="64">
        <v>1.6160000000000001E-2</v>
      </c>
      <c r="D151" s="64">
        <v>1.702E-2</v>
      </c>
      <c r="E151" s="64">
        <v>1.7809999999999999E-2</v>
      </c>
      <c r="F151" s="64">
        <v>1.5560000000000001E-2</v>
      </c>
      <c r="G151" s="53">
        <v>-4.6100000000000002E-2</v>
      </c>
    </row>
    <row r="152" spans="2:7" x14ac:dyDescent="0.25">
      <c r="B152" s="39">
        <v>40918</v>
      </c>
      <c r="C152" s="64">
        <v>1.694E-2</v>
      </c>
      <c r="D152" s="64">
        <v>1.6230000000000001E-2</v>
      </c>
      <c r="E152" s="64">
        <v>1.856E-2</v>
      </c>
      <c r="F152" s="64">
        <v>1.5990000000000001E-2</v>
      </c>
      <c r="G152" s="53">
        <v>3.73E-2</v>
      </c>
    </row>
    <row r="153" spans="2:7" x14ac:dyDescent="0.25">
      <c r="B153" s="39">
        <v>40917</v>
      </c>
      <c r="C153" s="64">
        <v>1.6330000000000001E-2</v>
      </c>
      <c r="D153" s="64">
        <v>1.5520000000000001E-2</v>
      </c>
      <c r="E153" s="64">
        <v>1.8939999999999999E-2</v>
      </c>
      <c r="F153" s="64">
        <v>1.542E-2</v>
      </c>
      <c r="G153" s="53">
        <v>5.5E-2</v>
      </c>
    </row>
    <row r="154" spans="2:7" x14ac:dyDescent="0.25">
      <c r="B154" s="39">
        <v>40916</v>
      </c>
      <c r="C154" s="64">
        <v>1.5480000000000001E-2</v>
      </c>
      <c r="D154" s="64">
        <v>1.468E-2</v>
      </c>
      <c r="E154" s="64">
        <v>1.8630000000000001E-2</v>
      </c>
      <c r="F154" s="64">
        <v>1.4459999999999999E-2</v>
      </c>
      <c r="G154" s="53">
        <v>5.3600000000000002E-2</v>
      </c>
    </row>
    <row r="155" spans="2:7" x14ac:dyDescent="0.25">
      <c r="B155" s="39">
        <v>40915</v>
      </c>
      <c r="C155" s="64">
        <v>1.47E-2</v>
      </c>
      <c r="D155" s="64">
        <v>1.652E-2</v>
      </c>
      <c r="E155" s="64">
        <v>1.66E-2</v>
      </c>
      <c r="F155" s="64">
        <v>1.3809999999999999E-2</v>
      </c>
      <c r="G155" s="53">
        <v>-0.1056</v>
      </c>
    </row>
    <row r="156" spans="2:7" x14ac:dyDescent="0.25">
      <c r="B156" s="39">
        <v>40914</v>
      </c>
      <c r="C156" s="64">
        <v>1.643E-2</v>
      </c>
      <c r="D156" s="64">
        <v>1.5700000000000002E-2</v>
      </c>
      <c r="E156" s="64">
        <v>1.728E-2</v>
      </c>
      <c r="F156" s="64">
        <v>1.4419999999999999E-2</v>
      </c>
      <c r="G156" s="53">
        <v>5.1400000000000001E-2</v>
      </c>
    </row>
    <row r="157" spans="2:7" x14ac:dyDescent="0.25">
      <c r="B157" s="39">
        <v>40913</v>
      </c>
      <c r="C157" s="64">
        <v>1.5629999999999998E-2</v>
      </c>
      <c r="D157" s="64">
        <v>1.9189999999999999E-2</v>
      </c>
      <c r="E157" s="64">
        <v>1.966E-2</v>
      </c>
      <c r="F157" s="64">
        <v>1.533E-2</v>
      </c>
      <c r="G157" s="53">
        <v>-0.18559999999999999</v>
      </c>
    </row>
    <row r="158" spans="2:7" x14ac:dyDescent="0.25">
      <c r="B158" s="39">
        <v>40912</v>
      </c>
      <c r="C158" s="64">
        <v>1.9189999999999999E-2</v>
      </c>
      <c r="D158" s="64">
        <v>2.2370000000000001E-2</v>
      </c>
      <c r="E158" s="64">
        <v>2.308E-2</v>
      </c>
      <c r="F158" s="64">
        <v>1.8839999999999999E-2</v>
      </c>
      <c r="G158" s="53">
        <v>-0.1333</v>
      </c>
    </row>
    <row r="159" spans="2:7" x14ac:dyDescent="0.25">
      <c r="B159" s="39">
        <v>40911</v>
      </c>
      <c r="C159" s="64">
        <v>2.214E-2</v>
      </c>
      <c r="D159" s="64">
        <v>1.983E-2</v>
      </c>
      <c r="E159" s="64">
        <v>2.3990000000000001E-2</v>
      </c>
      <c r="F159" s="64">
        <v>1.9310000000000001E-2</v>
      </c>
      <c r="G159" s="53">
        <v>0.1217</v>
      </c>
    </row>
    <row r="160" spans="2:7" x14ac:dyDescent="0.25">
      <c r="B160" s="39">
        <v>40910</v>
      </c>
      <c r="C160" s="64">
        <v>1.9740000000000001E-2</v>
      </c>
      <c r="D160" s="64">
        <v>1.797E-2</v>
      </c>
      <c r="E160" s="64">
        <v>2.0799999999999999E-2</v>
      </c>
      <c r="F160" s="64">
        <v>1.797E-2</v>
      </c>
      <c r="G160" s="53">
        <v>9.9500000000000005E-2</v>
      </c>
    </row>
    <row r="161" spans="2:7" x14ac:dyDescent="0.25">
      <c r="B161" s="39">
        <v>40909</v>
      </c>
      <c r="C161" s="64">
        <v>1.7950000000000001E-2</v>
      </c>
      <c r="D161" s="64">
        <v>1.8759999999999999E-2</v>
      </c>
      <c r="E161" s="64">
        <v>2.094E-2</v>
      </c>
      <c r="F161" s="64">
        <v>1.7920000000000002E-2</v>
      </c>
      <c r="G161" s="53">
        <v>-4.3099999999999999E-2</v>
      </c>
    </row>
    <row r="162" spans="2:7" x14ac:dyDescent="0.25">
      <c r="B162" s="39">
        <v>40555</v>
      </c>
      <c r="C162" s="64">
        <v>1.8759999999999999E-2</v>
      </c>
      <c r="D162" s="64">
        <v>2.0790000000000003E-2</v>
      </c>
      <c r="E162" s="64">
        <v>2.1669999999999998E-2</v>
      </c>
      <c r="F162" s="64">
        <v>1.7979999999999999E-2</v>
      </c>
      <c r="G162" s="53">
        <v>-9.4299999999999995E-2</v>
      </c>
    </row>
    <row r="163" spans="2:7" x14ac:dyDescent="0.25">
      <c r="B163" s="39">
        <v>40554</v>
      </c>
      <c r="C163" s="64">
        <v>2.0720000000000002E-2</v>
      </c>
      <c r="D163" s="64">
        <v>2.1349999999999997E-2</v>
      </c>
      <c r="E163" s="64">
        <v>2.1530000000000001E-2</v>
      </c>
      <c r="F163" s="64">
        <v>1.8720000000000001E-2</v>
      </c>
      <c r="G163" s="53">
        <v>-2.1000000000000001E-2</v>
      </c>
    </row>
    <row r="164" spans="2:7" x14ac:dyDescent="0.25">
      <c r="B164" s="39">
        <v>40553</v>
      </c>
      <c r="C164" s="64">
        <v>2.1160000000000002E-2</v>
      </c>
      <c r="D164" s="64">
        <v>1.9189999999999999E-2</v>
      </c>
      <c r="E164" s="64">
        <v>2.4199999999999999E-2</v>
      </c>
      <c r="F164" s="64">
        <v>1.7170000000000001E-2</v>
      </c>
      <c r="G164" s="53">
        <v>0.1037</v>
      </c>
    </row>
    <row r="165" spans="2:7" x14ac:dyDescent="0.25">
      <c r="B165" s="39">
        <v>40552</v>
      </c>
      <c r="C165" s="64">
        <v>1.917E-2</v>
      </c>
      <c r="D165" s="64">
        <v>2.222E-2</v>
      </c>
      <c r="E165" s="64">
        <v>2.2780000000000002E-2</v>
      </c>
      <c r="F165" s="64">
        <v>1.6739999999999998E-2</v>
      </c>
      <c r="G165" s="53">
        <v>-0.14180000000000001</v>
      </c>
    </row>
    <row r="166" spans="2:7" x14ac:dyDescent="0.25">
      <c r="B166" s="39">
        <v>40551</v>
      </c>
      <c r="C166" s="64">
        <v>2.2339999999999999E-2</v>
      </c>
      <c r="D166" s="64">
        <v>2.8199999999999999E-2</v>
      </c>
      <c r="E166" s="64">
        <v>2.8580000000000001E-2</v>
      </c>
      <c r="F166" s="64">
        <v>1.976E-2</v>
      </c>
      <c r="G166" s="53">
        <v>-0.2</v>
      </c>
    </row>
    <row r="167" spans="2:7" x14ac:dyDescent="0.25">
      <c r="B167" s="39">
        <v>40550</v>
      </c>
      <c r="C167" s="64">
        <v>2.793E-2</v>
      </c>
      <c r="D167" s="64">
        <v>3.1620000000000002E-2</v>
      </c>
      <c r="E167" s="64">
        <v>3.2230000000000002E-2</v>
      </c>
      <c r="F167" s="64">
        <v>2.7730000000000001E-2</v>
      </c>
      <c r="G167" s="53">
        <v>-0.1163</v>
      </c>
    </row>
    <row r="168" spans="2:7" x14ac:dyDescent="0.25">
      <c r="B168" s="39">
        <v>40549</v>
      </c>
      <c r="C168" s="64">
        <v>3.1600000000000003E-2</v>
      </c>
      <c r="D168" s="64">
        <v>3.0699999999999998E-2</v>
      </c>
      <c r="E168" s="64">
        <v>3.2210000000000003E-2</v>
      </c>
      <c r="F168" s="64">
        <v>2.8420000000000001E-2</v>
      </c>
      <c r="G168" s="53">
        <v>3.3099999999999997E-2</v>
      </c>
    </row>
    <row r="169" spans="2:7" x14ac:dyDescent="0.25">
      <c r="B169" s="39">
        <v>40548</v>
      </c>
      <c r="C169" s="64">
        <v>3.0590000000000003E-2</v>
      </c>
      <c r="D169" s="64">
        <v>3.2969999999999999E-2</v>
      </c>
      <c r="E169" s="64">
        <v>3.3230000000000003E-2</v>
      </c>
      <c r="F169" s="64">
        <v>3.041E-2</v>
      </c>
      <c r="G169" s="53">
        <v>-7.0199999999999999E-2</v>
      </c>
    </row>
    <row r="170" spans="2:7" x14ac:dyDescent="0.25">
      <c r="B170" s="39">
        <v>40547</v>
      </c>
      <c r="C170" s="64">
        <v>3.2899999999999999E-2</v>
      </c>
      <c r="D170" s="64">
        <v>3.4759999999999999E-2</v>
      </c>
      <c r="E170" s="64">
        <v>3.619E-2</v>
      </c>
      <c r="F170" s="64">
        <v>3.2829999999999998E-2</v>
      </c>
      <c r="G170" s="53">
        <v>-5.1900000000000002E-2</v>
      </c>
    </row>
    <row r="171" spans="2:7" x14ac:dyDescent="0.25">
      <c r="B171" s="39">
        <v>40546</v>
      </c>
      <c r="C171" s="64">
        <v>3.4700000000000002E-2</v>
      </c>
      <c r="D171" s="64">
        <v>3.44E-2</v>
      </c>
      <c r="E171" s="64">
        <v>3.5979999999999998E-2</v>
      </c>
      <c r="F171" s="64">
        <v>3.143E-2</v>
      </c>
      <c r="G171" s="53">
        <v>1.4E-2</v>
      </c>
    </row>
    <row r="172" spans="2:7" x14ac:dyDescent="0.25">
      <c r="B172" s="39">
        <v>40545</v>
      </c>
      <c r="C172" s="64">
        <v>3.422E-2</v>
      </c>
      <c r="D172" s="64">
        <v>3.372E-2</v>
      </c>
      <c r="E172" s="64">
        <v>3.7699999999999997E-2</v>
      </c>
      <c r="F172" s="64">
        <v>3.372E-2</v>
      </c>
      <c r="G172" s="53">
        <v>1.4200000000000001E-2</v>
      </c>
    </row>
    <row r="173" spans="2:7" x14ac:dyDescent="0.25">
      <c r="B173" s="39">
        <v>40544</v>
      </c>
      <c r="C173" s="64">
        <v>3.3739999999999999E-2</v>
      </c>
      <c r="D173" s="64">
        <v>3.3050000000000003E-2</v>
      </c>
      <c r="E173" s="64">
        <v>3.4970000000000001E-2</v>
      </c>
      <c r="F173" s="64">
        <v>3.2530000000000003E-2</v>
      </c>
      <c r="G173" s="53">
        <v>2.6200000000000001E-2</v>
      </c>
    </row>
    <row r="174" spans="2:7" x14ac:dyDescent="0.25">
      <c r="B174" s="39">
        <v>40190</v>
      </c>
      <c r="C174" s="64">
        <v>3.288E-2</v>
      </c>
      <c r="D174" s="64">
        <v>2.809E-2</v>
      </c>
      <c r="E174" s="64">
        <v>3.5680000000000003E-2</v>
      </c>
      <c r="F174" s="64">
        <v>2.7970000000000002E-2</v>
      </c>
      <c r="G174" s="53">
        <v>0.17549999999999999</v>
      </c>
    </row>
    <row r="175" spans="2:7" x14ac:dyDescent="0.25">
      <c r="B175" s="39">
        <v>40189</v>
      </c>
      <c r="C175" s="64">
        <v>2.7970000000000002E-2</v>
      </c>
      <c r="D175" s="64">
        <v>2.6210000000000001E-2</v>
      </c>
      <c r="E175" s="64">
        <v>2.9670000000000002E-2</v>
      </c>
      <c r="F175" s="64">
        <v>2.4580000000000001E-2</v>
      </c>
      <c r="G175" s="53">
        <v>7.4499999999999997E-2</v>
      </c>
    </row>
    <row r="176" spans="2:7" x14ac:dyDescent="0.25">
      <c r="B176" s="39">
        <v>40188</v>
      </c>
      <c r="C176" s="64">
        <v>2.6030000000000001E-2</v>
      </c>
      <c r="D176" s="64">
        <v>2.5150000000000002E-2</v>
      </c>
      <c r="E176" s="64">
        <v>2.7309999999999997E-2</v>
      </c>
      <c r="F176" s="64">
        <v>2.334E-2</v>
      </c>
      <c r="G176" s="53">
        <v>3.6200000000000003E-2</v>
      </c>
    </row>
    <row r="177" spans="2:7" x14ac:dyDescent="0.25">
      <c r="B177" s="39">
        <v>40187</v>
      </c>
      <c r="C177" s="64">
        <v>2.512E-2</v>
      </c>
      <c r="D177" s="64">
        <v>2.4820000000000002E-2</v>
      </c>
      <c r="E177" s="64">
        <v>2.8490000000000001E-2</v>
      </c>
      <c r="F177" s="64">
        <v>2.4489999999999998E-2</v>
      </c>
      <c r="G177" s="53">
        <v>1.7000000000000001E-2</v>
      </c>
    </row>
    <row r="178" spans="2:7" x14ac:dyDescent="0.25">
      <c r="B178" s="39">
        <v>40186</v>
      </c>
      <c r="C178" s="64">
        <v>2.4700000000000003E-2</v>
      </c>
      <c r="D178" s="64">
        <v>2.9249999999999998E-2</v>
      </c>
      <c r="E178" s="64">
        <v>2.972E-2</v>
      </c>
      <c r="F178" s="64">
        <v>2.419E-2</v>
      </c>
      <c r="G178" s="53">
        <v>-0.1497</v>
      </c>
    </row>
    <row r="179" spans="2:7" x14ac:dyDescent="0.25">
      <c r="B179" s="39">
        <v>40185</v>
      </c>
      <c r="C179" s="64">
        <v>2.9049999999999999E-2</v>
      </c>
      <c r="D179" s="64">
        <v>2.9420000000000002E-2</v>
      </c>
      <c r="E179" s="64">
        <v>3.1320000000000001E-2</v>
      </c>
      <c r="F179" s="64">
        <v>2.8549999999999999E-2</v>
      </c>
      <c r="G179" s="53">
        <v>-1.0200000000000001E-2</v>
      </c>
    </row>
    <row r="180" spans="2:7" x14ac:dyDescent="0.25">
      <c r="B180" s="39">
        <v>40184</v>
      </c>
      <c r="C180" s="64">
        <v>2.9350000000000001E-2</v>
      </c>
      <c r="D180" s="64">
        <v>3.3000000000000002E-2</v>
      </c>
      <c r="E180" s="64">
        <v>3.4270000000000002E-2</v>
      </c>
      <c r="F180" s="64">
        <v>2.928E-2</v>
      </c>
      <c r="G180" s="53">
        <v>-0.1114</v>
      </c>
    </row>
    <row r="181" spans="2:7" x14ac:dyDescent="0.25">
      <c r="B181" s="39">
        <v>40183</v>
      </c>
      <c r="C181" s="64">
        <v>3.3029999999999997E-2</v>
      </c>
      <c r="D181" s="64">
        <v>3.6629999999999996E-2</v>
      </c>
      <c r="E181" s="64">
        <v>3.7130000000000003E-2</v>
      </c>
      <c r="F181" s="64">
        <v>3.0640000000000001E-2</v>
      </c>
      <c r="G181" s="53">
        <v>-9.7299999999999998E-2</v>
      </c>
    </row>
    <row r="182" spans="2:7" x14ac:dyDescent="0.25">
      <c r="B182" s="39">
        <v>40182</v>
      </c>
      <c r="C182" s="64">
        <v>3.6589999999999998E-2</v>
      </c>
      <c r="D182" s="64">
        <v>3.8390000000000001E-2</v>
      </c>
      <c r="E182" s="64">
        <v>4.0129999999999999E-2</v>
      </c>
      <c r="F182" s="64">
        <v>3.6549999999999999E-2</v>
      </c>
      <c r="G182" s="53">
        <v>-4.5400000000000003E-2</v>
      </c>
    </row>
    <row r="183" spans="2:7" x14ac:dyDescent="0.25">
      <c r="B183" s="39">
        <v>40181</v>
      </c>
      <c r="C183" s="64">
        <v>3.8330000000000003E-2</v>
      </c>
      <c r="D183" s="64">
        <v>3.6249999999999998E-2</v>
      </c>
      <c r="E183" s="64">
        <v>3.9280000000000002E-2</v>
      </c>
      <c r="F183" s="64">
        <v>3.5929999999999997E-2</v>
      </c>
      <c r="G183" s="53">
        <v>5.91E-2</v>
      </c>
    </row>
    <row r="184" spans="2:7" x14ac:dyDescent="0.25">
      <c r="B184" s="39">
        <v>40180</v>
      </c>
      <c r="C184" s="64">
        <v>3.619E-2</v>
      </c>
      <c r="D184" s="64">
        <v>3.6060000000000002E-2</v>
      </c>
      <c r="E184" s="64">
        <v>3.8280000000000002E-2</v>
      </c>
      <c r="F184" s="64">
        <v>3.5369999999999999E-2</v>
      </c>
      <c r="G184" s="53">
        <v>8.6E-3</v>
      </c>
    </row>
    <row r="185" spans="2:7" x14ac:dyDescent="0.25">
      <c r="B185" s="39">
        <v>40179</v>
      </c>
      <c r="C185" s="64">
        <v>3.5880000000000002E-2</v>
      </c>
      <c r="D185" s="64">
        <v>3.8580000000000003E-2</v>
      </c>
      <c r="E185" s="64">
        <v>3.9039999999999998E-2</v>
      </c>
      <c r="F185" s="64">
        <v>3.5630000000000002E-2</v>
      </c>
      <c r="G185" s="53">
        <v>-6.4899999999999999E-2</v>
      </c>
    </row>
    <row r="186" spans="2:7" x14ac:dyDescent="0.25">
      <c r="B186" s="39">
        <v>39825</v>
      </c>
      <c r="C186" s="64">
        <v>3.8370000000000001E-2</v>
      </c>
      <c r="D186" s="64">
        <v>3.2070000000000001E-2</v>
      </c>
      <c r="E186" s="64">
        <v>3.918E-2</v>
      </c>
      <c r="F186" s="64">
        <v>3.1960000000000002E-2</v>
      </c>
      <c r="G186" s="53">
        <v>0.19980000000000001</v>
      </c>
    </row>
    <row r="187" spans="2:7" x14ac:dyDescent="0.25">
      <c r="B187" s="39">
        <v>39824</v>
      </c>
      <c r="C187" s="64">
        <v>3.1980000000000001E-2</v>
      </c>
      <c r="D187" s="64">
        <v>3.3959999999999997E-2</v>
      </c>
      <c r="E187" s="64">
        <v>3.5630000000000002E-2</v>
      </c>
      <c r="F187" s="64">
        <v>3.1539999999999999E-2</v>
      </c>
      <c r="G187" s="53">
        <v>-5.6099999999999997E-2</v>
      </c>
    </row>
    <row r="188" spans="2:7" x14ac:dyDescent="0.25">
      <c r="B188" s="39">
        <v>39823</v>
      </c>
      <c r="C188" s="64">
        <v>3.388E-2</v>
      </c>
      <c r="D188" s="64">
        <v>3.3180000000000001E-2</v>
      </c>
      <c r="E188" s="64">
        <v>3.5810000000000002E-2</v>
      </c>
      <c r="F188" s="64">
        <v>3.1059999999999997E-2</v>
      </c>
      <c r="G188" s="53">
        <v>2.5100000000000001E-2</v>
      </c>
    </row>
    <row r="189" spans="2:7" x14ac:dyDescent="0.25">
      <c r="B189" s="39">
        <v>39822</v>
      </c>
      <c r="C189" s="64">
        <v>3.3050000000000003E-2</v>
      </c>
      <c r="D189" s="64">
        <v>3.4029999999999998E-2</v>
      </c>
      <c r="E189" s="64">
        <v>3.5339999999999996E-2</v>
      </c>
      <c r="F189" s="64">
        <v>3.2719999999999999E-2</v>
      </c>
      <c r="G189" s="53">
        <v>-2.8199999999999999E-2</v>
      </c>
    </row>
    <row r="190" spans="2:7" x14ac:dyDescent="0.25">
      <c r="B190" s="39">
        <v>39821</v>
      </c>
      <c r="C190" s="64">
        <v>3.4009999999999999E-2</v>
      </c>
      <c r="D190" s="64">
        <v>3.5119999999999998E-2</v>
      </c>
      <c r="E190" s="64">
        <v>3.8929999999999999E-2</v>
      </c>
      <c r="F190" s="64">
        <v>3.3739999999999999E-2</v>
      </c>
      <c r="G190" s="53">
        <v>-2.3300000000000001E-2</v>
      </c>
    </row>
    <row r="191" spans="2:7" x14ac:dyDescent="0.25">
      <c r="B191" s="39">
        <v>39820</v>
      </c>
      <c r="C191" s="64">
        <v>3.4820000000000004E-2</v>
      </c>
      <c r="D191" s="64">
        <v>3.5270000000000003E-2</v>
      </c>
      <c r="E191" s="64">
        <v>3.7659999999999999E-2</v>
      </c>
      <c r="F191" s="64">
        <v>3.261E-2</v>
      </c>
      <c r="G191" s="53">
        <v>-1.55E-2</v>
      </c>
    </row>
    <row r="192" spans="2:7" x14ac:dyDescent="0.25">
      <c r="B192" s="39">
        <v>39819</v>
      </c>
      <c r="C192" s="64">
        <v>3.5369999999999999E-2</v>
      </c>
      <c r="D192" s="64">
        <v>3.492E-2</v>
      </c>
      <c r="E192" s="64">
        <v>4.0079999999999998E-2</v>
      </c>
      <c r="F192" s="64">
        <v>3.4540000000000001E-2</v>
      </c>
      <c r="G192" s="53">
        <v>2.1999999999999999E-2</v>
      </c>
    </row>
    <row r="193" spans="2:7" x14ac:dyDescent="0.25">
      <c r="B193" s="39">
        <v>39818</v>
      </c>
      <c r="C193" s="64">
        <v>3.4610000000000002E-2</v>
      </c>
      <c r="D193" s="64">
        <v>3.1150000000000001E-2</v>
      </c>
      <c r="E193" s="64">
        <v>3.7539999999999997E-2</v>
      </c>
      <c r="F193" s="64">
        <v>3.0720000000000001E-2</v>
      </c>
      <c r="G193" s="53">
        <v>0.10970000000000001</v>
      </c>
    </row>
    <row r="194" spans="2:7" x14ac:dyDescent="0.25">
      <c r="B194" s="39">
        <v>39817</v>
      </c>
      <c r="C194" s="64">
        <v>3.1190000000000002E-2</v>
      </c>
      <c r="D194" s="64">
        <v>2.6680000000000002E-2</v>
      </c>
      <c r="E194" s="64">
        <v>3.1660000000000001E-2</v>
      </c>
      <c r="F194" s="64">
        <v>2.6499999999999999E-2</v>
      </c>
      <c r="G194" s="53">
        <v>0.16900000000000001</v>
      </c>
    </row>
    <row r="195" spans="2:7" x14ac:dyDescent="0.25">
      <c r="B195" s="39">
        <v>39816</v>
      </c>
      <c r="C195" s="64">
        <v>2.6680000000000002E-2</v>
      </c>
      <c r="D195" s="64">
        <v>3.0200000000000001E-2</v>
      </c>
      <c r="E195" s="64">
        <v>3.0449999999999998E-2</v>
      </c>
      <c r="F195" s="64">
        <v>2.4620000000000003E-2</v>
      </c>
      <c r="G195" s="53">
        <v>-0.1168</v>
      </c>
    </row>
    <row r="196" spans="2:7" x14ac:dyDescent="0.25">
      <c r="B196" s="39">
        <v>39815</v>
      </c>
      <c r="C196" s="64">
        <v>3.0210000000000001E-2</v>
      </c>
      <c r="D196" s="64">
        <v>2.8510000000000001E-2</v>
      </c>
      <c r="E196" s="64">
        <v>3.058E-2</v>
      </c>
      <c r="F196" s="64">
        <v>2.6190000000000001E-2</v>
      </c>
      <c r="G196" s="53">
        <v>5.96E-2</v>
      </c>
    </row>
    <row r="197" spans="2:7" x14ac:dyDescent="0.25">
      <c r="B197" s="39">
        <v>39814</v>
      </c>
      <c r="C197" s="64">
        <v>2.8510000000000001E-2</v>
      </c>
      <c r="D197" s="64">
        <v>2.2499999999999999E-2</v>
      </c>
      <c r="E197" s="64">
        <v>2.894E-2</v>
      </c>
      <c r="F197" s="64">
        <v>2.1480000000000003E-2</v>
      </c>
      <c r="G197" s="53">
        <v>0.28420000000000001</v>
      </c>
    </row>
    <row r="198" spans="2:7" x14ac:dyDescent="0.25">
      <c r="B198" s="39">
        <v>39459</v>
      </c>
      <c r="C198" s="64">
        <v>2.2200000000000001E-2</v>
      </c>
      <c r="D198" s="64">
        <v>2.9600000000000001E-2</v>
      </c>
      <c r="E198" s="64">
        <v>2.962E-2</v>
      </c>
      <c r="F198" s="64">
        <v>2.0400000000000001E-2</v>
      </c>
      <c r="G198" s="53">
        <v>-0.2397</v>
      </c>
    </row>
    <row r="199" spans="2:7" x14ac:dyDescent="0.25">
      <c r="B199" s="39">
        <v>39458</v>
      </c>
      <c r="C199" s="64">
        <v>2.92E-2</v>
      </c>
      <c r="D199" s="64">
        <v>3.959E-2</v>
      </c>
      <c r="E199" s="64">
        <v>3.984E-2</v>
      </c>
      <c r="F199" s="64">
        <v>2.9079999999999998E-2</v>
      </c>
      <c r="G199" s="53">
        <v>-0.26450000000000001</v>
      </c>
    </row>
    <row r="200" spans="2:7" x14ac:dyDescent="0.25">
      <c r="B200" s="39">
        <v>39457</v>
      </c>
      <c r="C200" s="64">
        <v>3.9699999999999999E-2</v>
      </c>
      <c r="D200" s="64">
        <v>3.7479999999999999E-2</v>
      </c>
      <c r="E200" s="64">
        <v>4.1100000000000005E-2</v>
      </c>
      <c r="F200" s="64">
        <v>3.4020000000000002E-2</v>
      </c>
      <c r="G200" s="53">
        <v>3.6799999999999999E-2</v>
      </c>
    </row>
    <row r="201" spans="2:7" x14ac:dyDescent="0.25">
      <c r="B201" s="39">
        <v>39456</v>
      </c>
      <c r="C201" s="64">
        <v>3.8290000000000005E-2</v>
      </c>
      <c r="D201" s="64">
        <v>3.8269999999999998E-2</v>
      </c>
      <c r="E201" s="64">
        <v>3.909E-2</v>
      </c>
      <c r="F201" s="64">
        <v>3.2509999999999997E-2</v>
      </c>
      <c r="G201" s="53">
        <v>1E-3</v>
      </c>
    </row>
    <row r="202" spans="2:7" x14ac:dyDescent="0.25">
      <c r="B202" s="39">
        <v>39455</v>
      </c>
      <c r="C202" s="64">
        <v>3.8249999999999999E-2</v>
      </c>
      <c r="D202" s="64">
        <v>3.9580000000000004E-2</v>
      </c>
      <c r="E202" s="64">
        <v>4.0940000000000004E-2</v>
      </c>
      <c r="F202" s="64">
        <v>3.7629999999999997E-2</v>
      </c>
      <c r="G202" s="53">
        <v>-3.3599999999999998E-2</v>
      </c>
    </row>
    <row r="203" spans="2:7" x14ac:dyDescent="0.25">
      <c r="B203" s="39">
        <v>39454</v>
      </c>
      <c r="C203" s="64">
        <v>3.9580000000000004E-2</v>
      </c>
      <c r="D203" s="64">
        <v>3.9670000000000004E-2</v>
      </c>
      <c r="E203" s="64">
        <v>4.1779999999999998E-2</v>
      </c>
      <c r="F203" s="64">
        <v>3.771E-2</v>
      </c>
      <c r="G203" s="53">
        <v>-4.3E-3</v>
      </c>
    </row>
    <row r="204" spans="2:7" x14ac:dyDescent="0.25">
      <c r="B204" s="39">
        <v>39453</v>
      </c>
      <c r="C204" s="64">
        <v>3.9750000000000001E-2</v>
      </c>
      <c r="D204" s="64">
        <v>4.0579999999999998E-2</v>
      </c>
      <c r="E204" s="64">
        <v>4.2880000000000001E-2</v>
      </c>
      <c r="F204" s="64">
        <v>3.8580000000000003E-2</v>
      </c>
      <c r="G204" s="53">
        <v>-2.2599999999999999E-2</v>
      </c>
    </row>
    <row r="205" spans="2:7" x14ac:dyDescent="0.25">
      <c r="B205" s="39">
        <v>39452</v>
      </c>
      <c r="C205" s="64">
        <v>4.0670000000000005E-2</v>
      </c>
      <c r="D205" s="64">
        <v>3.7400000000000003E-2</v>
      </c>
      <c r="E205" s="64">
        <v>4.1410000000000002E-2</v>
      </c>
      <c r="F205" s="64">
        <v>3.6830000000000002E-2</v>
      </c>
      <c r="G205" s="53">
        <v>8.9200000000000002E-2</v>
      </c>
    </row>
    <row r="206" spans="2:7" x14ac:dyDescent="0.25">
      <c r="B206" s="39">
        <v>39451</v>
      </c>
      <c r="C206" s="64">
        <v>3.7339999999999998E-2</v>
      </c>
      <c r="D206" s="64">
        <v>3.7339999999999998E-2</v>
      </c>
      <c r="E206" s="64">
        <v>3.7339999999999998E-2</v>
      </c>
      <c r="F206" s="64">
        <v>3.7339999999999998E-2</v>
      </c>
      <c r="G206" s="53">
        <v>9.1499999999999998E-2</v>
      </c>
    </row>
    <row r="207" spans="2:7" x14ac:dyDescent="0.25">
      <c r="B207" s="39">
        <v>39450</v>
      </c>
      <c r="C207" s="64">
        <v>3.4209999999999997E-2</v>
      </c>
      <c r="D207" s="64">
        <v>3.4209999999999997E-2</v>
      </c>
      <c r="E207" s="64">
        <v>3.4209999999999997E-2</v>
      </c>
      <c r="F207" s="64">
        <v>3.4209999999999997E-2</v>
      </c>
      <c r="G207" s="53">
        <v>-2.7799999999999998E-2</v>
      </c>
    </row>
    <row r="208" spans="2:7" x14ac:dyDescent="0.25">
      <c r="B208" s="39">
        <v>39449</v>
      </c>
      <c r="C208" s="64">
        <v>3.5189999999999999E-2</v>
      </c>
      <c r="D208" s="64">
        <v>3.5189999999999999E-2</v>
      </c>
      <c r="E208" s="64">
        <v>3.5189999999999999E-2</v>
      </c>
      <c r="F208" s="64">
        <v>3.5189999999999999E-2</v>
      </c>
      <c r="G208" s="53">
        <v>-2.1700000000000001E-2</v>
      </c>
    </row>
    <row r="209" spans="2:7" x14ac:dyDescent="0.25">
      <c r="B209" s="39">
        <v>39448</v>
      </c>
      <c r="C209" s="64">
        <v>3.5970000000000002E-2</v>
      </c>
      <c r="D209" s="64">
        <v>3.5970000000000002E-2</v>
      </c>
      <c r="E209" s="64">
        <v>3.5970000000000002E-2</v>
      </c>
      <c r="F209" s="64">
        <v>3.5970000000000002E-2</v>
      </c>
      <c r="G209" s="53">
        <v>-0.1086</v>
      </c>
    </row>
    <row r="210" spans="2:7" x14ac:dyDescent="0.25">
      <c r="B210" s="39">
        <v>39094</v>
      </c>
      <c r="C210" s="64">
        <v>4.0350000000000004E-2</v>
      </c>
      <c r="D210" s="64">
        <v>4.0350000000000004E-2</v>
      </c>
      <c r="E210" s="64">
        <v>4.0350000000000004E-2</v>
      </c>
      <c r="F210" s="64">
        <v>4.0350000000000004E-2</v>
      </c>
      <c r="G210" s="53">
        <v>2.18E-2</v>
      </c>
    </row>
    <row r="211" spans="2:7" x14ac:dyDescent="0.25">
      <c r="B211" s="39">
        <v>39093</v>
      </c>
      <c r="C211" s="64">
        <v>3.9489999999999997E-2</v>
      </c>
      <c r="D211" s="64">
        <v>3.9489999999999997E-2</v>
      </c>
      <c r="E211" s="64">
        <v>3.9489999999999997E-2</v>
      </c>
      <c r="F211" s="64">
        <v>3.9489999999999997E-2</v>
      </c>
      <c r="G211" s="53">
        <v>-0.1171</v>
      </c>
    </row>
    <row r="212" spans="2:7" x14ac:dyDescent="0.25">
      <c r="B212" s="39">
        <v>39092</v>
      </c>
      <c r="C212" s="64">
        <v>4.4729999999999999E-2</v>
      </c>
      <c r="D212" s="64">
        <v>4.4729999999999999E-2</v>
      </c>
      <c r="E212" s="64">
        <v>4.4729999999999999E-2</v>
      </c>
      <c r="F212" s="64">
        <v>4.4729999999999999E-2</v>
      </c>
      <c r="G212" s="53">
        <v>-2.63E-2</v>
      </c>
    </row>
    <row r="213" spans="2:7" x14ac:dyDescent="0.25">
      <c r="B213" s="39">
        <v>39091</v>
      </c>
      <c r="C213" s="64">
        <v>4.5940000000000002E-2</v>
      </c>
      <c r="D213" s="64">
        <v>4.5940000000000002E-2</v>
      </c>
      <c r="E213" s="64">
        <v>4.5940000000000002E-2</v>
      </c>
      <c r="F213" s="64">
        <v>4.5940000000000002E-2</v>
      </c>
      <c r="G213" s="53">
        <v>1.4800000000000001E-2</v>
      </c>
    </row>
    <row r="214" spans="2:7" x14ac:dyDescent="0.25">
      <c r="B214" s="39">
        <v>39090</v>
      </c>
      <c r="C214" s="64">
        <v>4.5270000000000005E-2</v>
      </c>
      <c r="D214" s="64">
        <v>4.5270000000000005E-2</v>
      </c>
      <c r="E214" s="64">
        <v>4.5270000000000005E-2</v>
      </c>
      <c r="F214" s="64">
        <v>4.5270000000000005E-2</v>
      </c>
      <c r="G214" s="53">
        <v>-4.3499999999999997E-2</v>
      </c>
    </row>
    <row r="215" spans="2:7" x14ac:dyDescent="0.25">
      <c r="B215" s="39">
        <v>39089</v>
      </c>
      <c r="C215" s="64">
        <v>4.7329999999999997E-2</v>
      </c>
      <c r="D215" s="64">
        <v>4.7329999999999997E-2</v>
      </c>
      <c r="E215" s="64">
        <v>4.7329999999999997E-2</v>
      </c>
      <c r="F215" s="64">
        <v>4.7329999999999997E-2</v>
      </c>
      <c r="G215" s="53">
        <v>-5.8500000000000003E-2</v>
      </c>
    </row>
    <row r="216" spans="2:7" x14ac:dyDescent="0.25">
      <c r="B216" s="39">
        <v>39088</v>
      </c>
      <c r="C216" s="64">
        <v>5.0270000000000002E-2</v>
      </c>
      <c r="D216" s="64">
        <v>5.0270000000000002E-2</v>
      </c>
      <c r="E216" s="64">
        <v>5.0270000000000002E-2</v>
      </c>
      <c r="F216" s="64">
        <v>5.0270000000000002E-2</v>
      </c>
      <c r="G216" s="53">
        <v>2.76E-2</v>
      </c>
    </row>
    <row r="217" spans="2:7" x14ac:dyDescent="0.25">
      <c r="B217" s="39">
        <v>39087</v>
      </c>
      <c r="C217" s="64">
        <v>4.8920000000000005E-2</v>
      </c>
      <c r="D217" s="64">
        <v>4.8920000000000005E-2</v>
      </c>
      <c r="E217" s="64">
        <v>4.8920000000000005E-2</v>
      </c>
      <c r="F217" s="64">
        <v>4.8920000000000005E-2</v>
      </c>
      <c r="G217" s="53">
        <v>5.7000000000000002E-2</v>
      </c>
    </row>
    <row r="218" spans="2:7" x14ac:dyDescent="0.25">
      <c r="B218" s="39">
        <v>39086</v>
      </c>
      <c r="C218" s="64">
        <v>4.6280000000000002E-2</v>
      </c>
      <c r="D218" s="64">
        <v>4.6280000000000002E-2</v>
      </c>
      <c r="E218" s="64">
        <v>4.6280000000000002E-2</v>
      </c>
      <c r="F218" s="64">
        <v>4.6280000000000002E-2</v>
      </c>
      <c r="G218" s="53">
        <v>-4.3E-3</v>
      </c>
    </row>
    <row r="219" spans="2:7" x14ac:dyDescent="0.25">
      <c r="B219" s="39">
        <v>39085</v>
      </c>
      <c r="C219" s="64">
        <v>4.6479999999999994E-2</v>
      </c>
      <c r="D219" s="64">
        <v>4.6479999999999994E-2</v>
      </c>
      <c r="E219" s="64">
        <v>4.6479999999999994E-2</v>
      </c>
      <c r="F219" s="64">
        <v>4.6479999999999994E-2</v>
      </c>
      <c r="G219" s="53">
        <v>1.55E-2</v>
      </c>
    </row>
    <row r="220" spans="2:7" x14ac:dyDescent="0.25">
      <c r="B220" s="39">
        <v>39084</v>
      </c>
      <c r="C220" s="64">
        <v>4.5769999999999998E-2</v>
      </c>
      <c r="D220" s="64">
        <v>4.5769999999999998E-2</v>
      </c>
      <c r="E220" s="64">
        <v>4.5769999999999998E-2</v>
      </c>
      <c r="F220" s="64">
        <v>4.5769999999999998E-2</v>
      </c>
      <c r="G220" s="53">
        <v>-4.9200000000000001E-2</v>
      </c>
    </row>
    <row r="221" spans="2:7" x14ac:dyDescent="0.25">
      <c r="B221" s="39">
        <v>39083</v>
      </c>
      <c r="C221" s="64">
        <v>4.8140000000000002E-2</v>
      </c>
      <c r="D221" s="64">
        <v>4.8140000000000002E-2</v>
      </c>
      <c r="E221" s="64">
        <v>4.8140000000000002E-2</v>
      </c>
      <c r="F221" s="64">
        <v>4.8140000000000002E-2</v>
      </c>
      <c r="G221" s="53">
        <v>2.4299999999999999E-2</v>
      </c>
    </row>
    <row r="222" spans="2:7" x14ac:dyDescent="0.25">
      <c r="B222" s="39">
        <v>38729</v>
      </c>
      <c r="C222" s="64">
        <v>4.7E-2</v>
      </c>
      <c r="D222" s="64">
        <v>4.7E-2</v>
      </c>
      <c r="E222" s="64">
        <v>4.7E-2</v>
      </c>
      <c r="F222" s="64">
        <v>4.7E-2</v>
      </c>
      <c r="G222" s="53">
        <v>5.33E-2</v>
      </c>
    </row>
    <row r="223" spans="2:7" x14ac:dyDescent="0.25">
      <c r="B223" s="39">
        <v>38728</v>
      </c>
      <c r="C223" s="64">
        <v>4.462E-2</v>
      </c>
      <c r="D223" s="64">
        <v>4.462E-2</v>
      </c>
      <c r="E223" s="64">
        <v>4.462E-2</v>
      </c>
      <c r="F223" s="64">
        <v>4.462E-2</v>
      </c>
      <c r="G223" s="53">
        <v>-3.0800000000000001E-2</v>
      </c>
    </row>
    <row r="224" spans="2:7" x14ac:dyDescent="0.25">
      <c r="B224" s="39">
        <v>38727</v>
      </c>
      <c r="C224" s="64">
        <v>4.6039999999999998E-2</v>
      </c>
      <c r="D224" s="64">
        <v>4.6039999999999998E-2</v>
      </c>
      <c r="E224" s="64">
        <v>4.6039999999999998E-2</v>
      </c>
      <c r="F224" s="64">
        <v>4.6039999999999998E-2</v>
      </c>
      <c r="G224" s="53">
        <v>-6.3E-3</v>
      </c>
    </row>
    <row r="225" spans="2:7" x14ac:dyDescent="0.25">
      <c r="B225" s="39">
        <v>38726</v>
      </c>
      <c r="C225" s="64">
        <v>4.6330000000000003E-2</v>
      </c>
      <c r="D225" s="64">
        <v>4.6330000000000003E-2</v>
      </c>
      <c r="E225" s="64">
        <v>4.6330000000000003E-2</v>
      </c>
      <c r="F225" s="64">
        <v>4.6330000000000003E-2</v>
      </c>
      <c r="G225" s="53">
        <v>-2.0899999999999998E-2</v>
      </c>
    </row>
    <row r="226" spans="2:7" x14ac:dyDescent="0.25">
      <c r="B226" s="39">
        <v>38725</v>
      </c>
      <c r="C226" s="64">
        <v>4.7320000000000001E-2</v>
      </c>
      <c r="D226" s="64">
        <v>4.7320000000000001E-2</v>
      </c>
      <c r="E226" s="64">
        <v>4.7320000000000001E-2</v>
      </c>
      <c r="F226" s="64">
        <v>4.7320000000000001E-2</v>
      </c>
      <c r="G226" s="53">
        <v>-5.1299999999999998E-2</v>
      </c>
    </row>
    <row r="227" spans="2:7" x14ac:dyDescent="0.25">
      <c r="B227" s="39">
        <v>38724</v>
      </c>
      <c r="C227" s="64">
        <v>4.9880000000000008E-2</v>
      </c>
      <c r="D227" s="64">
        <v>4.9880000000000008E-2</v>
      </c>
      <c r="E227" s="64">
        <v>4.9880000000000008E-2</v>
      </c>
      <c r="F227" s="64">
        <v>4.9880000000000008E-2</v>
      </c>
      <c r="G227" s="53">
        <v>-3.0499999999999999E-2</v>
      </c>
    </row>
    <row r="228" spans="2:7" x14ac:dyDescent="0.25">
      <c r="B228" s="39">
        <v>38723</v>
      </c>
      <c r="C228" s="64">
        <v>5.1449999999999996E-2</v>
      </c>
      <c r="D228" s="64">
        <v>5.1449999999999996E-2</v>
      </c>
      <c r="E228" s="64">
        <v>5.1449999999999996E-2</v>
      </c>
      <c r="F228" s="64">
        <v>5.1449999999999996E-2</v>
      </c>
      <c r="G228" s="53">
        <v>4.3E-3</v>
      </c>
    </row>
    <row r="229" spans="2:7" x14ac:dyDescent="0.25">
      <c r="B229" s="39">
        <v>38722</v>
      </c>
      <c r="C229" s="64">
        <v>5.1230000000000005E-2</v>
      </c>
      <c r="D229" s="64">
        <v>5.1230000000000005E-2</v>
      </c>
      <c r="E229" s="64">
        <v>5.1230000000000005E-2</v>
      </c>
      <c r="F229" s="64">
        <v>5.1230000000000005E-2</v>
      </c>
      <c r="G229" s="53">
        <v>1.3100000000000001E-2</v>
      </c>
    </row>
    <row r="230" spans="2:7" x14ac:dyDescent="0.25">
      <c r="B230" s="39">
        <v>38721</v>
      </c>
      <c r="C230" s="64">
        <v>5.0570000000000004E-2</v>
      </c>
      <c r="D230" s="64">
        <v>5.0570000000000004E-2</v>
      </c>
      <c r="E230" s="64">
        <v>5.0570000000000004E-2</v>
      </c>
      <c r="F230" s="64">
        <v>5.0570000000000004E-2</v>
      </c>
      <c r="G230" s="53">
        <v>4.2000000000000003E-2</v>
      </c>
    </row>
    <row r="231" spans="2:7" x14ac:dyDescent="0.25">
      <c r="B231" s="39">
        <v>38720</v>
      </c>
      <c r="C231" s="64">
        <v>4.8529999999999997E-2</v>
      </c>
      <c r="D231" s="64">
        <v>4.8529999999999997E-2</v>
      </c>
      <c r="E231" s="64">
        <v>4.8529999999999997E-2</v>
      </c>
      <c r="F231" s="64">
        <v>4.8529999999999997E-2</v>
      </c>
      <c r="G231" s="53">
        <v>6.5000000000000002E-2</v>
      </c>
    </row>
    <row r="232" spans="2:7" x14ac:dyDescent="0.25">
      <c r="B232" s="39">
        <v>38719</v>
      </c>
      <c r="C232" s="64">
        <v>4.5570000000000006E-2</v>
      </c>
      <c r="D232" s="64">
        <v>4.5570000000000006E-2</v>
      </c>
      <c r="E232" s="64">
        <v>4.5570000000000006E-2</v>
      </c>
      <c r="F232" s="64">
        <v>4.5570000000000006E-2</v>
      </c>
      <c r="G232" s="53">
        <v>8.3999999999999995E-3</v>
      </c>
    </row>
    <row r="233" spans="2:7" x14ac:dyDescent="0.25">
      <c r="B233" s="39">
        <v>38718</v>
      </c>
      <c r="C233" s="64">
        <v>4.5190000000000001E-2</v>
      </c>
      <c r="D233" s="64">
        <v>4.5190000000000001E-2</v>
      </c>
      <c r="E233" s="64">
        <v>4.5190000000000001E-2</v>
      </c>
      <c r="F233" s="64">
        <v>4.5190000000000001E-2</v>
      </c>
      <c r="G233" s="53">
        <v>2.8199999999999999E-2</v>
      </c>
    </row>
    <row r="234" spans="2:7" x14ac:dyDescent="0.25">
      <c r="B234" s="39">
        <v>38364</v>
      </c>
      <c r="C234" s="64">
        <v>4.3949999999999996E-2</v>
      </c>
      <c r="D234" s="64">
        <v>4.3949999999999996E-2</v>
      </c>
      <c r="E234" s="64">
        <v>4.3949999999999996E-2</v>
      </c>
      <c r="F234" s="64">
        <v>4.3949999999999996E-2</v>
      </c>
      <c r="G234" s="53">
        <v>-2.12E-2</v>
      </c>
    </row>
    <row r="235" spans="2:7" x14ac:dyDescent="0.25">
      <c r="B235" s="39">
        <v>38363</v>
      </c>
      <c r="C235" s="64">
        <v>4.4900000000000002E-2</v>
      </c>
      <c r="D235" s="64">
        <v>4.4900000000000002E-2</v>
      </c>
      <c r="E235" s="64">
        <v>4.4900000000000002E-2</v>
      </c>
      <c r="F235" s="64">
        <v>4.4900000000000002E-2</v>
      </c>
      <c r="G235" s="53">
        <v>-1.47E-2</v>
      </c>
    </row>
    <row r="236" spans="2:7" x14ac:dyDescent="0.25">
      <c r="B236" s="39">
        <v>38362</v>
      </c>
      <c r="C236" s="64">
        <v>4.5570000000000006E-2</v>
      </c>
      <c r="D236" s="64">
        <v>4.5570000000000006E-2</v>
      </c>
      <c r="E236" s="64">
        <v>4.5570000000000006E-2</v>
      </c>
      <c r="F236" s="64">
        <v>4.5570000000000006E-2</v>
      </c>
      <c r="G236" s="53">
        <v>5.1900000000000002E-2</v>
      </c>
    </row>
    <row r="237" spans="2:7" x14ac:dyDescent="0.25">
      <c r="B237" s="39">
        <v>38361</v>
      </c>
      <c r="C237" s="64">
        <v>4.3319999999999997E-2</v>
      </c>
      <c r="D237" s="64">
        <v>4.3319999999999997E-2</v>
      </c>
      <c r="E237" s="64">
        <v>4.3319999999999997E-2</v>
      </c>
      <c r="F237" s="64">
        <v>4.3319999999999997E-2</v>
      </c>
      <c r="G237" s="53">
        <v>7.9200000000000007E-2</v>
      </c>
    </row>
    <row r="238" spans="2:7" x14ac:dyDescent="0.25">
      <c r="B238" s="39">
        <v>38360</v>
      </c>
      <c r="C238" s="64">
        <v>4.0140000000000002E-2</v>
      </c>
      <c r="D238" s="64">
        <v>4.0140000000000002E-2</v>
      </c>
      <c r="E238" s="64">
        <v>4.0140000000000002E-2</v>
      </c>
      <c r="F238" s="64">
        <v>4.0140000000000002E-2</v>
      </c>
      <c r="G238" s="53">
        <v>-6.2600000000000003E-2</v>
      </c>
    </row>
    <row r="239" spans="2:7" x14ac:dyDescent="0.25">
      <c r="B239" s="39">
        <v>38359</v>
      </c>
      <c r="C239" s="64">
        <v>4.2819999999999997E-2</v>
      </c>
      <c r="D239" s="64">
        <v>4.2819999999999997E-2</v>
      </c>
      <c r="E239" s="64">
        <v>4.2819999999999997E-2</v>
      </c>
      <c r="F239" s="64">
        <v>4.2819999999999997E-2</v>
      </c>
      <c r="G239" s="53">
        <v>9.2100000000000001E-2</v>
      </c>
    </row>
    <row r="240" spans="2:7" x14ac:dyDescent="0.25">
      <c r="B240" s="39">
        <v>38358</v>
      </c>
      <c r="C240" s="64">
        <v>3.9209999999999995E-2</v>
      </c>
      <c r="D240" s="64">
        <v>3.9209999999999995E-2</v>
      </c>
      <c r="E240" s="64">
        <v>3.9209999999999995E-2</v>
      </c>
      <c r="F240" s="64">
        <v>3.9209999999999995E-2</v>
      </c>
      <c r="G240" s="53">
        <v>-1.66E-2</v>
      </c>
    </row>
    <row r="241" spans="2:7" x14ac:dyDescent="0.25">
      <c r="B241" s="39">
        <v>38357</v>
      </c>
      <c r="C241" s="64">
        <v>3.9870000000000003E-2</v>
      </c>
      <c r="D241" s="64">
        <v>3.9870000000000003E-2</v>
      </c>
      <c r="E241" s="64">
        <v>3.9870000000000003E-2</v>
      </c>
      <c r="F241" s="64">
        <v>3.9870000000000003E-2</v>
      </c>
      <c r="G241" s="53">
        <v>-5.0700000000000002E-2</v>
      </c>
    </row>
    <row r="242" spans="2:7" x14ac:dyDescent="0.25">
      <c r="B242" s="39">
        <v>38356</v>
      </c>
      <c r="C242" s="64">
        <v>4.2000000000000003E-2</v>
      </c>
      <c r="D242" s="64">
        <v>4.2000000000000003E-2</v>
      </c>
      <c r="E242" s="64">
        <v>4.2000000000000003E-2</v>
      </c>
      <c r="F242" s="64">
        <v>4.2000000000000003E-2</v>
      </c>
      <c r="G242" s="53">
        <v>-6.4199999999999993E-2</v>
      </c>
    </row>
    <row r="243" spans="2:7" x14ac:dyDescent="0.25">
      <c r="B243" s="39">
        <v>38355</v>
      </c>
      <c r="C243" s="64">
        <v>4.4880000000000003E-2</v>
      </c>
      <c r="D243" s="64">
        <v>4.4880000000000003E-2</v>
      </c>
      <c r="E243" s="64">
        <v>4.4880000000000003E-2</v>
      </c>
      <c r="F243" s="64">
        <v>4.4880000000000003E-2</v>
      </c>
      <c r="G243" s="53">
        <v>2.4400000000000002E-2</v>
      </c>
    </row>
    <row r="244" spans="2:7" x14ac:dyDescent="0.25">
      <c r="B244" s="39">
        <v>38354</v>
      </c>
      <c r="C244" s="64">
        <v>4.3810000000000002E-2</v>
      </c>
      <c r="D244" s="64">
        <v>4.3810000000000002E-2</v>
      </c>
      <c r="E244" s="64">
        <v>4.3810000000000002E-2</v>
      </c>
      <c r="F244" s="64">
        <v>4.3810000000000002E-2</v>
      </c>
      <c r="G244" s="53">
        <v>6.0299999999999999E-2</v>
      </c>
    </row>
    <row r="245" spans="2:7" x14ac:dyDescent="0.25">
      <c r="B245" s="39">
        <v>38353</v>
      </c>
      <c r="C245" s="64">
        <v>4.1319999999999996E-2</v>
      </c>
      <c r="D245" s="64">
        <v>4.1319999999999996E-2</v>
      </c>
      <c r="E245" s="64">
        <v>4.1319999999999996E-2</v>
      </c>
      <c r="F245" s="64">
        <v>4.1319999999999996E-2</v>
      </c>
      <c r="G245" s="53">
        <v>-2.1299999999999999E-2</v>
      </c>
    </row>
    <row r="246" spans="2:7" x14ac:dyDescent="0.25">
      <c r="B246" s="39">
        <v>37998</v>
      </c>
      <c r="C246" s="64">
        <v>4.2220000000000008E-2</v>
      </c>
      <c r="D246" s="64">
        <v>4.2220000000000008E-2</v>
      </c>
      <c r="E246" s="64">
        <v>4.2220000000000008E-2</v>
      </c>
      <c r="F246" s="64">
        <v>4.2220000000000008E-2</v>
      </c>
      <c r="G246" s="53">
        <v>-3.0499999999999999E-2</v>
      </c>
    </row>
    <row r="247" spans="2:7" x14ac:dyDescent="0.25">
      <c r="B247" s="39">
        <v>37997</v>
      </c>
      <c r="C247" s="64">
        <v>4.3550000000000005E-2</v>
      </c>
      <c r="D247" s="64">
        <v>4.3550000000000005E-2</v>
      </c>
      <c r="E247" s="64">
        <v>4.3550000000000005E-2</v>
      </c>
      <c r="F247" s="64">
        <v>4.3550000000000005E-2</v>
      </c>
      <c r="G247" s="53">
        <v>8.09E-2</v>
      </c>
    </row>
    <row r="248" spans="2:7" x14ac:dyDescent="0.25">
      <c r="B248" s="39">
        <v>37996</v>
      </c>
      <c r="C248" s="64">
        <v>4.0289999999999999E-2</v>
      </c>
      <c r="D248" s="64">
        <v>4.0289999999999999E-2</v>
      </c>
      <c r="E248" s="64">
        <v>4.0289999999999999E-2</v>
      </c>
      <c r="F248" s="64">
        <v>4.0289999999999999E-2</v>
      </c>
      <c r="G248" s="53">
        <v>-2.2800000000000001E-2</v>
      </c>
    </row>
    <row r="249" spans="2:7" x14ac:dyDescent="0.25">
      <c r="B249" s="39">
        <v>37995</v>
      </c>
      <c r="C249" s="64">
        <v>4.1230000000000003E-2</v>
      </c>
      <c r="D249" s="64">
        <v>4.1230000000000003E-2</v>
      </c>
      <c r="E249" s="64">
        <v>4.1230000000000003E-2</v>
      </c>
      <c r="F249" s="64">
        <v>4.1230000000000003E-2</v>
      </c>
      <c r="G249" s="53">
        <v>-2.76E-2</v>
      </c>
    </row>
    <row r="250" spans="2:7" x14ac:dyDescent="0.25">
      <c r="B250" s="39">
        <v>37994</v>
      </c>
      <c r="C250" s="64">
        <v>4.24E-2</v>
      </c>
      <c r="D250" s="64">
        <v>4.24E-2</v>
      </c>
      <c r="E250" s="64">
        <v>4.24E-2</v>
      </c>
      <c r="F250" s="64">
        <v>4.24E-2</v>
      </c>
      <c r="G250" s="53">
        <v>-5.5899999999999998E-2</v>
      </c>
    </row>
    <row r="251" spans="2:7" x14ac:dyDescent="0.25">
      <c r="B251" s="39">
        <v>37993</v>
      </c>
      <c r="C251" s="64">
        <v>4.4909999999999999E-2</v>
      </c>
      <c r="D251" s="64">
        <v>4.4909999999999999E-2</v>
      </c>
      <c r="E251" s="64">
        <v>4.4909999999999999E-2</v>
      </c>
      <c r="F251" s="64">
        <v>4.4909999999999999E-2</v>
      </c>
      <c r="G251" s="53">
        <v>-2.01E-2</v>
      </c>
    </row>
    <row r="252" spans="2:7" x14ac:dyDescent="0.25">
      <c r="B252" s="39">
        <v>37992</v>
      </c>
      <c r="C252" s="64">
        <v>4.5830000000000003E-2</v>
      </c>
      <c r="D252" s="64">
        <v>4.5830000000000003E-2</v>
      </c>
      <c r="E252" s="64">
        <v>4.5830000000000003E-2</v>
      </c>
      <c r="F252" s="64">
        <v>4.5830000000000003E-2</v>
      </c>
      <c r="G252" s="53">
        <v>-1.7600000000000001E-2</v>
      </c>
    </row>
    <row r="253" spans="2:7" x14ac:dyDescent="0.25">
      <c r="B253" s="39">
        <v>37991</v>
      </c>
      <c r="C253" s="64">
        <v>4.6649999999999997E-2</v>
      </c>
      <c r="D253" s="64">
        <v>4.6649999999999997E-2</v>
      </c>
      <c r="E253" s="64">
        <v>4.6649999999999997E-2</v>
      </c>
      <c r="F253" s="64">
        <v>4.6649999999999997E-2</v>
      </c>
      <c r="G253" s="53">
        <v>3.44E-2</v>
      </c>
    </row>
    <row r="254" spans="2:7" x14ac:dyDescent="0.25">
      <c r="B254" s="39">
        <v>37990</v>
      </c>
      <c r="C254" s="64">
        <v>4.5100000000000001E-2</v>
      </c>
      <c r="D254" s="64">
        <v>4.5100000000000001E-2</v>
      </c>
      <c r="E254" s="64">
        <v>4.5100000000000001E-2</v>
      </c>
      <c r="F254" s="64">
        <v>4.5100000000000001E-2</v>
      </c>
      <c r="G254" s="53">
        <v>0.1754</v>
      </c>
    </row>
    <row r="255" spans="2:7" x14ac:dyDescent="0.25">
      <c r="B255" s="39">
        <v>37989</v>
      </c>
      <c r="C255" s="64">
        <v>3.8370000000000001E-2</v>
      </c>
      <c r="D255" s="64">
        <v>3.8370000000000001E-2</v>
      </c>
      <c r="E255" s="64">
        <v>3.8370000000000001E-2</v>
      </c>
      <c r="F255" s="64">
        <v>3.8370000000000001E-2</v>
      </c>
      <c r="G255" s="53">
        <v>-3.4000000000000002E-2</v>
      </c>
    </row>
    <row r="256" spans="2:7" x14ac:dyDescent="0.25">
      <c r="B256" s="39">
        <v>37988</v>
      </c>
      <c r="C256" s="64">
        <v>3.9719999999999998E-2</v>
      </c>
      <c r="D256" s="64">
        <v>3.9719999999999998E-2</v>
      </c>
      <c r="E256" s="64">
        <v>3.9719999999999998E-2</v>
      </c>
      <c r="F256" s="64">
        <v>3.9719999999999998E-2</v>
      </c>
      <c r="G256" s="53">
        <v>-3.9199999999999999E-2</v>
      </c>
    </row>
    <row r="257" spans="2:7" x14ac:dyDescent="0.25">
      <c r="B257" s="39">
        <v>37987</v>
      </c>
      <c r="C257" s="64">
        <v>4.1340000000000002E-2</v>
      </c>
      <c r="D257" s="64">
        <v>4.1340000000000002E-2</v>
      </c>
      <c r="E257" s="64">
        <v>4.1340000000000002E-2</v>
      </c>
      <c r="F257" s="64">
        <v>4.1340000000000002E-2</v>
      </c>
      <c r="G257" s="53">
        <v>-2.8000000000000001E-2</v>
      </c>
    </row>
    <row r="258" spans="2:7" x14ac:dyDescent="0.25">
      <c r="B258" s="39">
        <v>37633</v>
      </c>
      <c r="C258" s="64">
        <v>4.2529999999999998E-2</v>
      </c>
      <c r="D258" s="64">
        <v>4.2529999999999998E-2</v>
      </c>
      <c r="E258" s="64">
        <v>4.2529999999999998E-2</v>
      </c>
      <c r="F258" s="64">
        <v>4.2529999999999998E-2</v>
      </c>
      <c r="G258" s="53">
        <v>-1.8700000000000001E-2</v>
      </c>
    </row>
    <row r="259" spans="2:7" x14ac:dyDescent="0.25">
      <c r="B259" s="39">
        <v>37632</v>
      </c>
      <c r="C259" s="64">
        <v>4.3339999999999997E-2</v>
      </c>
      <c r="D259" s="64">
        <v>4.3339999999999997E-2</v>
      </c>
      <c r="E259" s="64">
        <v>4.3339999999999997E-2</v>
      </c>
      <c r="F259" s="64">
        <v>4.3339999999999997E-2</v>
      </c>
      <c r="G259" s="53">
        <v>8.6E-3</v>
      </c>
    </row>
    <row r="260" spans="2:7" x14ac:dyDescent="0.25">
      <c r="B260" s="39">
        <v>37631</v>
      </c>
      <c r="C260" s="64">
        <v>4.2969999999999994E-2</v>
      </c>
      <c r="D260" s="64">
        <v>4.2969999999999994E-2</v>
      </c>
      <c r="E260" s="64">
        <v>4.2969999999999994E-2</v>
      </c>
      <c r="F260" s="64">
        <v>4.2969999999999994E-2</v>
      </c>
      <c r="G260" s="53">
        <v>9.06E-2</v>
      </c>
    </row>
    <row r="261" spans="2:7" x14ac:dyDescent="0.25">
      <c r="B261" s="39">
        <v>37630</v>
      </c>
      <c r="C261" s="64">
        <v>3.9399999999999998E-2</v>
      </c>
      <c r="D261" s="64">
        <v>3.9399999999999998E-2</v>
      </c>
      <c r="E261" s="64">
        <v>3.9399999999999998E-2</v>
      </c>
      <c r="F261" s="64">
        <v>3.9399999999999998E-2</v>
      </c>
      <c r="G261" s="53">
        <v>-0.1186</v>
      </c>
    </row>
    <row r="262" spans="2:7" x14ac:dyDescent="0.25">
      <c r="B262" s="39">
        <v>37629</v>
      </c>
      <c r="C262" s="64">
        <v>4.4699999999999997E-2</v>
      </c>
      <c r="D262" s="64">
        <v>4.4699999999999997E-2</v>
      </c>
      <c r="E262" s="64">
        <v>4.4699999999999997E-2</v>
      </c>
      <c r="F262" s="64">
        <v>4.4699999999999997E-2</v>
      </c>
      <c r="G262" s="53">
        <v>1.3599999999999999E-2</v>
      </c>
    </row>
    <row r="263" spans="2:7" x14ac:dyDescent="0.25">
      <c r="B263" s="39">
        <v>37628</v>
      </c>
      <c r="C263" s="64">
        <v>4.41E-2</v>
      </c>
      <c r="D263" s="64">
        <v>4.41E-2</v>
      </c>
      <c r="E263" s="64">
        <v>4.41E-2</v>
      </c>
      <c r="F263" s="64">
        <v>4.41E-2</v>
      </c>
      <c r="G263" s="53">
        <v>0.25430000000000003</v>
      </c>
    </row>
    <row r="264" spans="2:7" x14ac:dyDescent="0.25">
      <c r="B264" s="39">
        <v>37627</v>
      </c>
      <c r="C264" s="64">
        <v>3.5159999999999997E-2</v>
      </c>
      <c r="D264" s="64">
        <v>3.5159999999999997E-2</v>
      </c>
      <c r="E264" s="64">
        <v>3.5159999999999997E-2</v>
      </c>
      <c r="F264" s="64">
        <v>3.5159999999999997E-2</v>
      </c>
      <c r="G264" s="53">
        <v>4.24E-2</v>
      </c>
    </row>
    <row r="265" spans="2:7" x14ac:dyDescent="0.25">
      <c r="B265" s="39">
        <v>37626</v>
      </c>
      <c r="C265" s="64">
        <v>3.3730000000000003E-2</v>
      </c>
      <c r="D265" s="64">
        <v>3.3730000000000003E-2</v>
      </c>
      <c r="E265" s="64">
        <v>3.3730000000000003E-2</v>
      </c>
      <c r="F265" s="64">
        <v>3.3730000000000003E-2</v>
      </c>
      <c r="G265" s="53">
        <v>-0.1216</v>
      </c>
    </row>
    <row r="266" spans="2:7" x14ac:dyDescent="0.25">
      <c r="B266" s="39">
        <v>37625</v>
      </c>
      <c r="C266" s="64">
        <v>3.8399999999999997E-2</v>
      </c>
      <c r="D266" s="64">
        <v>3.8399999999999997E-2</v>
      </c>
      <c r="E266" s="64">
        <v>3.8399999999999997E-2</v>
      </c>
      <c r="F266" s="64">
        <v>3.8399999999999997E-2</v>
      </c>
      <c r="G266" s="53">
        <v>0.01</v>
      </c>
    </row>
    <row r="267" spans="2:7" x14ac:dyDescent="0.25">
      <c r="B267" s="39">
        <v>37624</v>
      </c>
      <c r="C267" s="64">
        <v>3.8019999999999998E-2</v>
      </c>
      <c r="D267" s="64">
        <v>3.8019999999999998E-2</v>
      </c>
      <c r="E267" s="64">
        <v>3.8019999999999998E-2</v>
      </c>
      <c r="F267" s="64">
        <v>3.8019999999999998E-2</v>
      </c>
      <c r="G267" s="53">
        <v>2.98E-2</v>
      </c>
    </row>
    <row r="268" spans="2:7" x14ac:dyDescent="0.25">
      <c r="B268" s="39">
        <v>37623</v>
      </c>
      <c r="C268" s="64">
        <v>3.6920000000000001E-2</v>
      </c>
      <c r="D268" s="64">
        <v>3.6920000000000001E-2</v>
      </c>
      <c r="E268" s="64">
        <v>3.6920000000000001E-2</v>
      </c>
      <c r="F268" s="64">
        <v>3.6920000000000001E-2</v>
      </c>
      <c r="G268" s="53">
        <v>-6.9099999999999995E-2</v>
      </c>
    </row>
    <row r="269" spans="2:7" x14ac:dyDescent="0.25">
      <c r="B269" s="39">
        <v>37622</v>
      </c>
      <c r="C269" s="64">
        <v>3.9660000000000001E-2</v>
      </c>
      <c r="D269" s="64">
        <v>3.9660000000000001E-2</v>
      </c>
      <c r="E269" s="64">
        <v>3.9660000000000001E-2</v>
      </c>
      <c r="F269" s="64">
        <v>3.9660000000000001E-2</v>
      </c>
      <c r="G269" s="53">
        <v>3.8800000000000001E-2</v>
      </c>
    </row>
    <row r="270" spans="2:7" x14ac:dyDescent="0.25">
      <c r="B270" s="39">
        <v>37268</v>
      </c>
      <c r="C270" s="64">
        <v>3.8179999999999999E-2</v>
      </c>
      <c r="D270" s="64">
        <v>3.8179999999999999E-2</v>
      </c>
      <c r="E270" s="64">
        <v>3.8179999999999999E-2</v>
      </c>
      <c r="F270" s="64">
        <v>3.8179999999999999E-2</v>
      </c>
      <c r="G270" s="53">
        <v>-9.3299999999999994E-2</v>
      </c>
    </row>
    <row r="271" spans="2:7" x14ac:dyDescent="0.25">
      <c r="B271" s="39">
        <v>37267</v>
      </c>
      <c r="C271" s="64">
        <v>4.2110000000000002E-2</v>
      </c>
      <c r="D271" s="64">
        <v>4.2110000000000002E-2</v>
      </c>
      <c r="E271" s="64">
        <v>4.2110000000000002E-2</v>
      </c>
      <c r="F271" s="64">
        <v>4.2110000000000002E-2</v>
      </c>
      <c r="G271" s="53">
        <v>8.1100000000000005E-2</v>
      </c>
    </row>
    <row r="272" spans="2:7" x14ac:dyDescent="0.25">
      <c r="B272" s="39">
        <v>37266</v>
      </c>
      <c r="C272" s="64">
        <v>3.8949999999999999E-2</v>
      </c>
      <c r="D272" s="64">
        <v>3.8949999999999999E-2</v>
      </c>
      <c r="E272" s="64">
        <v>3.8949999999999999E-2</v>
      </c>
      <c r="F272" s="64">
        <v>3.8949999999999999E-2</v>
      </c>
      <c r="G272" s="53">
        <v>8.1900000000000001E-2</v>
      </c>
    </row>
    <row r="273" spans="2:7" x14ac:dyDescent="0.25">
      <c r="B273" s="39">
        <v>37265</v>
      </c>
      <c r="C273" s="64">
        <v>3.6000000000000004E-2</v>
      </c>
      <c r="D273" s="64">
        <v>3.6000000000000004E-2</v>
      </c>
      <c r="E273" s="64">
        <v>3.6000000000000004E-2</v>
      </c>
      <c r="F273" s="64">
        <v>3.6000000000000004E-2</v>
      </c>
      <c r="G273" s="53">
        <v>-0.1283</v>
      </c>
    </row>
    <row r="274" spans="2:7" x14ac:dyDescent="0.25">
      <c r="B274" s="39">
        <v>37264</v>
      </c>
      <c r="C274" s="64">
        <v>4.1299999999999996E-2</v>
      </c>
      <c r="D274" s="64">
        <v>4.1299999999999996E-2</v>
      </c>
      <c r="E274" s="64">
        <v>4.1299999999999996E-2</v>
      </c>
      <c r="F274" s="64">
        <v>4.1299999999999996E-2</v>
      </c>
      <c r="G274" s="53">
        <v>-7.3800000000000004E-2</v>
      </c>
    </row>
    <row r="275" spans="2:7" x14ac:dyDescent="0.25">
      <c r="B275" s="39">
        <v>37263</v>
      </c>
      <c r="C275" s="64">
        <v>4.4589999999999998E-2</v>
      </c>
      <c r="D275" s="64">
        <v>4.4589999999999998E-2</v>
      </c>
      <c r="E275" s="64">
        <v>4.4589999999999998E-2</v>
      </c>
      <c r="F275" s="64">
        <v>4.4589999999999998E-2</v>
      </c>
      <c r="G275" s="53">
        <v>-7.2800000000000004E-2</v>
      </c>
    </row>
    <row r="276" spans="2:7" x14ac:dyDescent="0.25">
      <c r="B276" s="39">
        <v>37262</v>
      </c>
      <c r="C276" s="64">
        <v>4.8090000000000001E-2</v>
      </c>
      <c r="D276" s="64">
        <v>4.8090000000000001E-2</v>
      </c>
      <c r="E276" s="64">
        <v>4.8090000000000001E-2</v>
      </c>
      <c r="F276" s="64">
        <v>4.8090000000000001E-2</v>
      </c>
      <c r="G276" s="53">
        <v>-4.6800000000000001E-2</v>
      </c>
    </row>
    <row r="277" spans="2:7" x14ac:dyDescent="0.25">
      <c r="B277" s="39">
        <v>37261</v>
      </c>
      <c r="C277" s="64">
        <v>5.0450000000000002E-2</v>
      </c>
      <c r="D277" s="64">
        <v>5.0450000000000002E-2</v>
      </c>
      <c r="E277" s="64">
        <v>5.0450000000000002E-2</v>
      </c>
      <c r="F277" s="64">
        <v>5.0450000000000002E-2</v>
      </c>
      <c r="G277" s="53">
        <v>-8.6E-3</v>
      </c>
    </row>
    <row r="278" spans="2:7" x14ac:dyDescent="0.25">
      <c r="B278" s="39">
        <v>37260</v>
      </c>
      <c r="C278" s="64">
        <v>5.0890000000000005E-2</v>
      </c>
      <c r="D278" s="64">
        <v>5.0890000000000005E-2</v>
      </c>
      <c r="E278" s="64">
        <v>5.0890000000000005E-2</v>
      </c>
      <c r="F278" s="64">
        <v>5.0890000000000005E-2</v>
      </c>
      <c r="G278" s="53">
        <v>-5.8599999999999999E-2</v>
      </c>
    </row>
    <row r="279" spans="2:7" x14ac:dyDescent="0.25">
      <c r="B279" s="39">
        <v>37259</v>
      </c>
      <c r="C279" s="64">
        <v>5.4059999999999997E-2</v>
      </c>
      <c r="D279" s="64">
        <v>5.4059999999999997E-2</v>
      </c>
      <c r="E279" s="64">
        <v>5.4059999999999997E-2</v>
      </c>
      <c r="F279" s="64">
        <v>5.4059999999999997E-2</v>
      </c>
      <c r="G279" s="53">
        <v>0.10920000000000001</v>
      </c>
    </row>
    <row r="280" spans="2:7" x14ac:dyDescent="0.25">
      <c r="B280" s="39">
        <v>37258</v>
      </c>
      <c r="C280" s="64">
        <v>4.8739999999999999E-2</v>
      </c>
      <c r="D280" s="64">
        <v>4.8739999999999999E-2</v>
      </c>
      <c r="E280" s="64">
        <v>4.8739999999999999E-2</v>
      </c>
      <c r="F280" s="64">
        <v>4.8739999999999999E-2</v>
      </c>
      <c r="G280" s="53">
        <v>-3.4099999999999998E-2</v>
      </c>
    </row>
    <row r="281" spans="2:7" x14ac:dyDescent="0.25">
      <c r="B281" s="39">
        <v>37257</v>
      </c>
      <c r="C281" s="64">
        <v>5.0460000000000005E-2</v>
      </c>
      <c r="D281" s="64">
        <v>5.0460000000000005E-2</v>
      </c>
      <c r="E281" s="64">
        <v>5.0460000000000005E-2</v>
      </c>
      <c r="F281" s="64">
        <v>5.0460000000000005E-2</v>
      </c>
      <c r="G281" s="53">
        <v>3.3999999999999998E-3</v>
      </c>
    </row>
    <row r="282" spans="2:7" x14ac:dyDescent="0.25">
      <c r="B282" s="39">
        <v>36903</v>
      </c>
      <c r="C282" s="64">
        <v>5.0290000000000001E-2</v>
      </c>
      <c r="D282" s="64">
        <v>5.0290000000000001E-2</v>
      </c>
      <c r="E282" s="64">
        <v>5.0290000000000001E-2</v>
      </c>
      <c r="F282" s="64">
        <v>5.0290000000000001E-2</v>
      </c>
      <c r="G282" s="53">
        <v>5.7799999999999997E-2</v>
      </c>
    </row>
    <row r="283" spans="2:7" x14ac:dyDescent="0.25">
      <c r="B283" s="39">
        <v>36902</v>
      </c>
      <c r="C283" s="64">
        <v>4.7539999999999999E-2</v>
      </c>
      <c r="D283" s="64">
        <v>4.7539999999999999E-2</v>
      </c>
      <c r="E283" s="64">
        <v>4.7539999999999999E-2</v>
      </c>
      <c r="F283" s="64">
        <v>4.7539999999999999E-2</v>
      </c>
      <c r="G283" s="53">
        <v>0.1202</v>
      </c>
    </row>
    <row r="284" spans="2:7" x14ac:dyDescent="0.25">
      <c r="B284" s="39">
        <v>36901</v>
      </c>
      <c r="C284" s="64">
        <v>4.2439999999999999E-2</v>
      </c>
      <c r="D284" s="64">
        <v>4.2439999999999999E-2</v>
      </c>
      <c r="E284" s="64">
        <v>4.2439999999999999E-2</v>
      </c>
      <c r="F284" s="64">
        <v>4.2439999999999999E-2</v>
      </c>
      <c r="G284" s="53">
        <v>-7.5399999999999995E-2</v>
      </c>
    </row>
    <row r="285" spans="2:7" x14ac:dyDescent="0.25">
      <c r="B285" s="39">
        <v>36900</v>
      </c>
      <c r="C285" s="64">
        <v>4.5899999999999996E-2</v>
      </c>
      <c r="D285" s="64">
        <v>4.5899999999999996E-2</v>
      </c>
      <c r="E285" s="64">
        <v>4.5899999999999996E-2</v>
      </c>
      <c r="F285" s="64">
        <v>4.5899999999999996E-2</v>
      </c>
      <c r="G285" s="53">
        <v>-5.1700000000000003E-2</v>
      </c>
    </row>
    <row r="286" spans="2:7" x14ac:dyDescent="0.25">
      <c r="B286" s="39">
        <v>36899</v>
      </c>
      <c r="C286" s="64">
        <v>4.8399999999999999E-2</v>
      </c>
      <c r="D286" s="64">
        <v>4.8399999999999999E-2</v>
      </c>
      <c r="E286" s="64">
        <v>4.8399999999999999E-2</v>
      </c>
      <c r="F286" s="64">
        <v>4.8399999999999999E-2</v>
      </c>
      <c r="G286" s="53">
        <v>-4.2500000000000003E-2</v>
      </c>
    </row>
    <row r="287" spans="2:7" x14ac:dyDescent="0.25">
      <c r="B287" s="39">
        <v>36898</v>
      </c>
      <c r="C287" s="64">
        <v>5.0549999999999998E-2</v>
      </c>
      <c r="D287" s="64">
        <v>5.0549999999999998E-2</v>
      </c>
      <c r="E287" s="64">
        <v>5.0549999999999998E-2</v>
      </c>
      <c r="F287" s="64">
        <v>5.0549999999999998E-2</v>
      </c>
      <c r="G287" s="53">
        <v>-6.4600000000000005E-2</v>
      </c>
    </row>
    <row r="288" spans="2:7" x14ac:dyDescent="0.25">
      <c r="B288" s="39">
        <v>36897</v>
      </c>
      <c r="C288" s="64">
        <v>5.4039999999999998E-2</v>
      </c>
      <c r="D288" s="64">
        <v>5.4039999999999998E-2</v>
      </c>
      <c r="E288" s="64">
        <v>5.4039999999999998E-2</v>
      </c>
      <c r="F288" s="64">
        <v>5.4039999999999998E-2</v>
      </c>
      <c r="G288" s="53">
        <v>3.5000000000000001E-3</v>
      </c>
    </row>
    <row r="289" spans="2:7" x14ac:dyDescent="0.25">
      <c r="B289" s="39">
        <v>36896</v>
      </c>
      <c r="C289" s="64">
        <v>5.3849999999999995E-2</v>
      </c>
      <c r="D289" s="64">
        <v>5.3849999999999995E-2</v>
      </c>
      <c r="E289" s="64">
        <v>5.3849999999999995E-2</v>
      </c>
      <c r="F289" s="64">
        <v>5.3849999999999995E-2</v>
      </c>
      <c r="G289" s="53">
        <v>9.1999999999999998E-3</v>
      </c>
    </row>
    <row r="290" spans="2:7" x14ac:dyDescent="0.25">
      <c r="B290" s="39">
        <v>36895</v>
      </c>
      <c r="C290" s="64">
        <v>5.3360000000000005E-2</v>
      </c>
      <c r="D290" s="64">
        <v>5.3360000000000005E-2</v>
      </c>
      <c r="E290" s="64">
        <v>5.3360000000000005E-2</v>
      </c>
      <c r="F290" s="64">
        <v>5.3360000000000005E-2</v>
      </c>
      <c r="G290" s="53">
        <v>8.5699999999999998E-2</v>
      </c>
    </row>
    <row r="291" spans="2:7" x14ac:dyDescent="0.25">
      <c r="B291" s="39">
        <v>36894</v>
      </c>
      <c r="C291" s="64">
        <v>4.9149999999999999E-2</v>
      </c>
      <c r="D291" s="64">
        <v>4.9149999999999999E-2</v>
      </c>
      <c r="E291" s="64">
        <v>4.9149999999999999E-2</v>
      </c>
      <c r="F291" s="64">
        <v>4.9149999999999999E-2</v>
      </c>
      <c r="G291" s="53">
        <v>2.2000000000000001E-3</v>
      </c>
    </row>
    <row r="292" spans="2:7" x14ac:dyDescent="0.25">
      <c r="B292" s="39">
        <v>36893</v>
      </c>
      <c r="C292" s="64">
        <v>4.904E-2</v>
      </c>
      <c r="D292" s="64">
        <v>4.904E-2</v>
      </c>
      <c r="E292" s="64">
        <v>4.904E-2</v>
      </c>
      <c r="F292" s="64">
        <v>4.904E-2</v>
      </c>
      <c r="G292" s="53">
        <v>-4.07E-2</v>
      </c>
    </row>
    <row r="293" spans="2:7" x14ac:dyDescent="0.25">
      <c r="B293" s="39">
        <v>36892</v>
      </c>
      <c r="C293" s="64">
        <v>5.1119999999999999E-2</v>
      </c>
      <c r="D293" s="64">
        <v>5.1119999999999999E-2</v>
      </c>
      <c r="E293" s="64">
        <v>5.1119999999999999E-2</v>
      </c>
      <c r="F293" s="64">
        <v>5.1119999999999999E-2</v>
      </c>
      <c r="G293" s="53">
        <v>0</v>
      </c>
    </row>
    <row r="294" spans="2:7" x14ac:dyDescent="0.25">
      <c r="B294" s="39">
        <v>36537</v>
      </c>
      <c r="C294" s="64">
        <v>5.1119999999999999E-2</v>
      </c>
      <c r="D294" s="64">
        <v>5.1119999999999999E-2</v>
      </c>
      <c r="E294" s="64">
        <v>5.1119999999999999E-2</v>
      </c>
      <c r="F294" s="64">
        <v>5.1119999999999999E-2</v>
      </c>
      <c r="G294" s="53">
        <v>-6.6799999999999998E-2</v>
      </c>
    </row>
    <row r="295" spans="2:7" x14ac:dyDescent="0.25">
      <c r="B295" s="39">
        <v>36536</v>
      </c>
      <c r="C295" s="64">
        <v>5.4779999999999995E-2</v>
      </c>
      <c r="D295" s="64">
        <v>5.4779999999999995E-2</v>
      </c>
      <c r="E295" s="64">
        <v>5.4779999999999995E-2</v>
      </c>
      <c r="F295" s="64">
        <v>5.4779999999999995E-2</v>
      </c>
      <c r="G295" s="53">
        <v>-4.9099999999999998E-2</v>
      </c>
    </row>
    <row r="296" spans="2:7" x14ac:dyDescent="0.25">
      <c r="B296" s="39">
        <v>36535</v>
      </c>
      <c r="C296" s="64">
        <v>5.7610000000000001E-2</v>
      </c>
      <c r="D296" s="64">
        <v>5.7610000000000001E-2</v>
      </c>
      <c r="E296" s="64">
        <v>5.7610000000000001E-2</v>
      </c>
      <c r="F296" s="64">
        <v>5.7610000000000001E-2</v>
      </c>
      <c r="G296" s="53">
        <v>-8.0999999999999996E-3</v>
      </c>
    </row>
    <row r="297" spans="2:7" x14ac:dyDescent="0.25">
      <c r="B297" s="39">
        <v>36534</v>
      </c>
      <c r="C297" s="64">
        <v>5.808E-2</v>
      </c>
      <c r="D297" s="64">
        <v>5.808E-2</v>
      </c>
      <c r="E297" s="64">
        <v>5.808E-2</v>
      </c>
      <c r="F297" s="64">
        <v>5.808E-2</v>
      </c>
      <c r="G297" s="53">
        <v>1.38E-2</v>
      </c>
    </row>
    <row r="298" spans="2:7" x14ac:dyDescent="0.25">
      <c r="B298" s="39">
        <v>36533</v>
      </c>
      <c r="C298" s="64">
        <v>5.7290000000000001E-2</v>
      </c>
      <c r="D298" s="64">
        <v>5.7290000000000001E-2</v>
      </c>
      <c r="E298" s="64">
        <v>5.7290000000000001E-2</v>
      </c>
      <c r="F298" s="64">
        <v>5.7290000000000001E-2</v>
      </c>
      <c r="G298" s="53">
        <v>-5.1499999999999997E-2</v>
      </c>
    </row>
    <row r="299" spans="2:7" x14ac:dyDescent="0.25">
      <c r="B299" s="39">
        <v>36532</v>
      </c>
      <c r="C299" s="64">
        <v>6.0400000000000002E-2</v>
      </c>
      <c r="D299" s="64">
        <v>6.0400000000000002E-2</v>
      </c>
      <c r="E299" s="64">
        <v>6.0400000000000002E-2</v>
      </c>
      <c r="F299" s="64">
        <v>6.0400000000000002E-2</v>
      </c>
      <c r="G299" s="53">
        <v>2.2000000000000001E-3</v>
      </c>
    </row>
    <row r="300" spans="2:7" x14ac:dyDescent="0.25">
      <c r="B300" s="39">
        <v>36531</v>
      </c>
      <c r="C300" s="64">
        <v>6.0270000000000004E-2</v>
      </c>
      <c r="D300" s="64">
        <v>6.0270000000000004E-2</v>
      </c>
      <c r="E300" s="64">
        <v>6.0270000000000004E-2</v>
      </c>
      <c r="F300" s="64">
        <v>6.0270000000000004E-2</v>
      </c>
      <c r="G300" s="53">
        <v>-4.1099999999999998E-2</v>
      </c>
    </row>
    <row r="301" spans="2:7" x14ac:dyDescent="0.25">
      <c r="B301" s="39">
        <v>36530</v>
      </c>
      <c r="C301" s="64">
        <v>6.2850000000000003E-2</v>
      </c>
      <c r="D301" s="64">
        <v>6.2850000000000003E-2</v>
      </c>
      <c r="E301" s="64">
        <v>6.2850000000000003E-2</v>
      </c>
      <c r="F301" s="64">
        <v>6.2850000000000003E-2</v>
      </c>
      <c r="G301" s="53">
        <v>1.0800000000000001E-2</v>
      </c>
    </row>
    <row r="302" spans="2:7" x14ac:dyDescent="0.25">
      <c r="B302" s="39">
        <v>36529</v>
      </c>
      <c r="C302" s="64">
        <v>6.2179999999999999E-2</v>
      </c>
      <c r="D302" s="64">
        <v>6.2179999999999999E-2</v>
      </c>
      <c r="E302" s="64">
        <v>6.2179999999999999E-2</v>
      </c>
      <c r="F302" s="64">
        <v>6.2179999999999999E-2</v>
      </c>
      <c r="G302" s="53">
        <v>3.5999999999999997E-2</v>
      </c>
    </row>
    <row r="303" spans="2:7" x14ac:dyDescent="0.25">
      <c r="B303" s="39">
        <v>36528</v>
      </c>
      <c r="C303" s="64">
        <v>6.0019999999999997E-2</v>
      </c>
      <c r="D303" s="64">
        <v>6.0019999999999997E-2</v>
      </c>
      <c r="E303" s="64">
        <v>6.0019999999999997E-2</v>
      </c>
      <c r="F303" s="64">
        <v>6.0019999999999997E-2</v>
      </c>
      <c r="G303" s="53">
        <v>-6.3500000000000001E-2</v>
      </c>
    </row>
    <row r="304" spans="2:7" x14ac:dyDescent="0.25">
      <c r="B304" s="39">
        <v>36527</v>
      </c>
      <c r="C304" s="64">
        <v>6.4089999999999994E-2</v>
      </c>
      <c r="D304" s="64">
        <v>6.4089999999999994E-2</v>
      </c>
      <c r="E304" s="64">
        <v>6.4089999999999994E-2</v>
      </c>
      <c r="F304" s="64">
        <v>6.4089999999999994E-2</v>
      </c>
      <c r="G304" s="53">
        <v>-3.7999999999999999E-2</v>
      </c>
    </row>
    <row r="305" spans="2:7" x14ac:dyDescent="0.25">
      <c r="B305" s="39">
        <v>36526</v>
      </c>
      <c r="C305" s="64">
        <v>6.6619999999999999E-2</v>
      </c>
      <c r="D305" s="64">
        <v>6.6619999999999999E-2</v>
      </c>
      <c r="E305" s="64">
        <v>6.6619999999999999E-2</v>
      </c>
      <c r="F305" s="64">
        <v>6.6619999999999999E-2</v>
      </c>
      <c r="G305" s="53">
        <v>3.5299999999999998E-2</v>
      </c>
    </row>
    <row r="306" spans="2:7" x14ac:dyDescent="0.25">
      <c r="B306" s="39">
        <v>36172</v>
      </c>
      <c r="C306" s="64">
        <v>6.4349999999999991E-2</v>
      </c>
      <c r="D306" s="64">
        <v>6.4349999999999991E-2</v>
      </c>
      <c r="E306" s="64">
        <v>6.4349999999999991E-2</v>
      </c>
      <c r="F306" s="64">
        <v>6.4349999999999991E-2</v>
      </c>
      <c r="G306" s="53">
        <v>3.9100000000000003E-2</v>
      </c>
    </row>
    <row r="307" spans="2:7" x14ac:dyDescent="0.25">
      <c r="B307" s="39">
        <v>36171</v>
      </c>
      <c r="C307" s="64">
        <v>6.1929999999999999E-2</v>
      </c>
      <c r="D307" s="64">
        <v>6.1929999999999999E-2</v>
      </c>
      <c r="E307" s="64">
        <v>6.1929999999999999E-2</v>
      </c>
      <c r="F307" s="64">
        <v>6.1929999999999999E-2</v>
      </c>
      <c r="G307" s="53">
        <v>2.7400000000000001E-2</v>
      </c>
    </row>
    <row r="308" spans="2:7" x14ac:dyDescent="0.25">
      <c r="B308" s="39">
        <v>36170</v>
      </c>
      <c r="C308" s="64">
        <v>6.0279999999999993E-2</v>
      </c>
      <c r="D308" s="64">
        <v>6.0279999999999993E-2</v>
      </c>
      <c r="E308" s="64">
        <v>6.0279999999999993E-2</v>
      </c>
      <c r="F308" s="64">
        <v>6.0279999999999993E-2</v>
      </c>
      <c r="G308" s="53">
        <v>2.5000000000000001E-2</v>
      </c>
    </row>
    <row r="309" spans="2:7" x14ac:dyDescent="0.25">
      <c r="B309" s="39">
        <v>36169</v>
      </c>
      <c r="C309" s="64">
        <v>5.8810000000000001E-2</v>
      </c>
      <c r="D309" s="64">
        <v>5.8810000000000001E-2</v>
      </c>
      <c r="E309" s="64">
        <v>5.8810000000000001E-2</v>
      </c>
      <c r="F309" s="64">
        <v>5.8810000000000001E-2</v>
      </c>
      <c r="G309" s="53">
        <v>-1.5599999999999999E-2</v>
      </c>
    </row>
    <row r="310" spans="2:7" x14ac:dyDescent="0.25">
      <c r="B310" s="39">
        <v>36168</v>
      </c>
      <c r="C310" s="64">
        <v>5.9740000000000001E-2</v>
      </c>
      <c r="D310" s="64">
        <v>5.9740000000000001E-2</v>
      </c>
      <c r="E310" s="64">
        <v>5.9740000000000001E-2</v>
      </c>
      <c r="F310" s="64">
        <v>5.9740000000000001E-2</v>
      </c>
      <c r="G310" s="53">
        <v>1.2200000000000001E-2</v>
      </c>
    </row>
    <row r="311" spans="2:7" x14ac:dyDescent="0.25">
      <c r="B311" s="39">
        <v>36167</v>
      </c>
      <c r="C311" s="64">
        <v>5.9020000000000003E-2</v>
      </c>
      <c r="D311" s="64">
        <v>5.9020000000000003E-2</v>
      </c>
      <c r="E311" s="64">
        <v>5.9020000000000003E-2</v>
      </c>
      <c r="F311" s="64">
        <v>5.9020000000000003E-2</v>
      </c>
      <c r="G311" s="53">
        <v>2.0199999999999999E-2</v>
      </c>
    </row>
    <row r="312" spans="2:7" x14ac:dyDescent="0.25">
      <c r="B312" s="39">
        <v>36166</v>
      </c>
      <c r="C312" s="64">
        <v>5.7849999999999999E-2</v>
      </c>
      <c r="D312" s="64">
        <v>5.7849999999999999E-2</v>
      </c>
      <c r="E312" s="64">
        <v>5.7849999999999999E-2</v>
      </c>
      <c r="F312" s="64">
        <v>5.7849999999999999E-2</v>
      </c>
      <c r="G312" s="53">
        <v>2.86E-2</v>
      </c>
    </row>
    <row r="313" spans="2:7" x14ac:dyDescent="0.25">
      <c r="B313" s="39">
        <v>36165</v>
      </c>
      <c r="C313" s="64">
        <v>5.6239999999999998E-2</v>
      </c>
      <c r="D313" s="64">
        <v>5.6239999999999998E-2</v>
      </c>
      <c r="E313" s="64">
        <v>5.6239999999999998E-2</v>
      </c>
      <c r="F313" s="64">
        <v>5.6239999999999998E-2</v>
      </c>
      <c r="G313" s="53">
        <v>5.1200000000000002E-2</v>
      </c>
    </row>
    <row r="314" spans="2:7" x14ac:dyDescent="0.25">
      <c r="B314" s="39">
        <v>36164</v>
      </c>
      <c r="C314" s="64">
        <v>5.3499999999999999E-2</v>
      </c>
      <c r="D314" s="64">
        <v>5.3499999999999999E-2</v>
      </c>
      <c r="E314" s="64">
        <v>5.3499999999999999E-2</v>
      </c>
      <c r="F314" s="64">
        <v>5.3499999999999999E-2</v>
      </c>
      <c r="G314" s="53">
        <v>2.06E-2</v>
      </c>
    </row>
    <row r="315" spans="2:7" x14ac:dyDescent="0.25">
      <c r="B315" s="39">
        <v>36163</v>
      </c>
      <c r="C315" s="64">
        <v>5.2420000000000001E-2</v>
      </c>
      <c r="D315" s="64">
        <v>5.2420000000000001E-2</v>
      </c>
      <c r="E315" s="64">
        <v>5.2420000000000001E-2</v>
      </c>
      <c r="F315" s="64">
        <v>5.2420000000000001E-2</v>
      </c>
      <c r="G315" s="53">
        <v>-9.7999999999999997E-3</v>
      </c>
    </row>
    <row r="316" spans="2:7" x14ac:dyDescent="0.25">
      <c r="B316" s="39">
        <v>36162</v>
      </c>
      <c r="C316" s="64">
        <v>5.2939999999999994E-2</v>
      </c>
      <c r="D316" s="64">
        <v>5.2939999999999994E-2</v>
      </c>
      <c r="E316" s="64">
        <v>5.2939999999999994E-2</v>
      </c>
      <c r="F316" s="64">
        <v>5.2939999999999994E-2</v>
      </c>
      <c r="G316" s="53">
        <v>0.13780000000000001</v>
      </c>
    </row>
    <row r="317" spans="2:7" x14ac:dyDescent="0.25">
      <c r="B317" s="39">
        <v>36161</v>
      </c>
      <c r="C317" s="64">
        <v>4.6529999999999995E-2</v>
      </c>
      <c r="D317" s="64">
        <v>4.6529999999999995E-2</v>
      </c>
      <c r="E317" s="64">
        <v>4.6529999999999995E-2</v>
      </c>
      <c r="F317" s="64">
        <v>4.6529999999999995E-2</v>
      </c>
      <c r="G317" s="53">
        <v>-1.1000000000000001E-3</v>
      </c>
    </row>
    <row r="318" spans="2:7" x14ac:dyDescent="0.25">
      <c r="B318" s="39">
        <v>35807</v>
      </c>
      <c r="C318" s="64">
        <v>4.6580000000000003E-2</v>
      </c>
      <c r="D318" s="64">
        <v>4.6580000000000003E-2</v>
      </c>
      <c r="E318" s="64">
        <v>4.6580000000000003E-2</v>
      </c>
      <c r="F318" s="64">
        <v>4.6580000000000003E-2</v>
      </c>
      <c r="G318" s="53">
        <v>-1.3599999999999999E-2</v>
      </c>
    </row>
    <row r="319" spans="2:7" x14ac:dyDescent="0.25">
      <c r="B319" s="39">
        <v>35806</v>
      </c>
      <c r="C319" s="64">
        <v>4.7220000000000005E-2</v>
      </c>
      <c r="D319" s="64">
        <v>4.7220000000000005E-2</v>
      </c>
      <c r="E319" s="64">
        <v>4.7220000000000005E-2</v>
      </c>
      <c r="F319" s="64">
        <v>4.7220000000000005E-2</v>
      </c>
      <c r="G319" s="53">
        <v>2.5899999999999999E-2</v>
      </c>
    </row>
    <row r="320" spans="2:7" x14ac:dyDescent="0.25">
      <c r="B320" s="39">
        <v>35805</v>
      </c>
      <c r="C320" s="64">
        <v>4.6029999999999995E-2</v>
      </c>
      <c r="D320" s="64">
        <v>4.6029999999999995E-2</v>
      </c>
      <c r="E320" s="64">
        <v>4.6029999999999995E-2</v>
      </c>
      <c r="F320" s="64">
        <v>4.6029999999999995E-2</v>
      </c>
      <c r="G320" s="53">
        <v>4.0899999999999999E-2</v>
      </c>
    </row>
    <row r="321" spans="2:7" x14ac:dyDescent="0.25">
      <c r="B321" s="39">
        <v>35804</v>
      </c>
      <c r="C321" s="64">
        <v>4.4219999999999995E-2</v>
      </c>
      <c r="D321" s="64">
        <v>4.4219999999999995E-2</v>
      </c>
      <c r="E321" s="64">
        <v>4.4219999999999995E-2</v>
      </c>
      <c r="F321" s="64">
        <v>4.4219999999999995E-2</v>
      </c>
      <c r="G321" s="53">
        <v>-0.124</v>
      </c>
    </row>
    <row r="322" spans="2:7" x14ac:dyDescent="0.25">
      <c r="B322" s="39">
        <v>35803</v>
      </c>
      <c r="C322" s="64">
        <v>5.0479999999999997E-2</v>
      </c>
      <c r="D322" s="64">
        <v>5.0479999999999997E-2</v>
      </c>
      <c r="E322" s="64">
        <v>5.0479999999999997E-2</v>
      </c>
      <c r="F322" s="64">
        <v>5.0479999999999997E-2</v>
      </c>
      <c r="G322" s="53">
        <v>-8.1199999999999994E-2</v>
      </c>
    </row>
    <row r="323" spans="2:7" x14ac:dyDescent="0.25">
      <c r="B323" s="39">
        <v>35802</v>
      </c>
      <c r="C323" s="64">
        <v>5.4939999999999996E-2</v>
      </c>
      <c r="D323" s="64">
        <v>5.4939999999999996E-2</v>
      </c>
      <c r="E323" s="64">
        <v>5.4939999999999996E-2</v>
      </c>
      <c r="F323" s="64">
        <v>5.4939999999999996E-2</v>
      </c>
      <c r="G323" s="53">
        <v>8.8000000000000005E-3</v>
      </c>
    </row>
    <row r="324" spans="2:7" x14ac:dyDescent="0.25">
      <c r="B324" s="39">
        <v>35801</v>
      </c>
      <c r="C324" s="64">
        <v>5.4459999999999995E-2</v>
      </c>
      <c r="D324" s="64">
        <v>5.4459999999999995E-2</v>
      </c>
      <c r="E324" s="64">
        <v>5.4459999999999995E-2</v>
      </c>
      <c r="F324" s="64">
        <v>5.4459999999999995E-2</v>
      </c>
      <c r="G324" s="53">
        <v>-2.0199999999999999E-2</v>
      </c>
    </row>
    <row r="325" spans="2:7" x14ac:dyDescent="0.25">
      <c r="B325" s="39">
        <v>35800</v>
      </c>
      <c r="C325" s="64">
        <v>5.5579999999999997E-2</v>
      </c>
      <c r="D325" s="64">
        <v>5.5579999999999997E-2</v>
      </c>
      <c r="E325" s="64">
        <v>5.5579999999999997E-2</v>
      </c>
      <c r="F325" s="64">
        <v>5.5579999999999997E-2</v>
      </c>
      <c r="G325" s="53">
        <v>-4.4999999999999998E-2</v>
      </c>
    </row>
    <row r="326" spans="2:7" x14ac:dyDescent="0.25">
      <c r="B326" s="39">
        <v>35799</v>
      </c>
      <c r="C326" s="64">
        <v>5.8200000000000002E-2</v>
      </c>
      <c r="D326" s="64">
        <v>5.8200000000000002E-2</v>
      </c>
      <c r="E326" s="64">
        <v>5.8200000000000002E-2</v>
      </c>
      <c r="F326" s="64">
        <v>5.8200000000000002E-2</v>
      </c>
      <c r="G326" s="53">
        <v>2.86E-2</v>
      </c>
    </row>
    <row r="327" spans="2:7" x14ac:dyDescent="0.25">
      <c r="B327" s="39">
        <v>35798</v>
      </c>
      <c r="C327" s="64">
        <v>5.6580000000000005E-2</v>
      </c>
      <c r="D327" s="64">
        <v>5.6580000000000005E-2</v>
      </c>
      <c r="E327" s="64">
        <v>5.6580000000000005E-2</v>
      </c>
      <c r="F327" s="64">
        <v>5.6580000000000005E-2</v>
      </c>
      <c r="G327" s="53">
        <v>6.0000000000000001E-3</v>
      </c>
    </row>
    <row r="328" spans="2:7" x14ac:dyDescent="0.25">
      <c r="B328" s="39">
        <v>35797</v>
      </c>
      <c r="C328" s="64">
        <v>5.6239999999999998E-2</v>
      </c>
      <c r="D328" s="64">
        <v>5.6239999999999998E-2</v>
      </c>
      <c r="E328" s="64">
        <v>5.6239999999999998E-2</v>
      </c>
      <c r="F328" s="64">
        <v>5.6239999999999998E-2</v>
      </c>
      <c r="G328" s="53">
        <v>1.9599999999999999E-2</v>
      </c>
    </row>
    <row r="329" spans="2:7" x14ac:dyDescent="0.25">
      <c r="B329" s="39">
        <v>35796</v>
      </c>
      <c r="C329" s="64">
        <v>5.5160000000000001E-2</v>
      </c>
      <c r="D329" s="64">
        <v>5.5160000000000001E-2</v>
      </c>
      <c r="E329" s="64">
        <v>5.5160000000000001E-2</v>
      </c>
      <c r="F329" s="64">
        <v>5.5160000000000001E-2</v>
      </c>
      <c r="G329" s="53">
        <v>-3.9699999999999999E-2</v>
      </c>
    </row>
    <row r="330" spans="2:7" x14ac:dyDescent="0.25">
      <c r="B330" s="39">
        <v>35442</v>
      </c>
      <c r="C330" s="64">
        <v>5.7439999999999998E-2</v>
      </c>
      <c r="D330" s="64">
        <v>5.7439999999999998E-2</v>
      </c>
      <c r="E330" s="64">
        <v>5.7439999999999998E-2</v>
      </c>
      <c r="F330" s="64">
        <v>5.7439999999999998E-2</v>
      </c>
      <c r="G330" s="53">
        <v>-2.3099999999999999E-2</v>
      </c>
    </row>
    <row r="331" spans="2:7" x14ac:dyDescent="0.25">
      <c r="B331" s="39">
        <v>35441</v>
      </c>
      <c r="C331" s="64">
        <v>5.8799999999999998E-2</v>
      </c>
      <c r="D331" s="64">
        <v>5.8799999999999998E-2</v>
      </c>
      <c r="E331" s="64">
        <v>5.8799999999999998E-2</v>
      </c>
      <c r="F331" s="64">
        <v>5.8799999999999998E-2</v>
      </c>
      <c r="G331" s="53">
        <v>8.3999999999999995E-3</v>
      </c>
    </row>
    <row r="332" spans="2:7" x14ac:dyDescent="0.25">
      <c r="B332" s="39">
        <v>35440</v>
      </c>
      <c r="C332" s="64">
        <v>5.8310000000000001E-2</v>
      </c>
      <c r="D332" s="64">
        <v>5.8310000000000001E-2</v>
      </c>
      <c r="E332" s="64">
        <v>5.8310000000000001E-2</v>
      </c>
      <c r="F332" s="64">
        <v>5.8310000000000001E-2</v>
      </c>
      <c r="G332" s="53">
        <v>-4.4600000000000001E-2</v>
      </c>
    </row>
    <row r="333" spans="2:7" x14ac:dyDescent="0.25">
      <c r="B333" s="39">
        <v>35439</v>
      </c>
      <c r="C333" s="64">
        <v>6.1030000000000001E-2</v>
      </c>
      <c r="D333" s="64">
        <v>6.1030000000000001E-2</v>
      </c>
      <c r="E333" s="64">
        <v>6.1030000000000001E-2</v>
      </c>
      <c r="F333" s="64">
        <v>6.1030000000000001E-2</v>
      </c>
      <c r="G333" s="53">
        <v>-3.7199999999999997E-2</v>
      </c>
    </row>
    <row r="334" spans="2:7" x14ac:dyDescent="0.25">
      <c r="B334" s="39">
        <v>35438</v>
      </c>
      <c r="C334" s="64">
        <v>6.3390000000000002E-2</v>
      </c>
      <c r="D334" s="64">
        <v>6.3390000000000002E-2</v>
      </c>
      <c r="E334" s="64">
        <v>6.3390000000000002E-2</v>
      </c>
      <c r="F334" s="64">
        <v>6.3390000000000002E-2</v>
      </c>
      <c r="G334" s="53">
        <v>5.4199999999999998E-2</v>
      </c>
    </row>
    <row r="335" spans="2:7" x14ac:dyDescent="0.25">
      <c r="B335" s="39">
        <v>35437</v>
      </c>
      <c r="C335" s="64">
        <v>6.0129999999999996E-2</v>
      </c>
      <c r="D335" s="64">
        <v>6.0129999999999996E-2</v>
      </c>
      <c r="E335" s="64">
        <v>6.0129999999999996E-2</v>
      </c>
      <c r="F335" s="64">
        <v>6.0129999999999996E-2</v>
      </c>
      <c r="G335" s="53">
        <v>-7.5200000000000003E-2</v>
      </c>
    </row>
    <row r="336" spans="2:7" x14ac:dyDescent="0.25">
      <c r="B336" s="39">
        <v>35436</v>
      </c>
      <c r="C336" s="64">
        <v>6.5019999999999994E-2</v>
      </c>
      <c r="D336" s="64">
        <v>6.5019999999999994E-2</v>
      </c>
      <c r="E336" s="64">
        <v>6.5019999999999994E-2</v>
      </c>
      <c r="F336" s="64">
        <v>6.5019999999999994E-2</v>
      </c>
      <c r="G336" s="53">
        <v>-2.4199999999999999E-2</v>
      </c>
    </row>
    <row r="337" spans="2:7" x14ac:dyDescent="0.25">
      <c r="B337" s="39">
        <v>35435</v>
      </c>
      <c r="C337" s="64">
        <v>6.6630000000000009E-2</v>
      </c>
      <c r="D337" s="64">
        <v>6.6630000000000009E-2</v>
      </c>
      <c r="E337" s="64">
        <v>6.6630000000000009E-2</v>
      </c>
      <c r="F337" s="64">
        <v>6.6630000000000009E-2</v>
      </c>
      <c r="G337" s="53">
        <v>-7.7000000000000002E-3</v>
      </c>
    </row>
    <row r="338" spans="2:7" x14ac:dyDescent="0.25">
      <c r="B338" s="39">
        <v>35434</v>
      </c>
      <c r="C338" s="64">
        <v>6.7150000000000001E-2</v>
      </c>
      <c r="D338" s="64">
        <v>6.7150000000000001E-2</v>
      </c>
      <c r="E338" s="64">
        <v>6.7150000000000001E-2</v>
      </c>
      <c r="F338" s="64">
        <v>6.7150000000000001E-2</v>
      </c>
      <c r="G338" s="53">
        <v>-2.7799999999999998E-2</v>
      </c>
    </row>
    <row r="339" spans="2:7" x14ac:dyDescent="0.25">
      <c r="B339" s="39">
        <v>35433</v>
      </c>
      <c r="C339" s="64">
        <v>6.9070000000000006E-2</v>
      </c>
      <c r="D339" s="64">
        <v>6.9070000000000006E-2</v>
      </c>
      <c r="E339" s="64">
        <v>6.9070000000000006E-2</v>
      </c>
      <c r="F339" s="64">
        <v>6.9070000000000006E-2</v>
      </c>
      <c r="G339" s="53">
        <v>5.3499999999999999E-2</v>
      </c>
    </row>
    <row r="340" spans="2:7" x14ac:dyDescent="0.25">
      <c r="B340" s="39">
        <v>35432</v>
      </c>
      <c r="C340" s="64">
        <v>6.5560000000000007E-2</v>
      </c>
      <c r="D340" s="64">
        <v>6.5560000000000007E-2</v>
      </c>
      <c r="E340" s="64">
        <v>6.5560000000000007E-2</v>
      </c>
      <c r="F340" s="64">
        <v>6.5560000000000007E-2</v>
      </c>
      <c r="G340" s="53">
        <v>8.2000000000000007E-3</v>
      </c>
    </row>
    <row r="341" spans="2:7" x14ac:dyDescent="0.25">
      <c r="B341" s="39">
        <v>35431</v>
      </c>
      <c r="C341" s="64">
        <v>6.5030000000000004E-2</v>
      </c>
      <c r="D341" s="64">
        <v>6.5030000000000004E-2</v>
      </c>
      <c r="E341" s="64">
        <v>6.5030000000000004E-2</v>
      </c>
      <c r="F341" s="64">
        <v>6.5030000000000004E-2</v>
      </c>
      <c r="G341" s="53">
        <v>1.15E-2</v>
      </c>
    </row>
    <row r="342" spans="2:7" x14ac:dyDescent="0.25">
      <c r="B342" s="39">
        <v>35076</v>
      </c>
      <c r="C342" s="64">
        <v>6.429E-2</v>
      </c>
      <c r="D342" s="64">
        <v>6.429E-2</v>
      </c>
      <c r="E342" s="64">
        <v>6.429E-2</v>
      </c>
      <c r="F342" s="64">
        <v>6.429E-2</v>
      </c>
      <c r="G342" s="53">
        <v>6.3E-2</v>
      </c>
    </row>
    <row r="343" spans="2:7" x14ac:dyDescent="0.25">
      <c r="B343" s="39">
        <v>35075</v>
      </c>
      <c r="C343" s="64">
        <v>6.0479999999999999E-2</v>
      </c>
      <c r="D343" s="64">
        <v>6.0479999999999999E-2</v>
      </c>
      <c r="E343" s="64">
        <v>6.0479999999999999E-2</v>
      </c>
      <c r="F343" s="64">
        <v>6.0479999999999999E-2</v>
      </c>
      <c r="G343" s="53">
        <v>-4.6199999999999998E-2</v>
      </c>
    </row>
    <row r="344" spans="2:7" x14ac:dyDescent="0.25">
      <c r="B344" s="39">
        <v>35074</v>
      </c>
      <c r="C344" s="64">
        <v>6.3410000000000008E-2</v>
      </c>
      <c r="D344" s="64">
        <v>6.3410000000000008E-2</v>
      </c>
      <c r="E344" s="64">
        <v>6.3410000000000008E-2</v>
      </c>
      <c r="F344" s="64">
        <v>6.3410000000000008E-2</v>
      </c>
      <c r="G344" s="53">
        <v>-5.3999999999999999E-2</v>
      </c>
    </row>
    <row r="345" spans="2:7" x14ac:dyDescent="0.25">
      <c r="B345" s="39">
        <v>35073</v>
      </c>
      <c r="C345" s="64">
        <v>6.7030000000000006E-2</v>
      </c>
      <c r="D345" s="64">
        <v>6.7030000000000006E-2</v>
      </c>
      <c r="E345" s="64">
        <v>6.7030000000000006E-2</v>
      </c>
      <c r="F345" s="64">
        <v>6.7030000000000006E-2</v>
      </c>
      <c r="G345" s="53">
        <v>-3.4799999999999998E-2</v>
      </c>
    </row>
    <row r="346" spans="2:7" x14ac:dyDescent="0.25">
      <c r="B346" s="39">
        <v>35072</v>
      </c>
      <c r="C346" s="64">
        <v>6.9449999999999998E-2</v>
      </c>
      <c r="D346" s="64">
        <v>6.9449999999999998E-2</v>
      </c>
      <c r="E346" s="64">
        <v>6.9449999999999998E-2</v>
      </c>
      <c r="F346" s="64">
        <v>6.9449999999999998E-2</v>
      </c>
      <c r="G346" s="53">
        <v>2.1600000000000001E-2</v>
      </c>
    </row>
    <row r="347" spans="2:7" x14ac:dyDescent="0.25">
      <c r="B347" s="39">
        <v>35071</v>
      </c>
      <c r="C347" s="64">
        <v>6.7979999999999999E-2</v>
      </c>
      <c r="D347" s="64">
        <v>6.7979999999999999E-2</v>
      </c>
      <c r="E347" s="64">
        <v>6.7979999999999999E-2</v>
      </c>
      <c r="F347" s="64">
        <v>6.7979999999999999E-2</v>
      </c>
      <c r="G347" s="53">
        <v>1.2200000000000001E-2</v>
      </c>
    </row>
    <row r="348" spans="2:7" x14ac:dyDescent="0.25">
      <c r="B348" s="39">
        <v>35070</v>
      </c>
      <c r="C348" s="64">
        <v>6.7159999999999997E-2</v>
      </c>
      <c r="D348" s="64">
        <v>6.7159999999999997E-2</v>
      </c>
      <c r="E348" s="64">
        <v>6.7159999999999997E-2</v>
      </c>
      <c r="F348" s="64">
        <v>6.7159999999999997E-2</v>
      </c>
      <c r="G348" s="53">
        <v>-1.9300000000000001E-2</v>
      </c>
    </row>
    <row r="349" spans="2:7" x14ac:dyDescent="0.25">
      <c r="B349" s="39">
        <v>35069</v>
      </c>
      <c r="C349" s="64">
        <v>6.8479999999999999E-2</v>
      </c>
      <c r="D349" s="64">
        <v>6.8479999999999999E-2</v>
      </c>
      <c r="E349" s="64">
        <v>6.8479999999999999E-2</v>
      </c>
      <c r="F349" s="64">
        <v>6.8479999999999999E-2</v>
      </c>
      <c r="G349" s="53">
        <v>2.53E-2</v>
      </c>
    </row>
    <row r="350" spans="2:7" x14ac:dyDescent="0.25">
      <c r="B350" s="39">
        <v>35068</v>
      </c>
      <c r="C350" s="64">
        <v>6.6790000000000002E-2</v>
      </c>
      <c r="D350" s="64">
        <v>6.6790000000000002E-2</v>
      </c>
      <c r="E350" s="64">
        <v>6.6790000000000002E-2</v>
      </c>
      <c r="F350" s="64">
        <v>6.6790000000000002E-2</v>
      </c>
      <c r="G350" s="53">
        <v>5.45E-2</v>
      </c>
    </row>
    <row r="351" spans="2:7" x14ac:dyDescent="0.25">
      <c r="B351" s="39">
        <v>35067</v>
      </c>
      <c r="C351" s="64">
        <v>6.3339999999999994E-2</v>
      </c>
      <c r="D351" s="64">
        <v>6.3339999999999994E-2</v>
      </c>
      <c r="E351" s="64">
        <v>6.3339999999999994E-2</v>
      </c>
      <c r="F351" s="64">
        <v>6.3339999999999994E-2</v>
      </c>
      <c r="G351" s="53">
        <v>3.7900000000000003E-2</v>
      </c>
    </row>
    <row r="352" spans="2:7" x14ac:dyDescent="0.25">
      <c r="B352" s="39">
        <v>35066</v>
      </c>
      <c r="C352" s="64">
        <v>6.1030000000000001E-2</v>
      </c>
      <c r="D352" s="64">
        <v>6.1030000000000001E-2</v>
      </c>
      <c r="E352" s="64">
        <v>6.1030000000000001E-2</v>
      </c>
      <c r="F352" s="64">
        <v>6.1030000000000001E-2</v>
      </c>
      <c r="G352" s="53">
        <v>9.4500000000000001E-2</v>
      </c>
    </row>
    <row r="353" spans="2:7" x14ac:dyDescent="0.25">
      <c r="B353" s="39">
        <v>35065</v>
      </c>
      <c r="C353" s="64">
        <v>5.5759999999999997E-2</v>
      </c>
      <c r="D353" s="64">
        <v>5.5759999999999997E-2</v>
      </c>
      <c r="E353" s="64">
        <v>5.5759999999999997E-2</v>
      </c>
      <c r="F353" s="64">
        <v>5.5759999999999997E-2</v>
      </c>
      <c r="G353" s="53">
        <v>2.0000000000000001E-4</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47A1-911E-4BFB-9805-B0D157EF1BC3}">
  <dimension ref="B2:V250"/>
  <sheetViews>
    <sheetView showGridLines="0" workbookViewId="0">
      <selection activeCell="H10" activeCellId="5" sqref="B3:C3 E3:F3 H4:I4 H6:I6 H8:I8 H10:I10"/>
    </sheetView>
  </sheetViews>
  <sheetFormatPr defaultRowHeight="15" x14ac:dyDescent="0.25"/>
  <cols>
    <col min="1" max="1" width="1.85546875" customWidth="1"/>
    <col min="2" max="2" width="11.42578125" bestFit="1" customWidth="1"/>
    <col min="3" max="3" width="13.85546875" customWidth="1"/>
    <col min="6" max="6" width="18.28515625" bestFit="1" customWidth="1"/>
    <col min="8" max="8" width="20.28515625" bestFit="1" customWidth="1"/>
    <col min="9" max="9" width="6.7109375" bestFit="1" customWidth="1"/>
    <col min="13" max="13" width="11.42578125" bestFit="1" customWidth="1"/>
    <col min="15" max="15" width="9.42578125" bestFit="1" customWidth="1"/>
    <col min="16" max="16" width="10" bestFit="1" customWidth="1"/>
    <col min="17" max="17" width="9.7109375" bestFit="1" customWidth="1"/>
    <col min="18" max="18" width="9.28515625" bestFit="1" customWidth="1"/>
    <col min="19" max="19" width="9.7109375" bestFit="1" customWidth="1"/>
    <col min="20" max="20" width="9.85546875" bestFit="1" customWidth="1"/>
    <col min="21" max="21" width="9.5703125" bestFit="1" customWidth="1"/>
    <col min="22" max="22" width="10.140625" bestFit="1" customWidth="1"/>
  </cols>
  <sheetData>
    <row r="2" spans="2:22" x14ac:dyDescent="0.25">
      <c r="B2" s="33" t="s">
        <v>80</v>
      </c>
    </row>
    <row r="3" spans="2:22" x14ac:dyDescent="0.25">
      <c r="B3" s="78" t="s">
        <v>0</v>
      </c>
      <c r="C3" s="80" t="s">
        <v>102</v>
      </c>
      <c r="E3" s="78" t="s">
        <v>0</v>
      </c>
      <c r="F3" s="78" t="s">
        <v>103</v>
      </c>
      <c r="M3" s="27"/>
    </row>
    <row r="4" spans="2:22" x14ac:dyDescent="0.25">
      <c r="B4" s="38">
        <v>39721</v>
      </c>
      <c r="C4" s="64">
        <v>4.2200000000000001E-2</v>
      </c>
      <c r="E4" s="32">
        <v>2008</v>
      </c>
      <c r="F4" s="14">
        <f>AVERAGEIFS($C$4:$C$201,$B$4:$B$201,"&gt;="&amp;DATE(E4,1,1),$B$4:$B$201,"&lt;="&amp;DATE(E4,12,31))</f>
        <v>5.3074999999999997E-2</v>
      </c>
      <c r="H4" s="78" t="s">
        <v>81</v>
      </c>
      <c r="I4" s="78" t="s">
        <v>83</v>
      </c>
      <c r="J4" s="20">
        <f>AVERAGE(F6:F20)</f>
        <v>5.5121666666666666E-2</v>
      </c>
      <c r="M4" s="29"/>
      <c r="N4" s="30"/>
    </row>
    <row r="5" spans="2:22" x14ac:dyDescent="0.25">
      <c r="B5" s="38">
        <f>EOMONTH(B4,1)</f>
        <v>39752</v>
      </c>
      <c r="C5" s="64">
        <v>4.5100000000000001E-2</v>
      </c>
      <c r="E5" s="32">
        <f>E4+1</f>
        <v>2009</v>
      </c>
      <c r="F5" s="14">
        <f t="shared" ref="F5:F20" si="0">AVERAGEIFS($C$4:$C$201,$B$4:$B$201,"&gt;="&amp;DATE(E5,1,1),$B$4:$B$201,"&lt;="&amp;DATE(E5,12,31))</f>
        <v>5.9524999999999995E-2</v>
      </c>
      <c r="H5" s="22"/>
      <c r="I5" s="22"/>
      <c r="M5" s="29"/>
      <c r="N5" s="30"/>
    </row>
    <row r="6" spans="2:22" x14ac:dyDescent="0.25">
      <c r="B6" s="38">
        <f t="shared" ref="B6:B69" si="1">EOMONTH(B5,1)</f>
        <v>39782</v>
      </c>
      <c r="C6" s="64">
        <v>5.8999999999999997E-2</v>
      </c>
      <c r="E6" s="32">
        <f t="shared" ref="E6:E20" si="2">E5+1</f>
        <v>2010</v>
      </c>
      <c r="F6" s="14">
        <f t="shared" si="0"/>
        <v>4.7774999999999991E-2</v>
      </c>
      <c r="H6" s="78" t="s">
        <v>81</v>
      </c>
      <c r="I6" s="78" t="s">
        <v>15</v>
      </c>
      <c r="J6" s="20">
        <f>AVERAGE(F11:F20)</f>
        <v>5.4604999999999994E-2</v>
      </c>
      <c r="M6" s="29"/>
      <c r="N6" s="30"/>
      <c r="O6" s="28"/>
      <c r="P6" s="28"/>
      <c r="Q6" s="28"/>
      <c r="R6" s="28"/>
      <c r="S6" s="28"/>
      <c r="T6" s="28"/>
      <c r="U6" s="28"/>
      <c r="V6" s="28"/>
    </row>
    <row r="7" spans="2:22" x14ac:dyDescent="0.25">
      <c r="B7" s="38">
        <f t="shared" si="1"/>
        <v>39813</v>
      </c>
      <c r="C7" s="64">
        <v>6.6000000000000003E-2</v>
      </c>
      <c r="E7" s="32">
        <f t="shared" si="2"/>
        <v>2011</v>
      </c>
      <c r="F7" s="14">
        <f t="shared" si="0"/>
        <v>5.7983333333333331E-2</v>
      </c>
      <c r="H7" s="22"/>
      <c r="I7" s="22"/>
      <c r="M7" s="29"/>
      <c r="N7" s="30"/>
    </row>
    <row r="8" spans="2:22" x14ac:dyDescent="0.25">
      <c r="B8" s="38">
        <f t="shared" si="1"/>
        <v>39844</v>
      </c>
      <c r="C8" s="64">
        <v>6.4299999999999996E-2</v>
      </c>
      <c r="E8" s="32">
        <f t="shared" si="2"/>
        <v>2012</v>
      </c>
      <c r="F8" s="14">
        <f t="shared" si="0"/>
        <v>6.7133333333333337E-2</v>
      </c>
      <c r="H8" s="78" t="s">
        <v>81</v>
      </c>
      <c r="I8" s="78" t="s">
        <v>84</v>
      </c>
      <c r="J8" s="20">
        <f>AVERAGE(F14:F20)</f>
        <v>5.3184523809523807E-2</v>
      </c>
      <c r="M8" s="29"/>
      <c r="N8" s="30"/>
    </row>
    <row r="9" spans="2:22" x14ac:dyDescent="0.25">
      <c r="B9" s="38">
        <f t="shared" si="1"/>
        <v>39872</v>
      </c>
      <c r="C9" s="64">
        <v>6.8699999999999997E-2</v>
      </c>
      <c r="E9" s="32">
        <f t="shared" si="2"/>
        <v>2013</v>
      </c>
      <c r="F9" s="14">
        <f t="shared" si="0"/>
        <v>5.5833333333333325E-2</v>
      </c>
      <c r="M9" s="29"/>
      <c r="N9" s="30"/>
    </row>
    <row r="10" spans="2:22" x14ac:dyDescent="0.25">
      <c r="B10" s="38">
        <f t="shared" si="1"/>
        <v>39903</v>
      </c>
      <c r="C10" s="64">
        <v>7.6799999999999993E-2</v>
      </c>
      <c r="E10" s="32">
        <f t="shared" si="2"/>
        <v>2014</v>
      </c>
      <c r="F10" s="14">
        <f t="shared" si="0"/>
        <v>5.2050000000000006E-2</v>
      </c>
      <c r="H10" s="78" t="s">
        <v>81</v>
      </c>
      <c r="I10" s="78" t="s">
        <v>85</v>
      </c>
      <c r="J10" s="20">
        <f>AVERAGE(F16:F20)</f>
        <v>5.2785000000000006E-2</v>
      </c>
      <c r="M10" s="29"/>
      <c r="N10" s="30"/>
    </row>
    <row r="11" spans="2:22" x14ac:dyDescent="0.25">
      <c r="B11" s="38">
        <f t="shared" si="1"/>
        <v>39933</v>
      </c>
      <c r="C11" s="64">
        <v>7.0099999999999996E-2</v>
      </c>
      <c r="E11" s="32">
        <f t="shared" si="2"/>
        <v>2015</v>
      </c>
      <c r="F11" s="14">
        <f t="shared" si="0"/>
        <v>5.9758333333333337E-2</v>
      </c>
      <c r="M11" s="29"/>
      <c r="N11" s="30"/>
    </row>
    <row r="12" spans="2:22" x14ac:dyDescent="0.25">
      <c r="B12" s="38">
        <f t="shared" si="1"/>
        <v>39964</v>
      </c>
      <c r="C12" s="64">
        <v>6.3200000000000006E-2</v>
      </c>
      <c r="E12" s="32">
        <f t="shared" si="2"/>
        <v>2016</v>
      </c>
      <c r="F12" s="14">
        <f t="shared" si="0"/>
        <v>6.2091666666666663E-2</v>
      </c>
      <c r="M12" s="29"/>
      <c r="N12" s="30"/>
    </row>
    <row r="13" spans="2:22" x14ac:dyDescent="0.25">
      <c r="B13" s="38">
        <f t="shared" si="1"/>
        <v>39994</v>
      </c>
      <c r="C13" s="64">
        <v>5.9400000000000001E-2</v>
      </c>
      <c r="E13" s="32">
        <f t="shared" si="2"/>
        <v>2017</v>
      </c>
      <c r="F13" s="14">
        <f t="shared" si="0"/>
        <v>5.1908333333333334E-2</v>
      </c>
      <c r="M13" s="29"/>
      <c r="N13" s="30"/>
    </row>
    <row r="14" spans="2:22" x14ac:dyDescent="0.25">
      <c r="B14" s="38">
        <f t="shared" si="1"/>
        <v>40025</v>
      </c>
      <c r="C14" s="64">
        <v>5.8599999999999999E-2</v>
      </c>
      <c r="E14" s="32">
        <f t="shared" si="2"/>
        <v>2018</v>
      </c>
      <c r="F14" s="14">
        <f t="shared" si="0"/>
        <v>5.2199999999999996E-2</v>
      </c>
      <c r="M14" s="29"/>
      <c r="N14" s="30"/>
    </row>
    <row r="15" spans="2:22" x14ac:dyDescent="0.25">
      <c r="B15" s="38">
        <f t="shared" si="1"/>
        <v>40056</v>
      </c>
      <c r="C15" s="64">
        <v>5.4600000000000003E-2</v>
      </c>
      <c r="E15" s="32">
        <f t="shared" si="2"/>
        <v>2019</v>
      </c>
      <c r="F15" s="14">
        <f t="shared" si="0"/>
        <v>5.616666666666667E-2</v>
      </c>
      <c r="M15" s="29"/>
      <c r="N15" s="30"/>
    </row>
    <row r="16" spans="2:22" x14ac:dyDescent="0.25">
      <c r="B16" s="38">
        <f t="shared" si="1"/>
        <v>40086</v>
      </c>
      <c r="C16" s="64">
        <v>5.2999999999999999E-2</v>
      </c>
      <c r="E16" s="32">
        <f t="shared" si="2"/>
        <v>2020</v>
      </c>
      <c r="F16" s="14">
        <f t="shared" si="0"/>
        <v>5.2233333333333326E-2</v>
      </c>
      <c r="M16" s="29"/>
      <c r="N16" s="30"/>
    </row>
    <row r="17" spans="2:14" x14ac:dyDescent="0.25">
      <c r="B17" s="38">
        <f t="shared" si="1"/>
        <v>40117</v>
      </c>
      <c r="C17" s="64">
        <v>4.8599999999999997E-2</v>
      </c>
      <c r="E17" s="32">
        <f t="shared" si="2"/>
        <v>2021</v>
      </c>
      <c r="F17" s="14">
        <f t="shared" si="0"/>
        <v>4.3450000000000009E-2</v>
      </c>
      <c r="M17" s="29"/>
      <c r="N17" s="30"/>
    </row>
    <row r="18" spans="2:14" x14ac:dyDescent="0.25">
      <c r="B18" s="38">
        <f t="shared" si="1"/>
        <v>40147</v>
      </c>
      <c r="C18" s="64">
        <v>4.9700000000000001E-2</v>
      </c>
      <c r="E18" s="32">
        <f t="shared" si="2"/>
        <v>2022</v>
      </c>
      <c r="F18" s="14">
        <f t="shared" si="0"/>
        <v>5.1933333333333331E-2</v>
      </c>
      <c r="M18" s="29"/>
      <c r="N18" s="30"/>
    </row>
    <row r="19" spans="2:14" x14ac:dyDescent="0.25">
      <c r="B19" s="38">
        <f t="shared" si="1"/>
        <v>40178</v>
      </c>
      <c r="C19" s="64">
        <v>4.7300000000000002E-2</v>
      </c>
      <c r="E19" s="32">
        <f t="shared" si="2"/>
        <v>2023</v>
      </c>
      <c r="F19" s="14">
        <f t="shared" si="0"/>
        <v>5.6641666666666667E-2</v>
      </c>
      <c r="M19" s="29"/>
      <c r="N19" s="30"/>
    </row>
    <row r="20" spans="2:14" x14ac:dyDescent="0.25">
      <c r="B20" s="38">
        <f t="shared" si="1"/>
        <v>40209</v>
      </c>
      <c r="C20" s="64">
        <v>4.36E-2</v>
      </c>
      <c r="E20" s="32">
        <f t="shared" si="2"/>
        <v>2024</v>
      </c>
      <c r="F20" s="14">
        <f t="shared" si="0"/>
        <v>5.9666666666666666E-2</v>
      </c>
      <c r="M20" s="29"/>
      <c r="N20" s="30"/>
    </row>
    <row r="21" spans="2:14" x14ac:dyDescent="0.25">
      <c r="B21" s="38">
        <f t="shared" si="1"/>
        <v>40237</v>
      </c>
      <c r="C21" s="64">
        <v>4.5600000000000002E-2</v>
      </c>
      <c r="M21" s="29"/>
      <c r="N21" s="30"/>
    </row>
    <row r="22" spans="2:14" x14ac:dyDescent="0.25">
      <c r="B22" s="38">
        <f t="shared" si="1"/>
        <v>40268</v>
      </c>
      <c r="C22" s="64">
        <v>4.4400000000000002E-2</v>
      </c>
      <c r="E22" s="51" t="s">
        <v>123</v>
      </c>
      <c r="M22" s="29"/>
      <c r="N22" s="30"/>
    </row>
    <row r="23" spans="2:14" x14ac:dyDescent="0.25">
      <c r="B23" s="38">
        <f t="shared" si="1"/>
        <v>40298</v>
      </c>
      <c r="C23" s="64">
        <v>4.1599999999999998E-2</v>
      </c>
      <c r="M23" s="29"/>
      <c r="N23" s="30"/>
    </row>
    <row r="24" spans="2:14" x14ac:dyDescent="0.25">
      <c r="B24" s="38">
        <f t="shared" si="1"/>
        <v>40329</v>
      </c>
      <c r="C24" s="64">
        <v>4.5400000000000003E-2</v>
      </c>
      <c r="M24" s="29"/>
      <c r="N24" s="30"/>
    </row>
    <row r="25" spans="2:14" x14ac:dyDescent="0.25">
      <c r="B25" s="38">
        <f t="shared" si="1"/>
        <v>40359</v>
      </c>
      <c r="C25" s="64">
        <v>4.7899999999999998E-2</v>
      </c>
      <c r="M25" s="29"/>
      <c r="N25" s="30"/>
    </row>
    <row r="26" spans="2:14" x14ac:dyDescent="0.25">
      <c r="B26" s="38">
        <f t="shared" si="1"/>
        <v>40390</v>
      </c>
      <c r="C26" s="64">
        <v>5.0999999999999997E-2</v>
      </c>
      <c r="M26" s="29"/>
      <c r="N26" s="30"/>
    </row>
    <row r="27" spans="2:14" x14ac:dyDescent="0.25">
      <c r="B27" s="38">
        <f t="shared" si="1"/>
        <v>40421</v>
      </c>
      <c r="C27" s="64">
        <v>4.7800000000000002E-2</v>
      </c>
      <c r="M27" s="29"/>
      <c r="N27" s="30"/>
    </row>
    <row r="28" spans="2:14" x14ac:dyDescent="0.25">
      <c r="B28" s="38">
        <f t="shared" si="1"/>
        <v>40451</v>
      </c>
      <c r="C28" s="64">
        <v>5.0999999999999997E-2</v>
      </c>
      <c r="M28" s="29"/>
      <c r="N28" s="30"/>
    </row>
    <row r="29" spans="2:14" x14ac:dyDescent="0.25">
      <c r="B29" s="38">
        <f t="shared" si="1"/>
        <v>40482</v>
      </c>
      <c r="C29" s="64">
        <v>5.3100000000000001E-2</v>
      </c>
      <c r="M29" s="29"/>
      <c r="N29" s="30"/>
    </row>
    <row r="30" spans="2:14" x14ac:dyDescent="0.25">
      <c r="B30" s="38">
        <f t="shared" si="1"/>
        <v>40512</v>
      </c>
      <c r="C30" s="64">
        <v>5.11E-2</v>
      </c>
      <c r="M30" s="29"/>
      <c r="N30" s="30"/>
    </row>
    <row r="31" spans="2:14" x14ac:dyDescent="0.25">
      <c r="B31" s="38">
        <f t="shared" si="1"/>
        <v>40543</v>
      </c>
      <c r="C31" s="64">
        <v>5.0799999999999998E-2</v>
      </c>
      <c r="M31" s="29"/>
      <c r="N31" s="30"/>
    </row>
    <row r="32" spans="2:14" x14ac:dyDescent="0.25">
      <c r="B32" s="38">
        <f t="shared" si="1"/>
        <v>40574</v>
      </c>
      <c r="C32" s="64">
        <v>5.1999999999999998E-2</v>
      </c>
      <c r="M32" s="29"/>
      <c r="N32" s="30"/>
    </row>
    <row r="33" spans="2:14" x14ac:dyDescent="0.25">
      <c r="B33" s="38">
        <f t="shared" si="1"/>
        <v>40602</v>
      </c>
      <c r="C33" s="64">
        <v>5.0700000000000002E-2</v>
      </c>
      <c r="M33" s="29"/>
      <c r="N33" s="30"/>
    </row>
    <row r="34" spans="2:14" x14ac:dyDescent="0.25">
      <c r="B34" s="38">
        <f t="shared" si="1"/>
        <v>40633</v>
      </c>
      <c r="C34" s="64">
        <v>4.9000000000000002E-2</v>
      </c>
      <c r="M34" s="29"/>
      <c r="N34" s="30"/>
    </row>
    <row r="35" spans="2:14" x14ac:dyDescent="0.25">
      <c r="B35" s="38">
        <f t="shared" si="1"/>
        <v>40663</v>
      </c>
      <c r="C35" s="64">
        <v>5.3099999999999994E-2</v>
      </c>
      <c r="M35" s="29"/>
      <c r="N35" s="30"/>
    </row>
    <row r="36" spans="2:14" x14ac:dyDescent="0.25">
      <c r="B36" s="38">
        <f t="shared" si="1"/>
        <v>40694</v>
      </c>
      <c r="C36" s="64">
        <v>5.16E-2</v>
      </c>
      <c r="M36" s="29"/>
      <c r="N36" s="30"/>
    </row>
    <row r="37" spans="2:14" x14ac:dyDescent="0.25">
      <c r="B37" s="38">
        <f t="shared" si="1"/>
        <v>40724</v>
      </c>
      <c r="C37" s="64">
        <v>5.2699999999999997E-2</v>
      </c>
      <c r="M37" s="29"/>
      <c r="N37" s="30"/>
    </row>
    <row r="38" spans="2:14" x14ac:dyDescent="0.25">
      <c r="B38" s="38">
        <f t="shared" si="1"/>
        <v>40755</v>
      </c>
      <c r="C38" s="64">
        <v>5.7200000000000001E-2</v>
      </c>
      <c r="M38" s="29"/>
      <c r="N38" s="30"/>
    </row>
    <row r="39" spans="2:14" x14ac:dyDescent="0.25">
      <c r="B39" s="38">
        <f t="shared" si="1"/>
        <v>40786</v>
      </c>
      <c r="C39" s="64">
        <v>5.9200000000000003E-2</v>
      </c>
      <c r="M39" s="29"/>
      <c r="N39" s="30"/>
    </row>
    <row r="40" spans="2:14" x14ac:dyDescent="0.25">
      <c r="B40" s="38">
        <f t="shared" si="1"/>
        <v>40816</v>
      </c>
      <c r="C40" s="64">
        <v>6.3899999999999998E-2</v>
      </c>
      <c r="M40" s="29"/>
      <c r="N40" s="30"/>
    </row>
    <row r="41" spans="2:14" x14ac:dyDescent="0.25">
      <c r="B41" s="38">
        <f t="shared" si="1"/>
        <v>40847</v>
      </c>
      <c r="C41" s="64">
        <v>7.6399999999999996E-2</v>
      </c>
      <c r="M41" s="29"/>
      <c r="N41" s="30"/>
    </row>
    <row r="42" spans="2:14" x14ac:dyDescent="0.25">
      <c r="B42" s="38">
        <f t="shared" si="1"/>
        <v>40877</v>
      </c>
      <c r="C42" s="64">
        <v>6.4899999999999999E-2</v>
      </c>
      <c r="M42" s="29"/>
      <c r="N42" s="30"/>
    </row>
    <row r="43" spans="2:14" x14ac:dyDescent="0.25">
      <c r="B43" s="38">
        <f t="shared" si="1"/>
        <v>40908</v>
      </c>
      <c r="C43" s="64">
        <v>6.5100000000000005E-2</v>
      </c>
      <c r="M43" s="29"/>
      <c r="N43" s="30"/>
    </row>
    <row r="44" spans="2:14" x14ac:dyDescent="0.25">
      <c r="B44" s="38">
        <f t="shared" si="1"/>
        <v>40939</v>
      </c>
      <c r="C44" s="64">
        <v>7.3200000000000001E-2</v>
      </c>
      <c r="M44" s="29"/>
      <c r="N44" s="30"/>
    </row>
    <row r="45" spans="2:14" x14ac:dyDescent="0.25">
      <c r="B45" s="38">
        <f t="shared" si="1"/>
        <v>40968</v>
      </c>
      <c r="C45" s="64">
        <v>7.0400000000000004E-2</v>
      </c>
      <c r="M45" s="29"/>
      <c r="N45" s="30"/>
    </row>
    <row r="46" spans="2:14" x14ac:dyDescent="0.25">
      <c r="B46" s="38">
        <f t="shared" si="1"/>
        <v>40999</v>
      </c>
      <c r="C46" s="64">
        <v>6.7299999999999999E-2</v>
      </c>
      <c r="M46" s="29"/>
      <c r="N46" s="30"/>
    </row>
    <row r="47" spans="2:14" x14ac:dyDescent="0.25">
      <c r="B47" s="38">
        <f t="shared" si="1"/>
        <v>41029</v>
      </c>
      <c r="C47" s="64">
        <v>6.6400000000000001E-2</v>
      </c>
      <c r="M47" s="29"/>
      <c r="N47" s="30"/>
    </row>
    <row r="48" spans="2:14" x14ac:dyDescent="0.25">
      <c r="B48" s="38">
        <f t="shared" si="1"/>
        <v>41060</v>
      </c>
      <c r="C48" s="64">
        <v>6.7599999999999993E-2</v>
      </c>
      <c r="M48" s="29"/>
      <c r="N48" s="30"/>
    </row>
    <row r="49" spans="2:14" x14ac:dyDescent="0.25">
      <c r="B49" s="38">
        <f t="shared" si="1"/>
        <v>41090</v>
      </c>
      <c r="C49" s="64">
        <v>7.2800000000000004E-2</v>
      </c>
      <c r="M49" s="29"/>
      <c r="N49" s="30"/>
    </row>
    <row r="50" spans="2:14" x14ac:dyDescent="0.25">
      <c r="B50" s="38">
        <f t="shared" si="1"/>
        <v>41121</v>
      </c>
      <c r="C50" s="64">
        <v>6.59E-2</v>
      </c>
      <c r="M50" s="29"/>
      <c r="N50" s="30"/>
    </row>
    <row r="51" spans="2:14" x14ac:dyDescent="0.25">
      <c r="B51" s="38">
        <f t="shared" si="1"/>
        <v>41152</v>
      </c>
      <c r="C51" s="64">
        <v>6.5500000000000003E-2</v>
      </c>
      <c r="M51" s="29"/>
      <c r="N51" s="30"/>
    </row>
    <row r="52" spans="2:14" x14ac:dyDescent="0.25">
      <c r="B52" s="38">
        <f t="shared" si="1"/>
        <v>41182</v>
      </c>
      <c r="C52" s="64">
        <v>6.4100000000000004E-2</v>
      </c>
      <c r="M52" s="29"/>
      <c r="N52" s="30"/>
    </row>
    <row r="53" spans="2:14" x14ac:dyDescent="0.25">
      <c r="B53" s="38">
        <f t="shared" si="1"/>
        <v>41213</v>
      </c>
      <c r="C53" s="64">
        <v>6.3500000000000001E-2</v>
      </c>
      <c r="M53" s="29"/>
      <c r="N53" s="30"/>
    </row>
    <row r="54" spans="2:14" x14ac:dyDescent="0.25">
      <c r="B54" s="38">
        <f t="shared" si="1"/>
        <v>41243</v>
      </c>
      <c r="C54" s="64">
        <v>6.4399999999999999E-2</v>
      </c>
      <c r="M54" s="29"/>
      <c r="N54" s="30"/>
    </row>
    <row r="55" spans="2:14" x14ac:dyDescent="0.25">
      <c r="B55" s="38">
        <f t="shared" si="1"/>
        <v>41274</v>
      </c>
      <c r="C55" s="64">
        <v>6.4500000000000002E-2</v>
      </c>
      <c r="M55" s="29"/>
      <c r="N55" s="30"/>
    </row>
    <row r="56" spans="2:14" x14ac:dyDescent="0.25">
      <c r="B56" s="38">
        <f t="shared" si="1"/>
        <v>41305</v>
      </c>
      <c r="C56" s="64">
        <v>0.06</v>
      </c>
      <c r="M56" s="29"/>
      <c r="N56" s="30"/>
    </row>
    <row r="57" spans="2:14" x14ac:dyDescent="0.25">
      <c r="B57" s="38">
        <f t="shared" si="1"/>
        <v>41333</v>
      </c>
      <c r="C57" s="64">
        <v>5.67E-2</v>
      </c>
      <c r="M57" s="29"/>
      <c r="N57" s="30"/>
    </row>
    <row r="58" spans="2:14" x14ac:dyDescent="0.25">
      <c r="B58" s="38">
        <f t="shared" si="1"/>
        <v>41364</v>
      </c>
      <c r="C58" s="64">
        <v>5.6500000000000002E-2</v>
      </c>
      <c r="M58" s="29"/>
      <c r="N58" s="30"/>
    </row>
    <row r="59" spans="2:14" x14ac:dyDescent="0.25">
      <c r="B59" s="38">
        <f t="shared" si="1"/>
        <v>41394</v>
      </c>
      <c r="C59" s="64">
        <v>5.6800000000000003E-2</v>
      </c>
      <c r="M59" s="29"/>
      <c r="N59" s="30"/>
    </row>
    <row r="60" spans="2:14" x14ac:dyDescent="0.25">
      <c r="B60" s="38">
        <f t="shared" si="1"/>
        <v>41425</v>
      </c>
      <c r="C60" s="64">
        <v>5.6000000000000001E-2</v>
      </c>
      <c r="M60" s="29"/>
      <c r="N60" s="30"/>
    </row>
    <row r="61" spans="2:14" x14ac:dyDescent="0.25">
      <c r="B61" s="38">
        <f t="shared" si="1"/>
        <v>41455</v>
      </c>
      <c r="C61" s="64">
        <v>5.45E-2</v>
      </c>
      <c r="M61" s="29"/>
      <c r="N61" s="30"/>
    </row>
    <row r="62" spans="2:14" x14ac:dyDescent="0.25">
      <c r="B62" s="38">
        <f t="shared" si="1"/>
        <v>41486</v>
      </c>
      <c r="C62" s="64">
        <v>5.7300000000000004E-2</v>
      </c>
      <c r="M62" s="29"/>
      <c r="N62" s="30"/>
    </row>
    <row r="63" spans="2:14" x14ac:dyDescent="0.25">
      <c r="B63" s="38">
        <f t="shared" si="1"/>
        <v>41517</v>
      </c>
      <c r="C63" s="64">
        <v>5.4600000000000003E-2</v>
      </c>
      <c r="M63" s="29"/>
      <c r="N63" s="30"/>
    </row>
    <row r="64" spans="2:14" x14ac:dyDescent="0.25">
      <c r="B64" s="38">
        <f t="shared" si="1"/>
        <v>41547</v>
      </c>
      <c r="C64" s="64">
        <v>5.62E-2</v>
      </c>
      <c r="M64" s="29"/>
      <c r="N64" s="30"/>
    </row>
    <row r="65" spans="2:14" x14ac:dyDescent="0.25">
      <c r="B65" s="38">
        <f t="shared" si="1"/>
        <v>41578</v>
      </c>
      <c r="C65" s="64">
        <v>5.5899999999999998E-2</v>
      </c>
      <c r="M65" s="29"/>
      <c r="N65" s="30"/>
    </row>
    <row r="66" spans="2:14" x14ac:dyDescent="0.25">
      <c r="B66" s="38">
        <f t="shared" si="1"/>
        <v>41608</v>
      </c>
      <c r="C66" s="64">
        <v>5.3600000000000002E-2</v>
      </c>
      <c r="M66" s="29"/>
      <c r="N66" s="30"/>
    </row>
    <row r="67" spans="2:14" x14ac:dyDescent="0.25">
      <c r="B67" s="38">
        <f t="shared" si="1"/>
        <v>41639</v>
      </c>
      <c r="C67" s="64">
        <v>5.1900000000000002E-2</v>
      </c>
      <c r="M67" s="29"/>
      <c r="N67" s="30"/>
    </row>
    <row r="68" spans="2:14" x14ac:dyDescent="0.25">
      <c r="B68" s="38">
        <f t="shared" si="1"/>
        <v>41670</v>
      </c>
      <c r="C68" s="64">
        <v>4.9599999999999998E-2</v>
      </c>
      <c r="M68" s="29"/>
      <c r="N68" s="30"/>
    </row>
    <row r="69" spans="2:14" x14ac:dyDescent="0.25">
      <c r="B69" s="38">
        <f t="shared" si="1"/>
        <v>41698</v>
      </c>
      <c r="C69" s="64">
        <v>5.1699999999999996E-2</v>
      </c>
      <c r="M69" s="29"/>
      <c r="N69" s="30"/>
    </row>
    <row r="70" spans="2:14" x14ac:dyDescent="0.25">
      <c r="B70" s="38">
        <f t="shared" ref="B70:B133" si="3">EOMONTH(B69,1)</f>
        <v>41729</v>
      </c>
      <c r="C70" s="64">
        <v>4.9599999999999998E-2</v>
      </c>
      <c r="M70" s="29"/>
      <c r="N70" s="30"/>
    </row>
    <row r="71" spans="2:14" x14ac:dyDescent="0.25">
      <c r="B71" s="38">
        <f t="shared" si="3"/>
        <v>41759</v>
      </c>
      <c r="C71" s="64">
        <v>5.1499999999999997E-2</v>
      </c>
      <c r="M71" s="29"/>
      <c r="N71" s="30"/>
    </row>
    <row r="72" spans="2:14" x14ac:dyDescent="0.25">
      <c r="B72" s="38">
        <f t="shared" si="3"/>
        <v>41790</v>
      </c>
      <c r="C72" s="64">
        <v>5.1200000000000002E-2</v>
      </c>
      <c r="M72" s="29"/>
      <c r="N72" s="30"/>
    </row>
    <row r="73" spans="2:14" x14ac:dyDescent="0.25">
      <c r="B73" s="38">
        <f t="shared" si="3"/>
        <v>41820</v>
      </c>
      <c r="C73" s="64">
        <v>5.0299999999999997E-2</v>
      </c>
      <c r="M73" s="29"/>
      <c r="N73" s="30"/>
    </row>
    <row r="74" spans="2:14" x14ac:dyDescent="0.25">
      <c r="B74" s="38">
        <f t="shared" si="3"/>
        <v>41851</v>
      </c>
      <c r="C74" s="64">
        <v>5.3800000000000001E-2</v>
      </c>
      <c r="M74" s="29"/>
      <c r="N74" s="30"/>
    </row>
    <row r="75" spans="2:14" x14ac:dyDescent="0.25">
      <c r="B75" s="38">
        <f t="shared" si="3"/>
        <v>41882</v>
      </c>
      <c r="C75" s="64">
        <v>5.45E-2</v>
      </c>
      <c r="M75" s="29"/>
      <c r="N75" s="30"/>
    </row>
    <row r="76" spans="2:14" x14ac:dyDescent="0.25">
      <c r="B76" s="38">
        <f t="shared" si="3"/>
        <v>41912</v>
      </c>
      <c r="C76" s="64">
        <v>5.28E-2</v>
      </c>
      <c r="M76" s="29"/>
      <c r="N76" s="30"/>
    </row>
    <row r="77" spans="2:14" x14ac:dyDescent="0.25">
      <c r="B77" s="38">
        <f t="shared" si="3"/>
        <v>41943</v>
      </c>
      <c r="C77" s="64">
        <v>5.4300000000000001E-2</v>
      </c>
      <c r="M77" s="29"/>
      <c r="N77" s="30"/>
    </row>
    <row r="78" spans="2:14" x14ac:dyDescent="0.25">
      <c r="B78" s="38">
        <f t="shared" si="3"/>
        <v>41973</v>
      </c>
      <c r="C78" s="64">
        <v>5.3199999999999997E-2</v>
      </c>
      <c r="M78" s="29"/>
      <c r="N78" s="30"/>
    </row>
    <row r="79" spans="2:14" x14ac:dyDescent="0.25">
      <c r="B79" s="38">
        <f t="shared" si="3"/>
        <v>42004</v>
      </c>
      <c r="C79" s="64">
        <v>5.21E-2</v>
      </c>
      <c r="M79" s="29"/>
      <c r="N79" s="30"/>
    </row>
    <row r="80" spans="2:14" x14ac:dyDescent="0.25">
      <c r="B80" s="38">
        <f t="shared" si="3"/>
        <v>42035</v>
      </c>
      <c r="C80" s="64">
        <v>5.7800000000000004E-2</v>
      </c>
      <c r="M80" s="29"/>
      <c r="N80" s="30"/>
    </row>
    <row r="81" spans="2:14" x14ac:dyDescent="0.25">
      <c r="B81" s="38">
        <f t="shared" si="3"/>
        <v>42063</v>
      </c>
      <c r="C81" s="64">
        <v>6.0100000000000001E-2</v>
      </c>
      <c r="M81" s="29"/>
      <c r="N81" s="30"/>
    </row>
    <row r="82" spans="2:14" x14ac:dyDescent="0.25">
      <c r="B82" s="38">
        <f t="shared" si="3"/>
        <v>42094</v>
      </c>
      <c r="C82" s="64">
        <v>5.67E-2</v>
      </c>
      <c r="M82" s="29"/>
      <c r="N82" s="30"/>
    </row>
    <row r="83" spans="2:14" x14ac:dyDescent="0.25">
      <c r="B83" s="38">
        <f t="shared" si="3"/>
        <v>42124</v>
      </c>
      <c r="C83" s="64">
        <v>5.8600000000000006E-2</v>
      </c>
      <c r="M83" s="29"/>
      <c r="N83" s="30"/>
    </row>
    <row r="84" spans="2:14" x14ac:dyDescent="0.25">
      <c r="B84" s="38">
        <f t="shared" si="3"/>
        <v>42155</v>
      </c>
      <c r="C84" s="64">
        <v>5.8000000000000003E-2</v>
      </c>
      <c r="M84" s="29"/>
      <c r="N84" s="30"/>
    </row>
    <row r="85" spans="2:14" x14ac:dyDescent="0.25">
      <c r="B85" s="38">
        <f t="shared" si="3"/>
        <v>42185</v>
      </c>
      <c r="C85" s="64">
        <v>5.74E-2</v>
      </c>
      <c r="M85" s="29"/>
      <c r="N85" s="30"/>
    </row>
    <row r="86" spans="2:14" x14ac:dyDescent="0.25">
      <c r="B86" s="38">
        <f t="shared" si="3"/>
        <v>42216</v>
      </c>
      <c r="C86" s="64">
        <v>5.8099999999999999E-2</v>
      </c>
      <c r="M86" s="29"/>
      <c r="N86" s="30"/>
    </row>
    <row r="87" spans="2:14" x14ac:dyDescent="0.25">
      <c r="B87" s="38">
        <f t="shared" si="3"/>
        <v>42247</v>
      </c>
      <c r="C87" s="64">
        <v>5.8999999999999997E-2</v>
      </c>
      <c r="M87" s="29"/>
      <c r="N87" s="30"/>
    </row>
    <row r="88" spans="2:14" x14ac:dyDescent="0.25">
      <c r="B88" s="38">
        <f t="shared" si="3"/>
        <v>42277</v>
      </c>
      <c r="C88" s="64">
        <v>6.2800000000000009E-2</v>
      </c>
      <c r="M88" s="29"/>
      <c r="N88" s="30"/>
    </row>
    <row r="89" spans="2:14" x14ac:dyDescent="0.25">
      <c r="B89" s="38">
        <f t="shared" si="3"/>
        <v>42308</v>
      </c>
      <c r="C89" s="64">
        <v>6.6299999999999998E-2</v>
      </c>
      <c r="M89" s="29"/>
      <c r="N89" s="30"/>
    </row>
    <row r="90" spans="2:14" x14ac:dyDescent="0.25">
      <c r="B90" s="38">
        <f t="shared" si="3"/>
        <v>42338</v>
      </c>
      <c r="C90" s="64">
        <v>6.1199999999999997E-2</v>
      </c>
      <c r="M90" s="29"/>
      <c r="N90" s="30"/>
    </row>
    <row r="91" spans="2:14" x14ac:dyDescent="0.25">
      <c r="B91" s="38">
        <f t="shared" si="3"/>
        <v>42369</v>
      </c>
      <c r="C91" s="64">
        <v>6.1100000000000002E-2</v>
      </c>
      <c r="M91" s="29"/>
      <c r="N91" s="30"/>
    </row>
    <row r="92" spans="2:14" x14ac:dyDescent="0.25">
      <c r="B92" s="38">
        <f t="shared" si="3"/>
        <v>42400</v>
      </c>
      <c r="C92" s="64">
        <v>6.1199999999999997E-2</v>
      </c>
      <c r="M92" s="29"/>
      <c r="N92" s="30"/>
    </row>
    <row r="93" spans="2:14" x14ac:dyDescent="0.25">
      <c r="B93" s="38">
        <f t="shared" si="3"/>
        <v>42429</v>
      </c>
      <c r="C93" s="64">
        <v>6.4699999999999994E-2</v>
      </c>
      <c r="M93" s="29"/>
      <c r="N93" s="30"/>
    </row>
    <row r="94" spans="2:14" x14ac:dyDescent="0.25">
      <c r="B94" s="38">
        <f t="shared" si="3"/>
        <v>42460</v>
      </c>
      <c r="C94" s="64">
        <v>6.5100000000000005E-2</v>
      </c>
      <c r="M94" s="29"/>
      <c r="N94" s="30"/>
    </row>
    <row r="95" spans="2:14" x14ac:dyDescent="0.25">
      <c r="B95" s="38">
        <f t="shared" si="3"/>
        <v>42490</v>
      </c>
      <c r="C95" s="64">
        <v>6.2400000000000004E-2</v>
      </c>
      <c r="M95" s="29"/>
      <c r="N95" s="30"/>
    </row>
    <row r="96" spans="2:14" x14ac:dyDescent="0.25">
      <c r="B96" s="38">
        <f t="shared" si="3"/>
        <v>42521</v>
      </c>
      <c r="C96" s="64">
        <v>6.2199999999999998E-2</v>
      </c>
      <c r="M96" s="29"/>
      <c r="N96" s="30"/>
    </row>
    <row r="97" spans="2:14" x14ac:dyDescent="0.25">
      <c r="B97" s="38">
        <f t="shared" si="3"/>
        <v>42551</v>
      </c>
      <c r="C97" s="64">
        <v>6.1200000000000004E-2</v>
      </c>
      <c r="M97" s="29"/>
      <c r="N97" s="30"/>
    </row>
    <row r="98" spans="2:14" x14ac:dyDescent="0.25">
      <c r="B98" s="38">
        <f t="shared" si="3"/>
        <v>42582</v>
      </c>
      <c r="C98" s="64">
        <v>6.2699999999999992E-2</v>
      </c>
      <c r="M98" s="29"/>
      <c r="N98" s="30"/>
    </row>
    <row r="99" spans="2:14" x14ac:dyDescent="0.25">
      <c r="B99" s="38">
        <f t="shared" si="3"/>
        <v>42613</v>
      </c>
      <c r="C99" s="64">
        <v>6.0600000000000001E-2</v>
      </c>
      <c r="M99" s="29"/>
      <c r="N99" s="30"/>
    </row>
    <row r="100" spans="2:14" x14ac:dyDescent="0.25">
      <c r="B100" s="38">
        <f t="shared" si="3"/>
        <v>42643</v>
      </c>
      <c r="C100" s="64">
        <v>6.0599999999999994E-2</v>
      </c>
      <c r="M100" s="29"/>
      <c r="N100" s="30"/>
    </row>
    <row r="101" spans="2:14" x14ac:dyDescent="0.25">
      <c r="B101" s="38">
        <f t="shared" si="3"/>
        <v>42674</v>
      </c>
      <c r="C101" s="64">
        <v>6.1600000000000002E-2</v>
      </c>
      <c r="M101" s="29"/>
      <c r="N101" s="30"/>
    </row>
    <row r="102" spans="2:14" x14ac:dyDescent="0.25">
      <c r="B102" s="38">
        <f t="shared" si="3"/>
        <v>42704</v>
      </c>
      <c r="C102" s="64">
        <v>6.2600000000000003E-2</v>
      </c>
      <c r="M102" s="29"/>
      <c r="N102" s="30"/>
    </row>
    <row r="103" spans="2:14" x14ac:dyDescent="0.25">
      <c r="B103" s="38">
        <f t="shared" si="3"/>
        <v>42735</v>
      </c>
      <c r="C103" s="64">
        <v>6.0199999999999997E-2</v>
      </c>
      <c r="M103" s="29"/>
      <c r="N103" s="30"/>
    </row>
    <row r="104" spans="2:14" x14ac:dyDescent="0.25">
      <c r="B104" s="38">
        <f t="shared" si="3"/>
        <v>42766</v>
      </c>
      <c r="C104" s="64">
        <v>5.6899999999999999E-2</v>
      </c>
      <c r="M104" s="29"/>
      <c r="N104" s="30"/>
    </row>
    <row r="105" spans="2:14" x14ac:dyDescent="0.25">
      <c r="B105" s="38">
        <f t="shared" si="3"/>
        <v>42794</v>
      </c>
      <c r="C105" s="64">
        <v>5.5899999999999998E-2</v>
      </c>
      <c r="M105" s="29"/>
      <c r="N105" s="30"/>
    </row>
    <row r="106" spans="2:14" x14ac:dyDescent="0.25">
      <c r="B106" s="38">
        <f t="shared" si="3"/>
        <v>42825</v>
      </c>
      <c r="C106" s="64">
        <v>5.3900000000000003E-2</v>
      </c>
      <c r="M106" s="29"/>
      <c r="N106" s="30"/>
    </row>
    <row r="107" spans="2:14" x14ac:dyDescent="0.25">
      <c r="B107" s="38">
        <f t="shared" si="3"/>
        <v>42855</v>
      </c>
      <c r="C107" s="64">
        <v>5.3800000000000001E-2</v>
      </c>
      <c r="M107" s="29"/>
      <c r="N107" s="30"/>
    </row>
    <row r="108" spans="2:14" x14ac:dyDescent="0.25">
      <c r="B108" s="38">
        <f t="shared" si="3"/>
        <v>42886</v>
      </c>
      <c r="C108" s="64">
        <v>5.3400000000000003E-2</v>
      </c>
      <c r="M108" s="29"/>
      <c r="N108" s="30"/>
    </row>
    <row r="109" spans="2:14" x14ac:dyDescent="0.25">
      <c r="B109" s="38">
        <f t="shared" si="3"/>
        <v>42916</v>
      </c>
      <c r="C109" s="64">
        <v>5.2900000000000003E-2</v>
      </c>
      <c r="M109" s="29"/>
      <c r="N109" s="30"/>
    </row>
    <row r="110" spans="2:14" x14ac:dyDescent="0.25">
      <c r="B110" s="38">
        <f t="shared" si="3"/>
        <v>42947</v>
      </c>
      <c r="C110" s="64">
        <v>5.1299999999999998E-2</v>
      </c>
      <c r="M110" s="29"/>
      <c r="N110" s="30"/>
    </row>
    <row r="111" spans="2:14" x14ac:dyDescent="0.25">
      <c r="B111" s="38">
        <f t="shared" si="3"/>
        <v>42978</v>
      </c>
      <c r="C111" s="64">
        <v>5.0299999999999997E-2</v>
      </c>
      <c r="M111" s="29"/>
      <c r="N111" s="30"/>
    </row>
    <row r="112" spans="2:14" x14ac:dyDescent="0.25">
      <c r="B112" s="38">
        <f t="shared" si="3"/>
        <v>43008</v>
      </c>
      <c r="C112" s="64">
        <v>5.04E-2</v>
      </c>
      <c r="M112" s="29"/>
      <c r="N112" s="30"/>
    </row>
    <row r="113" spans="2:14" x14ac:dyDescent="0.25">
      <c r="B113" s="38">
        <f t="shared" si="3"/>
        <v>43039</v>
      </c>
      <c r="C113" s="64">
        <v>4.9200000000000001E-2</v>
      </c>
      <c r="M113" s="29"/>
      <c r="N113" s="30"/>
    </row>
    <row r="114" spans="2:14" x14ac:dyDescent="0.25">
      <c r="B114" s="38">
        <f t="shared" si="3"/>
        <v>43069</v>
      </c>
      <c r="C114" s="64">
        <v>4.8099999999999997E-2</v>
      </c>
      <c r="M114" s="29"/>
      <c r="N114" s="30"/>
    </row>
    <row r="115" spans="2:14" x14ac:dyDescent="0.25">
      <c r="B115" s="38">
        <f t="shared" si="3"/>
        <v>43100</v>
      </c>
      <c r="C115" s="64">
        <v>4.6800000000000001E-2</v>
      </c>
      <c r="M115" s="29"/>
      <c r="N115" s="30"/>
    </row>
    <row r="116" spans="2:14" x14ac:dyDescent="0.25">
      <c r="B116" s="38">
        <f t="shared" si="3"/>
        <v>43131</v>
      </c>
      <c r="C116" s="64">
        <v>5.0799999999999998E-2</v>
      </c>
      <c r="M116" s="29"/>
      <c r="N116" s="30"/>
    </row>
    <row r="117" spans="2:14" x14ac:dyDescent="0.25">
      <c r="B117" s="38">
        <f t="shared" si="3"/>
        <v>43159</v>
      </c>
      <c r="C117" s="64">
        <v>4.7800000000000002E-2</v>
      </c>
      <c r="M117" s="29"/>
      <c r="N117" s="30"/>
    </row>
    <row r="118" spans="2:14" x14ac:dyDescent="0.25">
      <c r="B118" s="38">
        <f t="shared" si="3"/>
        <v>43190</v>
      </c>
      <c r="C118" s="64">
        <v>4.9599999999999998E-2</v>
      </c>
      <c r="M118" s="29"/>
      <c r="N118" s="30"/>
    </row>
    <row r="119" spans="2:14" x14ac:dyDescent="0.25">
      <c r="B119" s="38">
        <f t="shared" si="3"/>
        <v>43220</v>
      </c>
      <c r="C119" s="64">
        <v>5.1900000000000002E-2</v>
      </c>
      <c r="M119" s="29"/>
      <c r="N119" s="30"/>
    </row>
    <row r="120" spans="2:14" x14ac:dyDescent="0.25">
      <c r="B120" s="38">
        <f t="shared" si="3"/>
        <v>43251</v>
      </c>
      <c r="C120" s="64">
        <v>5.16E-2</v>
      </c>
      <c r="M120" s="29"/>
      <c r="N120" s="30"/>
    </row>
    <row r="121" spans="2:14" x14ac:dyDescent="0.25">
      <c r="B121" s="38">
        <f t="shared" si="3"/>
        <v>43281</v>
      </c>
      <c r="C121" s="64">
        <v>5.0599999999999999E-2</v>
      </c>
      <c r="M121" s="29"/>
      <c r="N121" s="30"/>
    </row>
    <row r="122" spans="2:14" x14ac:dyDescent="0.25">
      <c r="B122" s="38">
        <f t="shared" si="3"/>
        <v>43312</v>
      </c>
      <c r="C122" s="64">
        <v>5.3699999999999998E-2</v>
      </c>
      <c r="M122" s="29"/>
      <c r="N122" s="30"/>
    </row>
    <row r="123" spans="2:14" x14ac:dyDescent="0.25">
      <c r="B123" s="38">
        <f t="shared" si="3"/>
        <v>43343</v>
      </c>
      <c r="C123" s="64">
        <v>5.1799999999999999E-2</v>
      </c>
      <c r="M123" s="29"/>
      <c r="N123" s="30"/>
    </row>
    <row r="124" spans="2:14" x14ac:dyDescent="0.25">
      <c r="B124" s="38">
        <f t="shared" si="3"/>
        <v>43373</v>
      </c>
      <c r="C124" s="64">
        <v>5.04E-2</v>
      </c>
      <c r="M124" s="29"/>
      <c r="N124" s="30"/>
    </row>
    <row r="125" spans="2:14" x14ac:dyDescent="0.25">
      <c r="B125" s="38">
        <f t="shared" si="3"/>
        <v>43404</v>
      </c>
      <c r="C125" s="64">
        <v>5.3800000000000001E-2</v>
      </c>
      <c r="M125" s="29"/>
      <c r="N125" s="30"/>
    </row>
    <row r="126" spans="2:14" x14ac:dyDescent="0.25">
      <c r="B126" s="38">
        <f t="shared" si="3"/>
        <v>43434</v>
      </c>
      <c r="C126" s="64">
        <v>5.7599999999999998E-2</v>
      </c>
      <c r="M126" s="29"/>
      <c r="N126" s="30"/>
    </row>
    <row r="127" spans="2:14" x14ac:dyDescent="0.25">
      <c r="B127" s="38">
        <f t="shared" si="3"/>
        <v>43465</v>
      </c>
      <c r="C127" s="64">
        <v>5.6800000000000003E-2</v>
      </c>
      <c r="M127" s="29"/>
      <c r="N127" s="30"/>
    </row>
    <row r="128" spans="2:14" x14ac:dyDescent="0.25">
      <c r="B128" s="38">
        <f t="shared" si="3"/>
        <v>43496</v>
      </c>
      <c r="C128" s="64">
        <v>5.96E-2</v>
      </c>
      <c r="M128" s="29"/>
      <c r="N128" s="30"/>
    </row>
    <row r="129" spans="2:14" x14ac:dyDescent="0.25">
      <c r="B129" s="38">
        <f t="shared" si="3"/>
        <v>43524</v>
      </c>
      <c r="C129" s="64">
        <v>5.5300000000000002E-2</v>
      </c>
      <c r="M129" s="29"/>
      <c r="N129" s="30"/>
    </row>
    <row r="130" spans="2:14" x14ac:dyDescent="0.25">
      <c r="B130" s="38">
        <f t="shared" si="3"/>
        <v>43555</v>
      </c>
      <c r="C130" s="64">
        <v>5.3600000000000002E-2</v>
      </c>
      <c r="M130" s="29"/>
      <c r="N130" s="30"/>
    </row>
    <row r="131" spans="2:14" x14ac:dyDescent="0.25">
      <c r="B131" s="38">
        <f t="shared" si="3"/>
        <v>43585</v>
      </c>
      <c r="C131" s="64">
        <v>5.7500000000000002E-2</v>
      </c>
      <c r="M131" s="29"/>
      <c r="N131" s="30"/>
    </row>
    <row r="132" spans="2:14" x14ac:dyDescent="0.25">
      <c r="B132" s="38">
        <f t="shared" si="3"/>
        <v>43616</v>
      </c>
      <c r="C132" s="64">
        <v>5.62E-2</v>
      </c>
      <c r="M132" s="29"/>
      <c r="N132" s="30"/>
    </row>
    <row r="133" spans="2:14" x14ac:dyDescent="0.25">
      <c r="B133" s="38">
        <f t="shared" si="3"/>
        <v>43646</v>
      </c>
      <c r="C133" s="64">
        <v>5.9299999999999999E-2</v>
      </c>
      <c r="M133" s="29"/>
      <c r="N133" s="30"/>
    </row>
    <row r="134" spans="2:14" x14ac:dyDescent="0.25">
      <c r="B134" s="38">
        <f t="shared" ref="B134:B197" si="4">EOMONTH(B133,1)</f>
        <v>43677</v>
      </c>
      <c r="C134" s="64">
        <v>5.67E-2</v>
      </c>
      <c r="M134" s="29"/>
      <c r="N134" s="30"/>
    </row>
    <row r="135" spans="2:14" x14ac:dyDescent="0.25">
      <c r="B135" s="38">
        <f t="shared" si="4"/>
        <v>43708</v>
      </c>
      <c r="C135" s="64">
        <v>5.5899999999999998E-2</v>
      </c>
      <c r="M135" s="29"/>
      <c r="N135" s="30"/>
    </row>
    <row r="136" spans="2:14" x14ac:dyDescent="0.25">
      <c r="B136" s="38">
        <f t="shared" si="4"/>
        <v>43738</v>
      </c>
      <c r="C136" s="64">
        <v>5.7500000000000002E-2</v>
      </c>
      <c r="M136" s="29"/>
      <c r="N136" s="30"/>
    </row>
    <row r="137" spans="2:14" x14ac:dyDescent="0.25">
      <c r="B137" s="38">
        <f t="shared" si="4"/>
        <v>43769</v>
      </c>
      <c r="C137" s="64">
        <v>5.5500000000000001E-2</v>
      </c>
      <c r="M137" s="29"/>
      <c r="N137" s="30"/>
    </row>
    <row r="138" spans="2:14" x14ac:dyDescent="0.25">
      <c r="B138" s="38">
        <f t="shared" si="4"/>
        <v>43799</v>
      </c>
      <c r="C138" s="64">
        <v>5.4399999999999997E-2</v>
      </c>
      <c r="M138" s="29"/>
      <c r="N138" s="30"/>
    </row>
    <row r="139" spans="2:14" x14ac:dyDescent="0.25">
      <c r="B139" s="38">
        <f t="shared" si="4"/>
        <v>43830</v>
      </c>
      <c r="C139" s="64">
        <v>5.2499999999999998E-2</v>
      </c>
      <c r="M139" s="29"/>
      <c r="N139" s="30"/>
    </row>
    <row r="140" spans="2:14" x14ac:dyDescent="0.25">
      <c r="B140" s="38">
        <f t="shared" si="4"/>
        <v>43861</v>
      </c>
      <c r="C140" s="64">
        <v>5.1999999999999998E-2</v>
      </c>
      <c r="M140" s="29"/>
      <c r="N140" s="30"/>
    </row>
    <row r="141" spans="2:14" x14ac:dyDescent="0.25">
      <c r="B141" s="38">
        <f t="shared" si="4"/>
        <v>43890</v>
      </c>
      <c r="C141" s="64">
        <v>5.2400000000000002E-2</v>
      </c>
      <c r="M141" s="29"/>
      <c r="N141" s="30"/>
    </row>
    <row r="142" spans="2:14" x14ac:dyDescent="0.25">
      <c r="B142" s="38">
        <f t="shared" si="4"/>
        <v>43921</v>
      </c>
      <c r="C142" s="64">
        <v>5.6899999999999999E-2</v>
      </c>
      <c r="M142" s="29"/>
      <c r="N142" s="30"/>
    </row>
    <row r="143" spans="2:14" x14ac:dyDescent="0.25">
      <c r="B143" s="38">
        <f t="shared" si="4"/>
        <v>43951</v>
      </c>
      <c r="C143" s="64">
        <v>6.1600000000000002E-2</v>
      </c>
      <c r="M143" s="29"/>
      <c r="N143" s="30"/>
    </row>
    <row r="144" spans="2:14" x14ac:dyDescent="0.25">
      <c r="B144" s="38">
        <f t="shared" si="4"/>
        <v>43982</v>
      </c>
      <c r="C144" s="64">
        <v>5.6500000000000002E-2</v>
      </c>
      <c r="M144" s="29"/>
      <c r="N144" s="30"/>
    </row>
    <row r="145" spans="2:14" x14ac:dyDescent="0.25">
      <c r="B145" s="38">
        <f t="shared" si="4"/>
        <v>44012</v>
      </c>
      <c r="C145" s="64">
        <v>5.45E-2</v>
      </c>
      <c r="M145" s="29"/>
      <c r="N145" s="30"/>
    </row>
    <row r="146" spans="2:14" x14ac:dyDescent="0.25">
      <c r="B146" s="38">
        <f t="shared" si="4"/>
        <v>44043</v>
      </c>
      <c r="C146" s="64">
        <v>5.3699999999999998E-2</v>
      </c>
      <c r="M146" s="29"/>
      <c r="N146" s="30"/>
    </row>
    <row r="147" spans="2:14" x14ac:dyDescent="0.25">
      <c r="B147" s="38">
        <f t="shared" si="4"/>
        <v>44074</v>
      </c>
      <c r="C147" s="64">
        <v>5.0999999999999997E-2</v>
      </c>
      <c r="M147" s="29"/>
      <c r="N147" s="30"/>
    </row>
    <row r="148" spans="2:14" x14ac:dyDescent="0.25">
      <c r="B148" s="38">
        <f t="shared" si="4"/>
        <v>44104</v>
      </c>
      <c r="C148" s="64">
        <v>4.7399999999999998E-2</v>
      </c>
      <c r="M148" s="29"/>
      <c r="N148" s="30"/>
    </row>
    <row r="149" spans="2:14" x14ac:dyDescent="0.25">
      <c r="B149" s="38">
        <f t="shared" si="4"/>
        <v>44135</v>
      </c>
      <c r="C149" s="64">
        <v>4.7399999999999998E-2</v>
      </c>
      <c r="M149" s="29"/>
      <c r="N149" s="30"/>
    </row>
    <row r="150" spans="2:14" x14ac:dyDescent="0.25">
      <c r="B150" s="38">
        <f t="shared" si="4"/>
        <v>44165</v>
      </c>
      <c r="C150" s="64">
        <v>4.8500000000000001E-2</v>
      </c>
      <c r="M150" s="29"/>
      <c r="N150" s="30"/>
    </row>
    <row r="151" spans="2:14" x14ac:dyDescent="0.25">
      <c r="B151" s="38">
        <f t="shared" si="4"/>
        <v>44196</v>
      </c>
      <c r="C151" s="64">
        <v>4.4900000000000002E-2</v>
      </c>
      <c r="M151" s="29"/>
      <c r="N151" s="30"/>
    </row>
    <row r="152" spans="2:14" x14ac:dyDescent="0.25">
      <c r="B152" s="38">
        <f t="shared" si="4"/>
        <v>44227</v>
      </c>
      <c r="C152" s="64">
        <v>4.2000000000000003E-2</v>
      </c>
      <c r="M152" s="29"/>
      <c r="N152" s="30"/>
    </row>
    <row r="153" spans="2:14" x14ac:dyDescent="0.25">
      <c r="B153" s="38">
        <f t="shared" si="4"/>
        <v>44255</v>
      </c>
      <c r="C153" s="64">
        <v>4.7600000000000003E-2</v>
      </c>
      <c r="M153" s="29"/>
      <c r="N153" s="30"/>
    </row>
    <row r="154" spans="2:14" x14ac:dyDescent="0.25">
      <c r="B154" s="38">
        <f t="shared" si="4"/>
        <v>44286</v>
      </c>
      <c r="C154" s="64">
        <v>4.6300000000000001E-2</v>
      </c>
      <c r="M154" s="29"/>
      <c r="N154" s="30"/>
    </row>
    <row r="155" spans="2:14" x14ac:dyDescent="0.25">
      <c r="B155" s="38">
        <f t="shared" si="4"/>
        <v>44316</v>
      </c>
      <c r="C155" s="64">
        <v>4.1399999999999999E-2</v>
      </c>
      <c r="M155" s="29"/>
      <c r="N155" s="30"/>
    </row>
    <row r="156" spans="2:14" x14ac:dyDescent="0.25">
      <c r="B156" s="38">
        <f t="shared" si="4"/>
        <v>44347</v>
      </c>
      <c r="C156" s="64">
        <v>3.9899999999999998E-2</v>
      </c>
      <c r="M156" s="29"/>
      <c r="N156" s="30"/>
    </row>
    <row r="157" spans="2:14" x14ac:dyDescent="0.25">
      <c r="B157" s="38">
        <f t="shared" si="4"/>
        <v>44377</v>
      </c>
      <c r="C157" s="64">
        <v>4.1000000000000002E-2</v>
      </c>
      <c r="M157" s="29"/>
      <c r="N157" s="30"/>
    </row>
    <row r="158" spans="2:14" x14ac:dyDescent="0.25">
      <c r="B158" s="38">
        <f t="shared" si="4"/>
        <v>44408</v>
      </c>
      <c r="C158" s="64">
        <v>3.9600000000000003E-2</v>
      </c>
      <c r="M158" s="29"/>
      <c r="N158" s="30"/>
    </row>
    <row r="159" spans="2:14" x14ac:dyDescent="0.25">
      <c r="B159" s="38">
        <f t="shared" si="4"/>
        <v>44439</v>
      </c>
      <c r="C159" s="64">
        <v>3.9100000000000003E-2</v>
      </c>
      <c r="M159" s="29"/>
      <c r="N159" s="30"/>
    </row>
    <row r="160" spans="2:14" x14ac:dyDescent="0.25">
      <c r="B160" s="38">
        <f t="shared" si="4"/>
        <v>44469</v>
      </c>
      <c r="C160" s="64">
        <v>4.2099999999999999E-2</v>
      </c>
      <c r="M160" s="29"/>
      <c r="N160" s="30"/>
    </row>
    <row r="161" spans="2:14" x14ac:dyDescent="0.25">
      <c r="B161" s="38">
        <f t="shared" si="4"/>
        <v>44500</v>
      </c>
      <c r="C161" s="64">
        <v>4.87E-2</v>
      </c>
      <c r="M161" s="29"/>
      <c r="N161" s="30"/>
    </row>
    <row r="162" spans="2:14" x14ac:dyDescent="0.25">
      <c r="B162" s="38">
        <f t="shared" si="4"/>
        <v>44530</v>
      </c>
      <c r="C162" s="64">
        <v>4.58E-2</v>
      </c>
      <c r="M162" s="29"/>
      <c r="N162" s="30"/>
    </row>
    <row r="163" spans="2:14" x14ac:dyDescent="0.25">
      <c r="B163" s="38">
        <f t="shared" si="4"/>
        <v>44561</v>
      </c>
      <c r="C163" s="64">
        <v>4.7899999999999998E-2</v>
      </c>
      <c r="M163" s="29"/>
      <c r="N163" s="30"/>
    </row>
    <row r="164" spans="2:14" x14ac:dyDescent="0.25">
      <c r="B164" s="38">
        <f t="shared" si="4"/>
        <v>44592</v>
      </c>
      <c r="C164" s="64">
        <v>4.24E-2</v>
      </c>
      <c r="M164" s="29"/>
      <c r="N164" s="30"/>
    </row>
    <row r="165" spans="2:14" x14ac:dyDescent="0.25">
      <c r="B165" s="38">
        <f t="shared" si="4"/>
        <v>44620</v>
      </c>
      <c r="C165" s="64">
        <v>4.5600000000000002E-2</v>
      </c>
      <c r="M165" s="29"/>
      <c r="N165" s="30"/>
    </row>
    <row r="166" spans="2:14" x14ac:dyDescent="0.25">
      <c r="B166" s="38">
        <f t="shared" si="4"/>
        <v>44651</v>
      </c>
      <c r="C166" s="64">
        <v>4.7500000000000001E-2</v>
      </c>
      <c r="M166" s="29"/>
      <c r="N166" s="30"/>
    </row>
    <row r="167" spans="2:14" x14ac:dyDescent="0.25">
      <c r="B167" s="38">
        <f t="shared" si="4"/>
        <v>44681</v>
      </c>
      <c r="C167" s="64">
        <v>4.7300000000000002E-2</v>
      </c>
      <c r="M167" s="29"/>
      <c r="N167" s="30"/>
    </row>
    <row r="168" spans="2:14" x14ac:dyDescent="0.25">
      <c r="B168" s="38">
        <f t="shared" si="4"/>
        <v>44712</v>
      </c>
      <c r="C168" s="64">
        <v>5.1400000000000001E-2</v>
      </c>
      <c r="M168" s="29"/>
      <c r="N168" s="30"/>
    </row>
    <row r="169" spans="2:14" x14ac:dyDescent="0.25">
      <c r="B169" s="38">
        <f t="shared" si="4"/>
        <v>44742</v>
      </c>
      <c r="C169" s="64">
        <v>5.0700000000000002E-2</v>
      </c>
      <c r="M169" s="29"/>
      <c r="N169" s="30"/>
    </row>
    <row r="170" spans="2:14" x14ac:dyDescent="0.25">
      <c r="B170" s="38">
        <f t="shared" si="4"/>
        <v>44773</v>
      </c>
      <c r="C170" s="64">
        <v>6.0100000000000001E-2</v>
      </c>
      <c r="M170" s="29"/>
      <c r="N170" s="30"/>
    </row>
    <row r="171" spans="2:14" x14ac:dyDescent="0.25">
      <c r="B171" s="38">
        <f t="shared" si="4"/>
        <v>44804</v>
      </c>
      <c r="C171" s="64">
        <v>5.4199999999999998E-2</v>
      </c>
      <c r="M171" s="29"/>
      <c r="N171" s="30"/>
    </row>
    <row r="172" spans="2:14" x14ac:dyDescent="0.25">
      <c r="B172" s="38">
        <f t="shared" si="4"/>
        <v>44834</v>
      </c>
      <c r="C172" s="64">
        <v>5.45E-2</v>
      </c>
      <c r="M172" s="29"/>
      <c r="N172" s="30"/>
    </row>
    <row r="173" spans="2:14" x14ac:dyDescent="0.25">
      <c r="B173" s="38">
        <f t="shared" si="4"/>
        <v>44865</v>
      </c>
      <c r="C173" s="64">
        <v>6.2100000000000002E-2</v>
      </c>
      <c r="M173" s="29"/>
      <c r="N173" s="30"/>
    </row>
    <row r="174" spans="2:14" x14ac:dyDescent="0.25">
      <c r="B174" s="38">
        <f t="shared" si="4"/>
        <v>44895</v>
      </c>
      <c r="C174" s="64">
        <v>5.4800000000000001E-2</v>
      </c>
      <c r="M174" s="29"/>
      <c r="N174" s="30"/>
    </row>
    <row r="175" spans="2:14" x14ac:dyDescent="0.25">
      <c r="B175" s="38">
        <f t="shared" si="4"/>
        <v>44926</v>
      </c>
      <c r="C175" s="64">
        <v>5.2600000000000001E-2</v>
      </c>
      <c r="M175" s="29"/>
      <c r="N175" s="30"/>
    </row>
    <row r="176" spans="2:14" x14ac:dyDescent="0.25">
      <c r="B176" s="38">
        <f t="shared" si="4"/>
        <v>44957</v>
      </c>
      <c r="C176" s="64">
        <v>5.9400000000000001E-2</v>
      </c>
      <c r="M176" s="29"/>
      <c r="N176" s="30"/>
    </row>
    <row r="177" spans="2:14" x14ac:dyDescent="0.25">
      <c r="B177" s="38">
        <f t="shared" si="4"/>
        <v>44985</v>
      </c>
      <c r="C177" s="64">
        <v>5.5399999999999998E-2</v>
      </c>
      <c r="M177" s="29"/>
      <c r="N177" s="30"/>
    </row>
    <row r="178" spans="2:14" x14ac:dyDescent="0.25">
      <c r="B178" s="38">
        <f t="shared" si="4"/>
        <v>45016</v>
      </c>
      <c r="C178" s="64">
        <v>5.5800000000000002E-2</v>
      </c>
      <c r="M178" s="29"/>
      <c r="N178" s="30"/>
    </row>
    <row r="179" spans="2:14" x14ac:dyDescent="0.25">
      <c r="B179" s="38">
        <f t="shared" si="4"/>
        <v>45046</v>
      </c>
      <c r="C179" s="64">
        <v>5.7200000000000001E-2</v>
      </c>
      <c r="M179" s="29"/>
      <c r="N179" s="31"/>
    </row>
    <row r="180" spans="2:14" x14ac:dyDescent="0.25">
      <c r="B180" s="38">
        <f t="shared" si="4"/>
        <v>45077</v>
      </c>
      <c r="C180" s="64">
        <v>5.57E-2</v>
      </c>
      <c r="M180" s="29"/>
      <c r="N180" s="31"/>
    </row>
    <row r="181" spans="2:14" x14ac:dyDescent="0.25">
      <c r="B181" s="38">
        <f t="shared" si="4"/>
        <v>45107</v>
      </c>
      <c r="C181" s="64">
        <v>5.5199999999999999E-2</v>
      </c>
      <c r="M181" s="29"/>
      <c r="N181" s="31"/>
    </row>
    <row r="182" spans="2:14" x14ac:dyDescent="0.25">
      <c r="B182" s="38">
        <f t="shared" si="4"/>
        <v>45138</v>
      </c>
      <c r="C182" s="64">
        <v>5.8999999999999997E-2</v>
      </c>
      <c r="M182" s="29"/>
      <c r="N182" s="31"/>
    </row>
    <row r="183" spans="2:14" x14ac:dyDescent="0.25">
      <c r="B183" s="38">
        <f t="shared" si="4"/>
        <v>45169</v>
      </c>
      <c r="C183" s="64">
        <v>5.7000000000000002E-2</v>
      </c>
      <c r="M183" s="29"/>
      <c r="N183" s="31"/>
    </row>
    <row r="184" spans="2:14" x14ac:dyDescent="0.25">
      <c r="B184" s="38">
        <f t="shared" si="4"/>
        <v>45199</v>
      </c>
      <c r="C184" s="64">
        <v>5.79E-2</v>
      </c>
      <c r="M184" s="29"/>
      <c r="N184" s="31"/>
    </row>
    <row r="185" spans="2:14" x14ac:dyDescent="0.25">
      <c r="B185" s="38">
        <f t="shared" si="4"/>
        <v>45230</v>
      </c>
      <c r="C185" s="64">
        <v>5.6800000000000003E-2</v>
      </c>
      <c r="M185" s="29"/>
      <c r="N185" s="31"/>
    </row>
    <row r="186" spans="2:14" x14ac:dyDescent="0.25">
      <c r="B186" s="38">
        <f t="shared" si="4"/>
        <v>45260</v>
      </c>
      <c r="C186" s="64">
        <v>5.7200000000000001E-2</v>
      </c>
      <c r="M186" s="29"/>
      <c r="N186" s="31"/>
    </row>
    <row r="187" spans="2:14" x14ac:dyDescent="0.25">
      <c r="B187" s="38">
        <f t="shared" si="4"/>
        <v>45291</v>
      </c>
      <c r="C187" s="64">
        <v>5.3100000000000001E-2</v>
      </c>
      <c r="M187" s="29"/>
      <c r="N187" s="31"/>
    </row>
    <row r="188" spans="2:14" x14ac:dyDescent="0.25">
      <c r="B188" s="38">
        <f t="shared" si="4"/>
        <v>45322</v>
      </c>
      <c r="C188" s="64">
        <v>6.0699999999999997E-2</v>
      </c>
      <c r="M188" s="29"/>
      <c r="N188" s="31"/>
    </row>
    <row r="189" spans="2:14" x14ac:dyDescent="0.25">
      <c r="B189" s="38">
        <f t="shared" si="4"/>
        <v>45351</v>
      </c>
      <c r="C189" s="64">
        <v>5.9499999999999997E-2</v>
      </c>
      <c r="M189" s="29"/>
      <c r="N189" s="31"/>
    </row>
    <row r="190" spans="2:14" x14ac:dyDescent="0.25">
      <c r="B190" s="38">
        <f t="shared" si="4"/>
        <v>45382</v>
      </c>
      <c r="C190" s="64">
        <v>5.7200000000000001E-2</v>
      </c>
      <c r="M190" s="29"/>
      <c r="N190" s="31"/>
    </row>
    <row r="191" spans="2:14" x14ac:dyDescent="0.25">
      <c r="B191" s="38">
        <f t="shared" si="4"/>
        <v>45412</v>
      </c>
      <c r="C191" s="64">
        <v>5.9499999999999997E-2</v>
      </c>
      <c r="M191" s="29"/>
      <c r="N191" s="31"/>
    </row>
    <row r="192" spans="2:14" x14ac:dyDescent="0.25">
      <c r="B192" s="38">
        <f t="shared" si="4"/>
        <v>45443</v>
      </c>
      <c r="C192" s="64">
        <v>6.1899999999999997E-2</v>
      </c>
      <c r="M192" s="29"/>
      <c r="N192" s="31"/>
    </row>
    <row r="193" spans="2:14" x14ac:dyDescent="0.25">
      <c r="B193" s="38">
        <f t="shared" si="4"/>
        <v>45473</v>
      </c>
      <c r="C193" s="64">
        <v>6.0100000000000001E-2</v>
      </c>
      <c r="M193" s="29"/>
      <c r="N193" s="31"/>
    </row>
    <row r="194" spans="2:14" x14ac:dyDescent="0.25">
      <c r="B194" s="38">
        <f t="shared" si="4"/>
        <v>45504</v>
      </c>
      <c r="C194" s="64">
        <v>5.8999999999999997E-2</v>
      </c>
      <c r="M194" s="29"/>
      <c r="N194" s="31"/>
    </row>
    <row r="195" spans="2:14" x14ac:dyDescent="0.25">
      <c r="B195" s="38">
        <f t="shared" si="4"/>
        <v>45535</v>
      </c>
      <c r="C195" s="64">
        <v>5.91E-2</v>
      </c>
      <c r="M195" s="29"/>
      <c r="N195" s="31"/>
    </row>
    <row r="196" spans="2:14" x14ac:dyDescent="0.25">
      <c r="B196" s="38">
        <f t="shared" si="4"/>
        <v>45565</v>
      </c>
      <c r="C196" s="64">
        <v>5.8299999999999998E-2</v>
      </c>
      <c r="M196" s="29"/>
      <c r="N196" s="31"/>
    </row>
    <row r="197" spans="2:14" x14ac:dyDescent="0.25">
      <c r="B197" s="38">
        <f t="shared" si="4"/>
        <v>45596</v>
      </c>
      <c r="C197" s="64">
        <v>5.9799999999999999E-2</v>
      </c>
      <c r="M197" s="29"/>
      <c r="N197" s="31"/>
    </row>
    <row r="198" spans="2:14" x14ac:dyDescent="0.25">
      <c r="B198" s="38">
        <f t="shared" ref="B198:B201" si="5">EOMONTH(B197,1)</f>
        <v>45626</v>
      </c>
      <c r="C198" s="64">
        <v>6.2199999999999998E-2</v>
      </c>
      <c r="M198" s="29"/>
      <c r="N198" s="31"/>
    </row>
    <row r="199" spans="2:14" x14ac:dyDescent="0.25">
      <c r="B199" s="38">
        <f t="shared" si="5"/>
        <v>45657</v>
      </c>
      <c r="C199" s="64">
        <v>5.8700000000000002E-2</v>
      </c>
      <c r="M199" s="29"/>
      <c r="N199" s="31"/>
    </row>
    <row r="200" spans="2:14" x14ac:dyDescent="0.25">
      <c r="B200" s="38">
        <f t="shared" si="5"/>
        <v>45688</v>
      </c>
      <c r="C200" s="64">
        <v>6.1499999999999999E-2</v>
      </c>
      <c r="M200" s="29"/>
      <c r="N200" s="31"/>
    </row>
    <row r="201" spans="2:14" x14ac:dyDescent="0.25">
      <c r="B201" s="38">
        <f t="shared" si="5"/>
        <v>45716</v>
      </c>
      <c r="C201" s="64">
        <v>6.0600000000000001E-2</v>
      </c>
      <c r="M201" s="29"/>
      <c r="N201" s="31"/>
    </row>
    <row r="202" spans="2:14" x14ac:dyDescent="0.25">
      <c r="B202" s="26"/>
    </row>
    <row r="203" spans="2:14" x14ac:dyDescent="0.25">
      <c r="B203" s="26"/>
    </row>
    <row r="204" spans="2:14" x14ac:dyDescent="0.25">
      <c r="B204" s="26"/>
    </row>
    <row r="205" spans="2:14" x14ac:dyDescent="0.25">
      <c r="B205" s="26"/>
    </row>
    <row r="206" spans="2:14" x14ac:dyDescent="0.25">
      <c r="B206" s="26"/>
    </row>
    <row r="207" spans="2:14" x14ac:dyDescent="0.25">
      <c r="B207" s="26"/>
    </row>
    <row r="208" spans="2:14" x14ac:dyDescent="0.25">
      <c r="B208" s="26"/>
    </row>
    <row r="209" spans="2:2" x14ac:dyDescent="0.25">
      <c r="B209" s="26"/>
    </row>
    <row r="210" spans="2:2" x14ac:dyDescent="0.25">
      <c r="B210" s="26"/>
    </row>
    <row r="211" spans="2:2" x14ac:dyDescent="0.25">
      <c r="B211" s="26"/>
    </row>
    <row r="212" spans="2:2" x14ac:dyDescent="0.25">
      <c r="B212" s="26"/>
    </row>
    <row r="213" spans="2:2" x14ac:dyDescent="0.25">
      <c r="B213" s="26"/>
    </row>
    <row r="214" spans="2:2" x14ac:dyDescent="0.25">
      <c r="B214" s="26"/>
    </row>
    <row r="215" spans="2:2" x14ac:dyDescent="0.25">
      <c r="B215" s="26"/>
    </row>
    <row r="216" spans="2:2" x14ac:dyDescent="0.25">
      <c r="B216" s="26"/>
    </row>
    <row r="217" spans="2:2" x14ac:dyDescent="0.25">
      <c r="B217" s="26"/>
    </row>
    <row r="218" spans="2:2" x14ac:dyDescent="0.25">
      <c r="B218" s="26"/>
    </row>
    <row r="219" spans="2:2" x14ac:dyDescent="0.25">
      <c r="B219" s="26"/>
    </row>
    <row r="220" spans="2:2" x14ac:dyDescent="0.25">
      <c r="B220" s="26"/>
    </row>
    <row r="221" spans="2:2" x14ac:dyDescent="0.25">
      <c r="B221" s="26"/>
    </row>
    <row r="222" spans="2:2" x14ac:dyDescent="0.25">
      <c r="B222" s="26"/>
    </row>
    <row r="223" spans="2:2" x14ac:dyDescent="0.25">
      <c r="B223" s="26"/>
    </row>
    <row r="224" spans="2:2" x14ac:dyDescent="0.25">
      <c r="B224" s="26"/>
    </row>
    <row r="225" spans="2:2" x14ac:dyDescent="0.25">
      <c r="B225" s="26"/>
    </row>
    <row r="226" spans="2:2" x14ac:dyDescent="0.25">
      <c r="B226" s="26"/>
    </row>
    <row r="227" spans="2:2" x14ac:dyDescent="0.25">
      <c r="B227" s="26"/>
    </row>
    <row r="228" spans="2:2" x14ac:dyDescent="0.25">
      <c r="B228" s="26"/>
    </row>
    <row r="229" spans="2:2" x14ac:dyDescent="0.25">
      <c r="B229" s="26"/>
    </row>
    <row r="230" spans="2:2" x14ac:dyDescent="0.25">
      <c r="B230" s="26"/>
    </row>
    <row r="231" spans="2:2" x14ac:dyDescent="0.25">
      <c r="B231" s="26"/>
    </row>
    <row r="232" spans="2:2" x14ac:dyDescent="0.25">
      <c r="B232" s="26"/>
    </row>
    <row r="233" spans="2:2" x14ac:dyDescent="0.25">
      <c r="B233" s="26"/>
    </row>
    <row r="234" spans="2:2" x14ac:dyDescent="0.25">
      <c r="B234" s="26"/>
    </row>
    <row r="235" spans="2:2" x14ac:dyDescent="0.25">
      <c r="B235" s="26"/>
    </row>
    <row r="236" spans="2:2" x14ac:dyDescent="0.25">
      <c r="B236" s="26"/>
    </row>
    <row r="237" spans="2:2" x14ac:dyDescent="0.25">
      <c r="B237" s="26"/>
    </row>
    <row r="238" spans="2:2" x14ac:dyDescent="0.25">
      <c r="B238" s="26"/>
    </row>
    <row r="239" spans="2:2" x14ac:dyDescent="0.25">
      <c r="B239" s="26"/>
    </row>
    <row r="240" spans="2:2" x14ac:dyDescent="0.25">
      <c r="B240" s="26"/>
    </row>
    <row r="241" spans="2:2" x14ac:dyDescent="0.25">
      <c r="B241" s="26"/>
    </row>
    <row r="242" spans="2:2" x14ac:dyDescent="0.25">
      <c r="B242" s="26"/>
    </row>
    <row r="243" spans="2:2" x14ac:dyDescent="0.25">
      <c r="B243" s="26"/>
    </row>
    <row r="244" spans="2:2" x14ac:dyDescent="0.25">
      <c r="B244" s="26"/>
    </row>
    <row r="245" spans="2:2" x14ac:dyDescent="0.25">
      <c r="B245" s="26"/>
    </row>
    <row r="246" spans="2:2" x14ac:dyDescent="0.25">
      <c r="B246" s="26"/>
    </row>
    <row r="247" spans="2:2" x14ac:dyDescent="0.25">
      <c r="B247" s="26"/>
    </row>
    <row r="248" spans="2:2" x14ac:dyDescent="0.25">
      <c r="B248" s="26"/>
    </row>
    <row r="249" spans="2:2" x14ac:dyDescent="0.25">
      <c r="B249" s="26"/>
    </row>
    <row r="250" spans="2:2" x14ac:dyDescent="0.25">
      <c r="B250" s="2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111F-978B-41F6-8FB9-319562CF6D5B}">
  <dimension ref="B1:U69"/>
  <sheetViews>
    <sheetView showGridLines="0" zoomScale="96" workbookViewId="0">
      <pane ySplit="2" topLeftCell="A3" activePane="bottomLeft" state="frozen"/>
      <selection pane="bottomLeft" activeCell="B4" sqref="B4"/>
    </sheetView>
  </sheetViews>
  <sheetFormatPr defaultRowHeight="15" x14ac:dyDescent="0.25"/>
  <cols>
    <col min="1" max="1" width="1.85546875" customWidth="1"/>
    <col min="2" max="2" width="10" customWidth="1"/>
    <col min="3" max="3" width="13.140625" customWidth="1"/>
    <col min="4" max="4" width="16.7109375" customWidth="1"/>
    <col min="5" max="5" width="15.140625" customWidth="1"/>
    <col min="6" max="6" width="15.42578125" bestFit="1" customWidth="1"/>
    <col min="7" max="7" width="18.5703125" style="3" bestFit="1" customWidth="1"/>
    <col min="8" max="8" width="21.140625" style="3" bestFit="1" customWidth="1"/>
    <col min="9" max="10" width="18.5703125" style="3" customWidth="1"/>
    <col min="11" max="11" width="17.7109375" bestFit="1" customWidth="1"/>
    <col min="12" max="12" width="17.42578125" bestFit="1" customWidth="1"/>
    <col min="13" max="13" width="11.42578125" bestFit="1" customWidth="1"/>
    <col min="14" max="14" width="12.7109375" bestFit="1" customWidth="1"/>
    <col min="15" max="15" width="13.85546875" bestFit="1" customWidth="1"/>
    <col min="16" max="16" width="12.7109375" customWidth="1"/>
  </cols>
  <sheetData>
    <row r="1" spans="2:21" x14ac:dyDescent="0.25">
      <c r="G1"/>
      <c r="H1"/>
      <c r="I1"/>
      <c r="J1"/>
    </row>
    <row r="2" spans="2:21" ht="15.75" x14ac:dyDescent="0.25">
      <c r="B2" s="121" t="s">
        <v>0</v>
      </c>
      <c r="C2" s="121" t="s">
        <v>3</v>
      </c>
      <c r="D2" s="121" t="s">
        <v>1</v>
      </c>
      <c r="E2" s="121" t="s">
        <v>4</v>
      </c>
      <c r="F2" s="121" t="s">
        <v>2</v>
      </c>
      <c r="G2" s="121" t="s">
        <v>5</v>
      </c>
      <c r="H2" s="121" t="s">
        <v>88</v>
      </c>
      <c r="I2" s="121" t="s">
        <v>87</v>
      </c>
      <c r="J2" s="121" t="s">
        <v>89</v>
      </c>
    </row>
    <row r="3" spans="2:21" ht="15.75" x14ac:dyDescent="0.25">
      <c r="B3" s="117">
        <v>1960</v>
      </c>
      <c r="C3" s="117">
        <v>58.11</v>
      </c>
      <c r="D3" s="118">
        <v>5.3400000000000003E-2</v>
      </c>
      <c r="E3" s="119">
        <f>C3*D3</f>
        <v>3.1030740000000003</v>
      </c>
      <c r="F3" s="118">
        <v>3.4099999999999998E-2</v>
      </c>
      <c r="G3" s="120">
        <f>F3*C3</f>
        <v>1.9815509999999998</v>
      </c>
      <c r="H3" s="120" t="s">
        <v>10</v>
      </c>
      <c r="I3" s="120" t="s">
        <v>10</v>
      </c>
      <c r="J3" s="120" t="s">
        <v>10</v>
      </c>
    </row>
    <row r="4" spans="2:21" ht="15.75" x14ac:dyDescent="0.25">
      <c r="B4" s="7">
        <f>B3+1</f>
        <v>1961</v>
      </c>
      <c r="C4" s="7">
        <v>71.55</v>
      </c>
      <c r="D4" s="4">
        <v>4.7100000000000003E-2</v>
      </c>
      <c r="E4" s="70">
        <f t="shared" ref="E4:E34" si="0">C4*D4</f>
        <v>3.3700049999999999</v>
      </c>
      <c r="F4" s="4">
        <v>2.8500000000000001E-2</v>
      </c>
      <c r="G4" s="66">
        <f t="shared" ref="G4:G34" si="1">F4*C4</f>
        <v>2.0391750000000002</v>
      </c>
      <c r="H4" s="66" t="s">
        <v>10</v>
      </c>
      <c r="I4" s="66" t="s">
        <v>10</v>
      </c>
      <c r="J4" s="66" t="s">
        <v>10</v>
      </c>
    </row>
    <row r="5" spans="2:21" ht="15.75" x14ac:dyDescent="0.25">
      <c r="B5" s="7">
        <f t="shared" ref="B5:B67" si="2">B4+1</f>
        <v>1962</v>
      </c>
      <c r="C5" s="7">
        <v>63.1</v>
      </c>
      <c r="D5" s="4">
        <v>5.8099999999999999E-2</v>
      </c>
      <c r="E5" s="70">
        <f t="shared" si="0"/>
        <v>3.6661100000000002</v>
      </c>
      <c r="F5" s="4">
        <v>3.4000000000000002E-2</v>
      </c>
      <c r="G5" s="66">
        <f t="shared" si="1"/>
        <v>2.1454000000000004</v>
      </c>
      <c r="H5" s="66" t="s">
        <v>10</v>
      </c>
      <c r="I5" s="66" t="s">
        <v>10</v>
      </c>
      <c r="J5" s="66" t="s">
        <v>10</v>
      </c>
    </row>
    <row r="6" spans="2:21" ht="15.75" x14ac:dyDescent="0.25">
      <c r="B6" s="7">
        <f t="shared" si="2"/>
        <v>1963</v>
      </c>
      <c r="C6" s="7">
        <v>75.02</v>
      </c>
      <c r="D6" s="4">
        <v>5.5100000000000003E-2</v>
      </c>
      <c r="E6" s="70">
        <f t="shared" si="0"/>
        <v>4.1336019999999998</v>
      </c>
      <c r="F6" s="4">
        <v>3.1300000000000001E-2</v>
      </c>
      <c r="G6" s="66">
        <f t="shared" si="1"/>
        <v>2.3481260000000002</v>
      </c>
      <c r="H6" s="66" t="s">
        <v>10</v>
      </c>
      <c r="I6" s="66" t="s">
        <v>10</v>
      </c>
      <c r="J6" s="66" t="s">
        <v>10</v>
      </c>
    </row>
    <row r="7" spans="2:21" ht="15.75" x14ac:dyDescent="0.25">
      <c r="B7" s="7">
        <f t="shared" si="2"/>
        <v>1964</v>
      </c>
      <c r="C7" s="7">
        <v>84.75</v>
      </c>
      <c r="D7" s="4">
        <v>5.62E-2</v>
      </c>
      <c r="E7" s="70">
        <f t="shared" si="0"/>
        <v>4.76295</v>
      </c>
      <c r="F7" s="4">
        <v>3.0499999999999999E-2</v>
      </c>
      <c r="G7" s="66">
        <f t="shared" si="1"/>
        <v>2.5848749999999998</v>
      </c>
      <c r="H7" s="66" t="s">
        <v>10</v>
      </c>
      <c r="I7" s="66" t="s">
        <v>10</v>
      </c>
      <c r="J7" s="66" t="s">
        <v>10</v>
      </c>
    </row>
    <row r="8" spans="2:21" ht="15.75" x14ac:dyDescent="0.25">
      <c r="B8" s="7">
        <f t="shared" si="2"/>
        <v>1965</v>
      </c>
      <c r="C8" s="7">
        <v>92.43</v>
      </c>
      <c r="D8" s="4">
        <v>5.7299999999999997E-2</v>
      </c>
      <c r="E8" s="70">
        <f t="shared" si="0"/>
        <v>5.2962389999999999</v>
      </c>
      <c r="F8" s="4">
        <v>3.0599999999999999E-2</v>
      </c>
      <c r="G8" s="66">
        <f t="shared" si="1"/>
        <v>2.8283580000000001</v>
      </c>
      <c r="H8" s="66" t="s">
        <v>10</v>
      </c>
      <c r="I8" s="66" t="s">
        <v>10</v>
      </c>
      <c r="J8" s="66" t="s">
        <v>10</v>
      </c>
    </row>
    <row r="9" spans="2:21" ht="15.75" x14ac:dyDescent="0.25">
      <c r="B9" s="7">
        <f t="shared" si="2"/>
        <v>1966</v>
      </c>
      <c r="C9" s="7">
        <v>80.33</v>
      </c>
      <c r="D9" s="4">
        <v>6.7400000000000002E-2</v>
      </c>
      <c r="E9" s="70">
        <f t="shared" si="0"/>
        <v>5.4142419999999998</v>
      </c>
      <c r="F9" s="4">
        <v>3.5900000000000001E-2</v>
      </c>
      <c r="G9" s="66">
        <f t="shared" si="1"/>
        <v>2.8838469999999998</v>
      </c>
      <c r="H9" s="66" t="s">
        <v>10</v>
      </c>
      <c r="I9" s="66" t="s">
        <v>10</v>
      </c>
      <c r="J9" s="66" t="s">
        <v>10</v>
      </c>
    </row>
    <row r="10" spans="2:21" ht="15.75" x14ac:dyDescent="0.25">
      <c r="B10" s="7">
        <f t="shared" si="2"/>
        <v>1967</v>
      </c>
      <c r="C10" s="7">
        <v>96.47</v>
      </c>
      <c r="D10" s="4">
        <v>5.6599999999999998E-2</v>
      </c>
      <c r="E10" s="70">
        <f t="shared" si="0"/>
        <v>5.4602019999999998</v>
      </c>
      <c r="F10" s="4">
        <v>3.09E-2</v>
      </c>
      <c r="G10" s="66">
        <f t="shared" si="1"/>
        <v>2.9809230000000002</v>
      </c>
      <c r="H10" s="66" t="s">
        <v>10</v>
      </c>
      <c r="I10" s="66" t="s">
        <v>10</v>
      </c>
      <c r="J10" s="66" t="s">
        <v>10</v>
      </c>
    </row>
    <row r="11" spans="2:21" ht="15.75" x14ac:dyDescent="0.25">
      <c r="B11" s="7">
        <f t="shared" si="2"/>
        <v>1968</v>
      </c>
      <c r="C11" s="7">
        <v>103.86</v>
      </c>
      <c r="D11" s="4">
        <v>5.5100000000000003E-2</v>
      </c>
      <c r="E11" s="70">
        <f t="shared" si="0"/>
        <v>5.7226860000000004</v>
      </c>
      <c r="F11" s="4">
        <v>2.93E-2</v>
      </c>
      <c r="G11" s="66">
        <f t="shared" si="1"/>
        <v>3.0430980000000001</v>
      </c>
      <c r="H11" s="66" t="s">
        <v>10</v>
      </c>
      <c r="I11" s="66" t="s">
        <v>10</v>
      </c>
      <c r="J11" s="66" t="s">
        <v>10</v>
      </c>
    </row>
    <row r="12" spans="2:21" ht="15.75" x14ac:dyDescent="0.25">
      <c r="B12" s="7">
        <f t="shared" si="2"/>
        <v>1969</v>
      </c>
      <c r="C12" s="7">
        <v>92.06</v>
      </c>
      <c r="D12" s="4">
        <v>6.6299999999999998E-2</v>
      </c>
      <c r="E12" s="70">
        <f t="shared" si="0"/>
        <v>6.1035779999999997</v>
      </c>
      <c r="F12" s="4">
        <v>3.5200000000000002E-2</v>
      </c>
      <c r="G12" s="66">
        <f t="shared" si="1"/>
        <v>3.2405120000000003</v>
      </c>
      <c r="H12" s="66" t="s">
        <v>10</v>
      </c>
      <c r="I12" s="66" t="s">
        <v>10</v>
      </c>
      <c r="J12" s="66" t="s">
        <v>10</v>
      </c>
    </row>
    <row r="13" spans="2:21" ht="15.75" x14ac:dyDescent="0.25">
      <c r="B13" s="7">
        <f t="shared" si="2"/>
        <v>1970</v>
      </c>
      <c r="C13" s="7">
        <v>92.15</v>
      </c>
      <c r="D13" s="4">
        <v>5.9799999999999999E-2</v>
      </c>
      <c r="E13" s="70">
        <f t="shared" si="0"/>
        <v>5.5105700000000004</v>
      </c>
      <c r="F13" s="4">
        <v>3.4599999999999999E-2</v>
      </c>
      <c r="G13" s="66">
        <f t="shared" si="1"/>
        <v>3.1883900000000001</v>
      </c>
      <c r="H13" s="66" t="s">
        <v>10</v>
      </c>
      <c r="I13" s="66" t="s">
        <v>10</v>
      </c>
      <c r="J13" s="66" t="s">
        <v>10</v>
      </c>
      <c r="M13" s="115"/>
      <c r="N13" s="115"/>
      <c r="O13" s="115"/>
      <c r="P13" s="115"/>
      <c r="Q13" s="115"/>
      <c r="R13" s="115"/>
      <c r="S13" s="115"/>
      <c r="T13" s="115"/>
      <c r="U13" s="115"/>
    </row>
    <row r="14" spans="2:21" ht="15.75" x14ac:dyDescent="0.25">
      <c r="B14" s="7">
        <f t="shared" si="2"/>
        <v>1971</v>
      </c>
      <c r="C14" s="7">
        <v>102.09</v>
      </c>
      <c r="D14" s="4">
        <v>5.4600000000000003E-2</v>
      </c>
      <c r="E14" s="70">
        <f t="shared" si="0"/>
        <v>5.5741140000000007</v>
      </c>
      <c r="F14" s="4">
        <v>3.1E-2</v>
      </c>
      <c r="G14" s="66">
        <f t="shared" si="1"/>
        <v>3.16479</v>
      </c>
      <c r="H14" s="66" t="s">
        <v>10</v>
      </c>
      <c r="I14" s="66" t="s">
        <v>10</v>
      </c>
      <c r="J14" s="66" t="s">
        <v>10</v>
      </c>
    </row>
    <row r="15" spans="2:21" ht="15.75" x14ac:dyDescent="0.25">
      <c r="B15" s="7">
        <f t="shared" si="2"/>
        <v>1972</v>
      </c>
      <c r="C15" s="7">
        <v>118.05</v>
      </c>
      <c r="D15" s="4">
        <v>5.2299999999999999E-2</v>
      </c>
      <c r="E15" s="70">
        <f t="shared" si="0"/>
        <v>6.1740149999999998</v>
      </c>
      <c r="F15" s="4">
        <v>2.7E-2</v>
      </c>
      <c r="G15" s="66">
        <f t="shared" si="1"/>
        <v>3.1873499999999999</v>
      </c>
      <c r="H15" s="66" t="s">
        <v>10</v>
      </c>
      <c r="I15" s="66" t="s">
        <v>10</v>
      </c>
      <c r="J15" s="66" t="s">
        <v>10</v>
      </c>
    </row>
    <row r="16" spans="2:21" ht="15.75" x14ac:dyDescent="0.25">
      <c r="B16" s="7">
        <f t="shared" si="2"/>
        <v>1973</v>
      </c>
      <c r="C16" s="7">
        <v>97.55</v>
      </c>
      <c r="D16" s="4">
        <v>8.1600000000000006E-2</v>
      </c>
      <c r="E16" s="70">
        <f t="shared" si="0"/>
        <v>7.9600800000000005</v>
      </c>
      <c r="F16" s="4">
        <v>3.6999999999999998E-2</v>
      </c>
      <c r="G16" s="66">
        <f t="shared" si="1"/>
        <v>3.6093499999999996</v>
      </c>
      <c r="H16" s="66" t="s">
        <v>10</v>
      </c>
      <c r="I16" s="66" t="s">
        <v>10</v>
      </c>
      <c r="J16" s="66" t="s">
        <v>10</v>
      </c>
    </row>
    <row r="17" spans="2:10" ht="15.75" x14ac:dyDescent="0.25">
      <c r="B17" s="7">
        <f t="shared" si="2"/>
        <v>1974</v>
      </c>
      <c r="C17" s="7">
        <v>68.56</v>
      </c>
      <c r="D17" s="4">
        <v>0.13639999999999999</v>
      </c>
      <c r="E17" s="70">
        <f t="shared" si="0"/>
        <v>9.351583999999999</v>
      </c>
      <c r="F17" s="4">
        <v>5.4300000000000001E-2</v>
      </c>
      <c r="G17" s="66">
        <f t="shared" si="1"/>
        <v>3.7228080000000001</v>
      </c>
      <c r="H17" s="66" t="s">
        <v>10</v>
      </c>
      <c r="I17" s="66" t="s">
        <v>10</v>
      </c>
      <c r="J17" s="66" t="s">
        <v>10</v>
      </c>
    </row>
    <row r="18" spans="2:10" ht="15.75" x14ac:dyDescent="0.25">
      <c r="B18" s="7">
        <f t="shared" si="2"/>
        <v>1975</v>
      </c>
      <c r="C18" s="7">
        <v>90.19</v>
      </c>
      <c r="D18" s="4">
        <v>8.5500000000000007E-2</v>
      </c>
      <c r="E18" s="70">
        <f t="shared" si="0"/>
        <v>7.7112450000000008</v>
      </c>
      <c r="F18" s="4">
        <v>4.1399999999999999E-2</v>
      </c>
      <c r="G18" s="66">
        <f t="shared" si="1"/>
        <v>3.7338659999999999</v>
      </c>
      <c r="H18" s="66" t="s">
        <v>10</v>
      </c>
      <c r="I18" s="66" t="s">
        <v>10</v>
      </c>
      <c r="J18" s="66" t="s">
        <v>10</v>
      </c>
    </row>
    <row r="19" spans="2:10" ht="15.75" x14ac:dyDescent="0.25">
      <c r="B19" s="7">
        <f t="shared" si="2"/>
        <v>1976</v>
      </c>
      <c r="C19" s="7">
        <v>107.46</v>
      </c>
      <c r="D19" s="4">
        <v>9.0700000000000003E-2</v>
      </c>
      <c r="E19" s="70">
        <f t="shared" si="0"/>
        <v>9.7466220000000003</v>
      </c>
      <c r="F19" s="4">
        <v>3.9300000000000002E-2</v>
      </c>
      <c r="G19" s="66">
        <f t="shared" si="1"/>
        <v>4.2231779999999999</v>
      </c>
      <c r="H19" s="66" t="s">
        <v>10</v>
      </c>
      <c r="I19" s="66" t="s">
        <v>10</v>
      </c>
      <c r="J19" s="66" t="s">
        <v>10</v>
      </c>
    </row>
    <row r="20" spans="2:10" ht="15.75" x14ac:dyDescent="0.25">
      <c r="B20" s="7">
        <f t="shared" si="2"/>
        <v>1977</v>
      </c>
      <c r="C20" s="7">
        <v>95.1</v>
      </c>
      <c r="D20" s="4">
        <v>0.1143</v>
      </c>
      <c r="E20" s="70">
        <f t="shared" si="0"/>
        <v>10.86993</v>
      </c>
      <c r="F20" s="4">
        <v>5.11E-2</v>
      </c>
      <c r="G20" s="66">
        <f t="shared" si="1"/>
        <v>4.85961</v>
      </c>
      <c r="H20" s="66" t="s">
        <v>10</v>
      </c>
      <c r="I20" s="66" t="s">
        <v>10</v>
      </c>
      <c r="J20" s="66" t="s">
        <v>10</v>
      </c>
    </row>
    <row r="21" spans="2:10" ht="15.75" x14ac:dyDescent="0.25">
      <c r="B21" s="7">
        <f t="shared" si="2"/>
        <v>1978</v>
      </c>
      <c r="C21" s="7">
        <v>96.11</v>
      </c>
      <c r="D21" s="4">
        <v>0.1211</v>
      </c>
      <c r="E21" s="70">
        <f t="shared" si="0"/>
        <v>11.638921</v>
      </c>
      <c r="F21" s="4">
        <v>5.3900000000000003E-2</v>
      </c>
      <c r="G21" s="66">
        <f t="shared" si="1"/>
        <v>5.1803290000000004</v>
      </c>
      <c r="H21" s="66" t="s">
        <v>10</v>
      </c>
      <c r="I21" s="66" t="s">
        <v>10</v>
      </c>
      <c r="J21" s="66" t="s">
        <v>10</v>
      </c>
    </row>
    <row r="22" spans="2:10" ht="15.75" x14ac:dyDescent="0.25">
      <c r="B22" s="7">
        <f t="shared" si="2"/>
        <v>1979</v>
      </c>
      <c r="C22" s="7">
        <v>107.94</v>
      </c>
      <c r="D22" s="4">
        <v>0.1348</v>
      </c>
      <c r="E22" s="70">
        <f t="shared" si="0"/>
        <v>14.550312</v>
      </c>
      <c r="F22" s="4">
        <v>5.5300000000000002E-2</v>
      </c>
      <c r="G22" s="66">
        <f t="shared" si="1"/>
        <v>5.9690820000000002</v>
      </c>
      <c r="H22" s="66" t="s">
        <v>10</v>
      </c>
      <c r="I22" s="66" t="s">
        <v>10</v>
      </c>
      <c r="J22" s="66" t="s">
        <v>10</v>
      </c>
    </row>
    <row r="23" spans="2:10" ht="15.75" x14ac:dyDescent="0.25">
      <c r="B23" s="7">
        <f t="shared" si="2"/>
        <v>1980</v>
      </c>
      <c r="C23" s="7">
        <v>135.76</v>
      </c>
      <c r="D23" s="4">
        <v>0.1104</v>
      </c>
      <c r="E23" s="70">
        <f t="shared" si="0"/>
        <v>14.987903999999999</v>
      </c>
      <c r="F23" s="4">
        <v>4.7399999999999998E-2</v>
      </c>
      <c r="G23" s="66">
        <f t="shared" si="1"/>
        <v>6.4350239999999994</v>
      </c>
      <c r="H23" s="66" t="s">
        <v>10</v>
      </c>
      <c r="I23" s="66" t="s">
        <v>10</v>
      </c>
      <c r="J23" s="66" t="s">
        <v>10</v>
      </c>
    </row>
    <row r="24" spans="2:10" ht="15.75" x14ac:dyDescent="0.25">
      <c r="B24" s="7">
        <f t="shared" si="2"/>
        <v>1981</v>
      </c>
      <c r="C24" s="7">
        <v>122.55</v>
      </c>
      <c r="D24" s="4">
        <v>0.1239</v>
      </c>
      <c r="E24" s="70">
        <f t="shared" si="0"/>
        <v>15.183945</v>
      </c>
      <c r="F24" s="4">
        <v>5.57E-2</v>
      </c>
      <c r="G24" s="66">
        <f t="shared" si="1"/>
        <v>6.8260350000000001</v>
      </c>
      <c r="H24" s="66" t="s">
        <v>10</v>
      </c>
      <c r="I24" s="66" t="s">
        <v>10</v>
      </c>
      <c r="J24" s="66" t="s">
        <v>10</v>
      </c>
    </row>
    <row r="25" spans="2:10" ht="15.75" x14ac:dyDescent="0.25">
      <c r="B25" s="7">
        <f t="shared" si="2"/>
        <v>1982</v>
      </c>
      <c r="C25" s="7">
        <v>140.63999999999999</v>
      </c>
      <c r="D25" s="4">
        <v>9.8299999999999998E-2</v>
      </c>
      <c r="E25" s="70">
        <f t="shared" si="0"/>
        <v>13.824911999999998</v>
      </c>
      <c r="F25" s="4">
        <v>4.9299999999999997E-2</v>
      </c>
      <c r="G25" s="66">
        <f t="shared" si="1"/>
        <v>6.9335519999999988</v>
      </c>
      <c r="H25" s="66" t="s">
        <v>10</v>
      </c>
      <c r="I25" s="66" t="s">
        <v>10</v>
      </c>
      <c r="J25" s="66" t="s">
        <v>10</v>
      </c>
    </row>
    <row r="26" spans="2:10" ht="15.75" x14ac:dyDescent="0.25">
      <c r="B26" s="7">
        <f t="shared" si="2"/>
        <v>1983</v>
      </c>
      <c r="C26" s="7">
        <v>164.93</v>
      </c>
      <c r="D26" s="4">
        <v>8.0600000000000005E-2</v>
      </c>
      <c r="E26" s="70">
        <f t="shared" si="0"/>
        <v>13.293358000000001</v>
      </c>
      <c r="F26" s="4">
        <v>4.3200000000000002E-2</v>
      </c>
      <c r="G26" s="66">
        <f t="shared" si="1"/>
        <v>7.1249760000000011</v>
      </c>
      <c r="H26" s="66" t="s">
        <v>10</v>
      </c>
      <c r="I26" s="66" t="s">
        <v>10</v>
      </c>
      <c r="J26" s="66" t="s">
        <v>10</v>
      </c>
    </row>
    <row r="27" spans="2:10" ht="15.75" x14ac:dyDescent="0.25">
      <c r="B27" s="7">
        <f t="shared" si="2"/>
        <v>1984</v>
      </c>
      <c r="C27" s="7">
        <v>167.24</v>
      </c>
      <c r="D27" s="4">
        <v>0.1007</v>
      </c>
      <c r="E27" s="70">
        <f t="shared" si="0"/>
        <v>16.841068</v>
      </c>
      <c r="F27" s="4">
        <v>4.6800000000000001E-2</v>
      </c>
      <c r="G27" s="66">
        <f t="shared" si="1"/>
        <v>7.8268320000000005</v>
      </c>
      <c r="H27" s="66" t="s">
        <v>10</v>
      </c>
      <c r="I27" s="66" t="s">
        <v>10</v>
      </c>
      <c r="J27" s="66" t="s">
        <v>10</v>
      </c>
    </row>
    <row r="28" spans="2:10" ht="15.75" x14ac:dyDescent="0.25">
      <c r="B28" s="7">
        <f t="shared" si="2"/>
        <v>1985</v>
      </c>
      <c r="C28" s="7">
        <v>211.28</v>
      </c>
      <c r="D28" s="4">
        <v>7.4200000000000002E-2</v>
      </c>
      <c r="E28" s="70">
        <f t="shared" si="0"/>
        <v>15.676976</v>
      </c>
      <c r="F28" s="4">
        <v>3.8800000000000001E-2</v>
      </c>
      <c r="G28" s="66">
        <f t="shared" si="1"/>
        <v>8.1976639999999996</v>
      </c>
      <c r="H28" s="66" t="s">
        <v>10</v>
      </c>
      <c r="I28" s="66" t="s">
        <v>10</v>
      </c>
      <c r="J28" s="66" t="s">
        <v>10</v>
      </c>
    </row>
    <row r="29" spans="2:10" ht="15.75" x14ac:dyDescent="0.25">
      <c r="B29" s="7">
        <f t="shared" si="2"/>
        <v>1986</v>
      </c>
      <c r="C29" s="7">
        <v>242.17</v>
      </c>
      <c r="D29" s="4">
        <v>5.96E-2</v>
      </c>
      <c r="E29" s="70">
        <f t="shared" si="0"/>
        <v>14.433332</v>
      </c>
      <c r="F29" s="4">
        <v>3.3799999999999997E-2</v>
      </c>
      <c r="G29" s="66">
        <f t="shared" si="1"/>
        <v>8.1853459999999991</v>
      </c>
      <c r="H29" s="66" t="s">
        <v>10</v>
      </c>
      <c r="I29" s="66" t="s">
        <v>10</v>
      </c>
      <c r="J29" s="66" t="s">
        <v>10</v>
      </c>
    </row>
    <row r="30" spans="2:10" ht="15.75" x14ac:dyDescent="0.25">
      <c r="B30" s="7">
        <f t="shared" si="2"/>
        <v>1987</v>
      </c>
      <c r="C30" s="7">
        <v>247.08</v>
      </c>
      <c r="D30" s="4">
        <v>6.4899999999999999E-2</v>
      </c>
      <c r="E30" s="70">
        <f t="shared" si="0"/>
        <v>16.035492000000001</v>
      </c>
      <c r="F30" s="4">
        <v>3.7100000000000001E-2</v>
      </c>
      <c r="G30" s="66">
        <f t="shared" si="1"/>
        <v>9.1666680000000014</v>
      </c>
      <c r="H30" s="66" t="s">
        <v>10</v>
      </c>
      <c r="I30" s="66" t="s">
        <v>10</v>
      </c>
      <c r="J30" s="66" t="s">
        <v>10</v>
      </c>
    </row>
    <row r="31" spans="2:10" ht="15.75" x14ac:dyDescent="0.25">
      <c r="B31" s="7">
        <f t="shared" si="2"/>
        <v>1988</v>
      </c>
      <c r="C31" s="7">
        <v>277.72000000000003</v>
      </c>
      <c r="D31" s="4">
        <v>8.6900000000000005E-2</v>
      </c>
      <c r="E31" s="70">
        <f t="shared" si="0"/>
        <v>24.133868000000003</v>
      </c>
      <c r="F31" s="4">
        <v>3.6799999999999999E-2</v>
      </c>
      <c r="G31" s="66">
        <f t="shared" si="1"/>
        <v>10.220096000000002</v>
      </c>
      <c r="H31" s="66" t="s">
        <v>10</v>
      </c>
      <c r="I31" s="66" t="s">
        <v>10</v>
      </c>
      <c r="J31" s="66" t="s">
        <v>10</v>
      </c>
    </row>
    <row r="32" spans="2:10" ht="15.75" x14ac:dyDescent="0.25">
      <c r="B32" s="7">
        <f t="shared" si="2"/>
        <v>1989</v>
      </c>
      <c r="C32" s="7">
        <v>353.4</v>
      </c>
      <c r="D32" s="4">
        <v>6.88E-2</v>
      </c>
      <c r="E32" s="70">
        <f t="shared" si="0"/>
        <v>24.31392</v>
      </c>
      <c r="F32" s="4">
        <v>3.32E-2</v>
      </c>
      <c r="G32" s="66">
        <f t="shared" si="1"/>
        <v>11.73288</v>
      </c>
      <c r="H32" s="66" t="s">
        <v>10</v>
      </c>
      <c r="I32" s="66" t="s">
        <v>10</v>
      </c>
      <c r="J32" s="66" t="s">
        <v>10</v>
      </c>
    </row>
    <row r="33" spans="2:10" ht="15.75" x14ac:dyDescent="0.25">
      <c r="B33" s="7">
        <f t="shared" si="2"/>
        <v>1990</v>
      </c>
      <c r="C33" s="7">
        <v>330.22</v>
      </c>
      <c r="D33" s="4">
        <v>6.8599999999999994E-2</v>
      </c>
      <c r="E33" s="70">
        <f t="shared" si="0"/>
        <v>22.653092000000001</v>
      </c>
      <c r="F33" s="4">
        <v>3.7400000000000003E-2</v>
      </c>
      <c r="G33" s="66">
        <f t="shared" si="1"/>
        <v>12.350228000000001</v>
      </c>
      <c r="H33" s="66" t="s">
        <v>10</v>
      </c>
      <c r="I33" s="66" t="s">
        <v>10</v>
      </c>
      <c r="J33" s="66" t="s">
        <v>10</v>
      </c>
    </row>
    <row r="34" spans="2:10" ht="15.75" x14ac:dyDescent="0.25">
      <c r="B34" s="7">
        <f t="shared" si="2"/>
        <v>1991</v>
      </c>
      <c r="C34" s="7">
        <v>417.09</v>
      </c>
      <c r="D34" s="4">
        <v>4.6300000000000001E-2</v>
      </c>
      <c r="E34" s="70">
        <f t="shared" si="0"/>
        <v>19.311267000000001</v>
      </c>
      <c r="F34" s="4">
        <v>3.1099999999999999E-2</v>
      </c>
      <c r="G34" s="66">
        <f t="shared" si="1"/>
        <v>12.971499</v>
      </c>
      <c r="H34" s="66" t="s">
        <v>10</v>
      </c>
      <c r="I34" s="66" t="s">
        <v>10</v>
      </c>
      <c r="J34" s="66" t="s">
        <v>10</v>
      </c>
    </row>
    <row r="35" spans="2:10" ht="15.75" x14ac:dyDescent="0.25">
      <c r="B35" s="7">
        <f t="shared" si="2"/>
        <v>1992</v>
      </c>
      <c r="C35" s="7">
        <v>435.71</v>
      </c>
      <c r="D35" s="4">
        <v>4.7899999999999998E-2</v>
      </c>
      <c r="E35" s="70">
        <f t="shared" ref="E35:E66" si="3">C35*D35</f>
        <v>20.870508999999998</v>
      </c>
      <c r="F35" s="4">
        <v>2.9000000000000001E-2</v>
      </c>
      <c r="G35" s="66">
        <f t="shared" ref="G35:G66" si="4">F35*C35</f>
        <v>12.635590000000001</v>
      </c>
      <c r="H35" s="66" t="s">
        <v>10</v>
      </c>
      <c r="I35" s="66" t="s">
        <v>10</v>
      </c>
      <c r="J35" s="66" t="s">
        <v>10</v>
      </c>
    </row>
    <row r="36" spans="2:10" ht="15.75" x14ac:dyDescent="0.25">
      <c r="B36" s="7">
        <f t="shared" si="2"/>
        <v>1993</v>
      </c>
      <c r="C36" s="7">
        <v>466.45</v>
      </c>
      <c r="D36" s="4">
        <v>5.7700000000000001E-2</v>
      </c>
      <c r="E36" s="70">
        <f t="shared" si="3"/>
        <v>26.914165000000001</v>
      </c>
      <c r="F36" s="4">
        <v>2.7199999999999998E-2</v>
      </c>
      <c r="G36" s="66">
        <f t="shared" si="4"/>
        <v>12.687439999999999</v>
      </c>
      <c r="H36" s="66" t="s">
        <v>10</v>
      </c>
      <c r="I36" s="66" t="s">
        <v>10</v>
      </c>
      <c r="J36" s="66" t="s">
        <v>10</v>
      </c>
    </row>
    <row r="37" spans="2:10" ht="15.75" x14ac:dyDescent="0.25">
      <c r="B37" s="7">
        <f t="shared" si="2"/>
        <v>1994</v>
      </c>
      <c r="C37" s="7">
        <v>459.27</v>
      </c>
      <c r="D37" s="4">
        <v>6.9099999999999995E-2</v>
      </c>
      <c r="E37" s="70">
        <f t="shared" si="3"/>
        <v>31.735556999999996</v>
      </c>
      <c r="F37" s="4">
        <v>2.9100000000000001E-2</v>
      </c>
      <c r="G37" s="66">
        <f t="shared" si="4"/>
        <v>13.364756999999999</v>
      </c>
      <c r="H37" s="66" t="s">
        <v>10</v>
      </c>
      <c r="I37" s="66" t="s">
        <v>10</v>
      </c>
      <c r="J37" s="66" t="s">
        <v>10</v>
      </c>
    </row>
    <row r="38" spans="2:10" ht="15.75" x14ac:dyDescent="0.25">
      <c r="B38" s="7">
        <f t="shared" si="2"/>
        <v>1995</v>
      </c>
      <c r="C38" s="7">
        <v>615.92999999999995</v>
      </c>
      <c r="D38" s="4">
        <v>6.1199999999999997E-2</v>
      </c>
      <c r="E38" s="70">
        <f t="shared" si="3"/>
        <v>37.694915999999992</v>
      </c>
      <c r="F38" s="4">
        <v>2.3E-2</v>
      </c>
      <c r="G38" s="66">
        <f t="shared" si="4"/>
        <v>14.166389999999998</v>
      </c>
      <c r="H38" s="66" t="s">
        <v>10</v>
      </c>
      <c r="I38" s="66" t="s">
        <v>10</v>
      </c>
      <c r="J38" s="66" t="s">
        <v>10</v>
      </c>
    </row>
    <row r="39" spans="2:10" ht="15.75" x14ac:dyDescent="0.25">
      <c r="B39" s="7">
        <f t="shared" si="2"/>
        <v>1996</v>
      </c>
      <c r="C39" s="7">
        <v>740.74</v>
      </c>
      <c r="D39" s="4">
        <v>5.4899999999999997E-2</v>
      </c>
      <c r="E39" s="70">
        <f t="shared" si="3"/>
        <v>40.666626000000001</v>
      </c>
      <c r="F39" s="4">
        <v>2.01E-2</v>
      </c>
      <c r="G39" s="66">
        <f t="shared" si="4"/>
        <v>14.888873999999999</v>
      </c>
      <c r="H39" s="66" t="s">
        <v>10</v>
      </c>
      <c r="I39" s="66" t="s">
        <v>10</v>
      </c>
      <c r="J39" s="66" t="s">
        <v>10</v>
      </c>
    </row>
    <row r="40" spans="2:10" ht="15.75" x14ac:dyDescent="0.25">
      <c r="B40" s="7">
        <f t="shared" si="2"/>
        <v>1997</v>
      </c>
      <c r="C40" s="7">
        <v>970.43</v>
      </c>
      <c r="D40" s="4">
        <v>4.5400000000000003E-2</v>
      </c>
      <c r="E40" s="70">
        <f t="shared" si="3"/>
        <v>44.057521999999999</v>
      </c>
      <c r="F40" s="4">
        <v>1.6E-2</v>
      </c>
      <c r="G40" s="66">
        <f t="shared" si="4"/>
        <v>15.52688</v>
      </c>
      <c r="H40" s="66" t="s">
        <v>10</v>
      </c>
      <c r="I40" s="66" t="s">
        <v>10</v>
      </c>
      <c r="J40" s="66" t="s">
        <v>10</v>
      </c>
    </row>
    <row r="41" spans="2:10" ht="15.75" x14ac:dyDescent="0.25">
      <c r="B41" s="7">
        <f t="shared" si="2"/>
        <v>1998</v>
      </c>
      <c r="C41" s="7">
        <v>1229.23</v>
      </c>
      <c r="D41" s="4">
        <v>3.5999999999999997E-2</v>
      </c>
      <c r="E41" s="70">
        <f t="shared" si="3"/>
        <v>44.252279999999999</v>
      </c>
      <c r="F41" s="4">
        <v>1.32E-2</v>
      </c>
      <c r="G41" s="66">
        <f t="shared" si="4"/>
        <v>16.225836000000001</v>
      </c>
      <c r="H41" s="66" t="s">
        <v>10</v>
      </c>
      <c r="I41" s="66" t="s">
        <v>10</v>
      </c>
      <c r="J41" s="66" t="s">
        <v>10</v>
      </c>
    </row>
    <row r="42" spans="2:10" ht="15.75" x14ac:dyDescent="0.25">
      <c r="B42" s="7">
        <f t="shared" si="2"/>
        <v>1999</v>
      </c>
      <c r="C42" s="7">
        <v>1469.25</v>
      </c>
      <c r="D42" s="4">
        <v>3.5200000000000002E-2</v>
      </c>
      <c r="E42" s="70">
        <f t="shared" si="3"/>
        <v>51.717600000000004</v>
      </c>
      <c r="F42" s="4">
        <v>1.14E-2</v>
      </c>
      <c r="G42" s="66">
        <f t="shared" si="4"/>
        <v>16.74945</v>
      </c>
      <c r="H42" s="66" t="s">
        <v>10</v>
      </c>
      <c r="I42" s="66" t="s">
        <v>10</v>
      </c>
      <c r="J42" s="66" t="s">
        <v>10</v>
      </c>
    </row>
    <row r="43" spans="2:10" ht="15.75" x14ac:dyDescent="0.25">
      <c r="B43" s="7">
        <f t="shared" si="2"/>
        <v>2000</v>
      </c>
      <c r="C43" s="7">
        <v>1320.28</v>
      </c>
      <c r="D43" s="4">
        <v>4.2500000000000003E-2</v>
      </c>
      <c r="E43" s="70">
        <f t="shared" si="3"/>
        <v>56.111900000000006</v>
      </c>
      <c r="F43" s="4">
        <v>1.23E-2</v>
      </c>
      <c r="G43" s="66">
        <f t="shared" si="4"/>
        <v>16.239443999999999</v>
      </c>
      <c r="H43" s="66" t="s">
        <v>10</v>
      </c>
      <c r="I43" s="66" t="s">
        <v>10</v>
      </c>
      <c r="J43" s="66" t="s">
        <v>10</v>
      </c>
    </row>
    <row r="44" spans="2:10" ht="15.75" x14ac:dyDescent="0.25">
      <c r="B44" s="7">
        <f t="shared" si="2"/>
        <v>2001</v>
      </c>
      <c r="C44" s="7">
        <v>1148.0899999999999</v>
      </c>
      <c r="D44" s="4">
        <v>3.3799999999999997E-2</v>
      </c>
      <c r="E44" s="70">
        <f t="shared" si="3"/>
        <v>38.805441999999992</v>
      </c>
      <c r="F44" s="4">
        <v>1.37E-2</v>
      </c>
      <c r="G44" s="66">
        <f t="shared" si="4"/>
        <v>15.728833</v>
      </c>
      <c r="H44" s="37">
        <v>30.08</v>
      </c>
      <c r="I44" s="66">
        <f>H44-G44</f>
        <v>14.351166999999998</v>
      </c>
      <c r="J44" s="67">
        <f>I44/C44</f>
        <v>1.2500036582497888E-2</v>
      </c>
    </row>
    <row r="45" spans="2:10" ht="15.75" x14ac:dyDescent="0.25">
      <c r="B45" s="7">
        <f t="shared" si="2"/>
        <v>2002</v>
      </c>
      <c r="C45" s="7">
        <v>879.82</v>
      </c>
      <c r="D45" s="4">
        <v>5.2299999999999999E-2</v>
      </c>
      <c r="E45" s="70">
        <f t="shared" si="3"/>
        <v>46.014586000000001</v>
      </c>
      <c r="F45" s="4">
        <v>1.8100000000000002E-2</v>
      </c>
      <c r="G45" s="66">
        <f t="shared" si="4"/>
        <v>15.924742000000002</v>
      </c>
      <c r="H45" s="37">
        <v>29.83</v>
      </c>
      <c r="I45" s="66">
        <f t="shared" ref="I45:I67" si="5">H45-G45</f>
        <v>13.905257999999996</v>
      </c>
      <c r="J45" s="67">
        <f t="shared" ref="J45:J67" si="6">I45/C45</f>
        <v>1.5804662317292169E-2</v>
      </c>
    </row>
    <row r="46" spans="2:10" ht="15.75" x14ac:dyDescent="0.25">
      <c r="B46" s="7">
        <f t="shared" si="2"/>
        <v>2003</v>
      </c>
      <c r="C46" s="7">
        <v>1111.9100000000001</v>
      </c>
      <c r="D46" s="4">
        <v>4.9200000000000001E-2</v>
      </c>
      <c r="E46" s="70">
        <f t="shared" si="3"/>
        <v>54.705972000000003</v>
      </c>
      <c r="F46" s="4">
        <v>1.61E-2</v>
      </c>
      <c r="G46" s="66">
        <f t="shared" si="4"/>
        <v>17.901751000000001</v>
      </c>
      <c r="H46" s="37">
        <v>31.58</v>
      </c>
      <c r="I46" s="66">
        <f t="shared" si="5"/>
        <v>13.678248999999997</v>
      </c>
      <c r="J46" s="67">
        <f t="shared" si="6"/>
        <v>1.2301579264508814E-2</v>
      </c>
    </row>
    <row r="47" spans="2:10" ht="15.75" x14ac:dyDescent="0.25">
      <c r="B47" s="7">
        <f t="shared" si="2"/>
        <v>2004</v>
      </c>
      <c r="C47" s="7">
        <v>1211.92</v>
      </c>
      <c r="D47" s="4">
        <v>5.5800000000000002E-2</v>
      </c>
      <c r="E47" s="70">
        <f t="shared" si="3"/>
        <v>67.625136000000012</v>
      </c>
      <c r="F47" s="4">
        <v>1.5699999999999999E-2</v>
      </c>
      <c r="G47" s="66">
        <f t="shared" si="4"/>
        <v>19.027144</v>
      </c>
      <c r="H47" s="37">
        <v>40.6</v>
      </c>
      <c r="I47" s="66">
        <f t="shared" si="5"/>
        <v>21.572856000000002</v>
      </c>
      <c r="J47" s="67">
        <f t="shared" si="6"/>
        <v>1.7800561093141463E-2</v>
      </c>
    </row>
    <row r="48" spans="2:10" ht="15.75" x14ac:dyDescent="0.25">
      <c r="B48" s="7">
        <f t="shared" si="2"/>
        <v>2005</v>
      </c>
      <c r="C48" s="7">
        <v>1248.29</v>
      </c>
      <c r="D48" s="4">
        <v>6.1199999999999997E-2</v>
      </c>
      <c r="E48" s="70">
        <f t="shared" si="3"/>
        <v>76.395347999999998</v>
      </c>
      <c r="F48" s="4">
        <v>1.7899999999999999E-2</v>
      </c>
      <c r="G48" s="66">
        <f t="shared" si="4"/>
        <v>22.344390999999998</v>
      </c>
      <c r="H48" s="37">
        <v>61.17</v>
      </c>
      <c r="I48" s="66">
        <f t="shared" si="5"/>
        <v>38.825609</v>
      </c>
      <c r="J48" s="67">
        <f t="shared" si="6"/>
        <v>3.1103036153457931E-2</v>
      </c>
    </row>
    <row r="49" spans="2:11" ht="15.75" x14ac:dyDescent="0.25">
      <c r="B49" s="7">
        <f t="shared" si="2"/>
        <v>2006</v>
      </c>
      <c r="C49" s="7">
        <v>1418.3</v>
      </c>
      <c r="D49" s="4">
        <v>6.1800000000000001E-2</v>
      </c>
      <c r="E49" s="70">
        <f t="shared" si="3"/>
        <v>87.650939999999991</v>
      </c>
      <c r="F49" s="4">
        <v>1.77E-2</v>
      </c>
      <c r="G49" s="66">
        <f t="shared" si="4"/>
        <v>25.103909999999999</v>
      </c>
      <c r="H49" s="37">
        <v>73.16</v>
      </c>
      <c r="I49" s="66">
        <f t="shared" si="5"/>
        <v>48.056089999999998</v>
      </c>
      <c r="J49" s="67">
        <f t="shared" si="6"/>
        <v>3.3882880913770008E-2</v>
      </c>
    </row>
    <row r="50" spans="2:11" ht="15.75" x14ac:dyDescent="0.25">
      <c r="B50" s="7">
        <f t="shared" si="2"/>
        <v>2007</v>
      </c>
      <c r="C50" s="7">
        <v>1468.36</v>
      </c>
      <c r="D50" s="4">
        <v>5.62E-2</v>
      </c>
      <c r="E50" s="70">
        <f t="shared" si="3"/>
        <v>82.521831999999989</v>
      </c>
      <c r="F50" s="4">
        <v>1.9199999999999998E-2</v>
      </c>
      <c r="G50" s="66">
        <f t="shared" si="4"/>
        <v>28.192511999999997</v>
      </c>
      <c r="H50" s="37">
        <v>95.36</v>
      </c>
      <c r="I50" s="66">
        <f t="shared" si="5"/>
        <v>67.167488000000006</v>
      </c>
      <c r="J50" s="67">
        <f t="shared" si="6"/>
        <v>4.5743201939578856E-2</v>
      </c>
    </row>
    <row r="51" spans="2:11" ht="15.75" x14ac:dyDescent="0.25">
      <c r="B51" s="7">
        <f t="shared" si="2"/>
        <v>2008</v>
      </c>
      <c r="C51" s="7">
        <v>903.25</v>
      </c>
      <c r="D51" s="4">
        <v>5.4800000000000001E-2</v>
      </c>
      <c r="E51" s="70">
        <f t="shared" si="3"/>
        <v>49.498100000000001</v>
      </c>
      <c r="F51" s="4">
        <v>3.15E-2</v>
      </c>
      <c r="G51" s="66">
        <f t="shared" si="4"/>
        <v>28.452375</v>
      </c>
      <c r="H51" s="37">
        <v>67.52</v>
      </c>
      <c r="I51" s="66">
        <f t="shared" si="5"/>
        <v>39.067624999999992</v>
      </c>
      <c r="J51" s="67">
        <f t="shared" si="6"/>
        <v>4.3252283420979788E-2</v>
      </c>
    </row>
    <row r="52" spans="2:11" ht="15.75" x14ac:dyDescent="0.25">
      <c r="B52" s="7">
        <f t="shared" si="2"/>
        <v>2009</v>
      </c>
      <c r="C52" s="7">
        <v>1115.0999999999999</v>
      </c>
      <c r="D52" s="4">
        <v>5.0999999999999997E-2</v>
      </c>
      <c r="E52" s="70">
        <f t="shared" si="3"/>
        <v>56.870099999999994</v>
      </c>
      <c r="F52" s="4">
        <v>1.9699999999999999E-2</v>
      </c>
      <c r="G52" s="66">
        <f t="shared" si="4"/>
        <v>21.967469999999995</v>
      </c>
      <c r="H52" s="37">
        <v>37.43</v>
      </c>
      <c r="I52" s="66">
        <f t="shared" si="5"/>
        <v>15.462530000000005</v>
      </c>
      <c r="J52" s="67">
        <f t="shared" si="6"/>
        <v>1.3866496278360691E-2</v>
      </c>
    </row>
    <row r="53" spans="2:11" ht="15.75" x14ac:dyDescent="0.25">
      <c r="B53" s="7">
        <f t="shared" si="2"/>
        <v>2010</v>
      </c>
      <c r="C53" s="7">
        <v>1257.6400000000001</v>
      </c>
      <c r="D53" s="4">
        <v>6.6600000000000006E-2</v>
      </c>
      <c r="E53" s="70">
        <f t="shared" si="3"/>
        <v>83.758824000000018</v>
      </c>
      <c r="F53" s="4">
        <v>1.7999999999999999E-2</v>
      </c>
      <c r="G53" s="66">
        <f t="shared" si="4"/>
        <v>22.637519999999999</v>
      </c>
      <c r="H53" s="37">
        <v>55.53</v>
      </c>
      <c r="I53" s="66">
        <f t="shared" si="5"/>
        <v>32.892480000000006</v>
      </c>
      <c r="J53" s="67">
        <f t="shared" si="6"/>
        <v>2.6154129957698551E-2</v>
      </c>
    </row>
    <row r="54" spans="2:11" ht="15.75" x14ac:dyDescent="0.25">
      <c r="B54" s="7">
        <f t="shared" si="2"/>
        <v>2011</v>
      </c>
      <c r="C54" s="7">
        <v>1257.5999999999999</v>
      </c>
      <c r="D54" s="5">
        <v>7.6700000000000004E-2</v>
      </c>
      <c r="E54" s="71">
        <f t="shared" si="3"/>
        <v>96.457920000000001</v>
      </c>
      <c r="F54" s="5">
        <v>2.1100000000000001E-2</v>
      </c>
      <c r="G54" s="68">
        <f t="shared" si="4"/>
        <v>26.535360000000001</v>
      </c>
      <c r="H54" s="37">
        <v>71.28</v>
      </c>
      <c r="I54" s="66">
        <f t="shared" si="5"/>
        <v>44.744640000000004</v>
      </c>
      <c r="J54" s="67">
        <f t="shared" si="6"/>
        <v>3.5579389312977105E-2</v>
      </c>
    </row>
    <row r="55" spans="2:11" ht="15.75" x14ac:dyDescent="0.25">
      <c r="B55" s="7">
        <f t="shared" si="2"/>
        <v>2012</v>
      </c>
      <c r="C55" s="7">
        <v>1426.19</v>
      </c>
      <c r="D55" s="4">
        <v>6.7900000000000002E-2</v>
      </c>
      <c r="E55" s="70">
        <f t="shared" si="3"/>
        <v>96.838301000000001</v>
      </c>
      <c r="F55" s="4">
        <v>2.1899999999999999E-2</v>
      </c>
      <c r="G55" s="66">
        <f t="shared" si="4"/>
        <v>31.233561000000002</v>
      </c>
      <c r="H55" s="37">
        <v>75.900000000000006</v>
      </c>
      <c r="I55" s="66">
        <f t="shared" si="5"/>
        <v>44.666439000000004</v>
      </c>
      <c r="J55" s="67">
        <f t="shared" si="6"/>
        <v>3.1318715598903375E-2</v>
      </c>
    </row>
    <row r="56" spans="2:11" ht="15.75" x14ac:dyDescent="0.25">
      <c r="B56" s="7">
        <f t="shared" si="2"/>
        <v>2013</v>
      </c>
      <c r="C56" s="7">
        <v>1848.36</v>
      </c>
      <c r="D56" s="4">
        <v>5.6800000000000003E-2</v>
      </c>
      <c r="E56" s="70">
        <f t="shared" si="3"/>
        <v>104.98684799999999</v>
      </c>
      <c r="F56" s="4">
        <v>1.89E-2</v>
      </c>
      <c r="G56" s="66">
        <f t="shared" si="4"/>
        <v>34.934004000000002</v>
      </c>
      <c r="H56" s="37">
        <v>88.13</v>
      </c>
      <c r="I56" s="66">
        <f t="shared" si="5"/>
        <v>53.195995999999994</v>
      </c>
      <c r="J56" s="67">
        <f t="shared" si="6"/>
        <v>2.878010560713281E-2</v>
      </c>
    </row>
    <row r="57" spans="2:11" ht="15.75" x14ac:dyDescent="0.25">
      <c r="B57" s="7">
        <f t="shared" si="2"/>
        <v>2014</v>
      </c>
      <c r="C57" s="7">
        <v>2058.9</v>
      </c>
      <c r="D57" s="4">
        <v>5.6399999999999999E-2</v>
      </c>
      <c r="E57" s="70">
        <f t="shared" si="3"/>
        <v>116.12196</v>
      </c>
      <c r="F57" s="5">
        <v>1.9199999999999998E-2</v>
      </c>
      <c r="G57" s="66">
        <f t="shared" si="4"/>
        <v>39.530879999999996</v>
      </c>
      <c r="H57" s="37">
        <v>101.98</v>
      </c>
      <c r="I57" s="66">
        <f t="shared" si="5"/>
        <v>62.449120000000008</v>
      </c>
      <c r="J57" s="67">
        <f t="shared" si="6"/>
        <v>3.033130312302686E-2</v>
      </c>
    </row>
    <row r="58" spans="2:11" ht="15.75" x14ac:dyDescent="0.25">
      <c r="B58" s="7">
        <f t="shared" si="2"/>
        <v>2015</v>
      </c>
      <c r="C58" s="7">
        <v>2043.94</v>
      </c>
      <c r="D58" s="4">
        <v>4.9200000000000001E-2</v>
      </c>
      <c r="E58" s="70">
        <f t="shared" si="3"/>
        <v>100.561848</v>
      </c>
      <c r="F58" s="5">
        <v>2.12E-2</v>
      </c>
      <c r="G58" s="66">
        <f t="shared" si="4"/>
        <v>43.331527999999999</v>
      </c>
      <c r="H58" s="37">
        <v>106.1</v>
      </c>
      <c r="I58" s="66">
        <f t="shared" si="5"/>
        <v>62.768471999999996</v>
      </c>
      <c r="J58" s="67">
        <f t="shared" si="6"/>
        <v>3.0709547246983764E-2</v>
      </c>
      <c r="K58" s="96"/>
    </row>
    <row r="59" spans="2:11" ht="15.75" x14ac:dyDescent="0.25">
      <c r="B59" s="7">
        <f t="shared" si="2"/>
        <v>2016</v>
      </c>
      <c r="C59" s="8">
        <v>2238.83</v>
      </c>
      <c r="D59" s="4">
        <v>4.7500000000000001E-2</v>
      </c>
      <c r="E59" s="70">
        <f t="shared" si="3"/>
        <v>106.344425</v>
      </c>
      <c r="F59" s="5">
        <v>2.0400000000000001E-2</v>
      </c>
      <c r="G59" s="66">
        <f t="shared" si="4"/>
        <v>45.672132000000005</v>
      </c>
      <c r="H59" s="37">
        <v>108.67</v>
      </c>
      <c r="I59" s="66">
        <f t="shared" si="5"/>
        <v>62.997867999999997</v>
      </c>
      <c r="J59" s="67">
        <f t="shared" si="6"/>
        <v>2.8138745684129655E-2</v>
      </c>
    </row>
    <row r="60" spans="2:11" ht="15.75" x14ac:dyDescent="0.25">
      <c r="B60" s="7">
        <f t="shared" si="2"/>
        <v>2017</v>
      </c>
      <c r="C60" s="8">
        <v>2673.61</v>
      </c>
      <c r="D60" s="6">
        <v>4.6600000000000003E-2</v>
      </c>
      <c r="E60" s="72">
        <f t="shared" si="3"/>
        <v>124.59022600000002</v>
      </c>
      <c r="F60" s="25">
        <v>1.83E-2</v>
      </c>
      <c r="G60" s="69">
        <f t="shared" si="4"/>
        <v>48.927063000000004</v>
      </c>
      <c r="H60" s="37">
        <v>108.28</v>
      </c>
      <c r="I60" s="66">
        <f t="shared" si="5"/>
        <v>59.352936999999997</v>
      </c>
      <c r="J60" s="67">
        <f t="shared" si="6"/>
        <v>2.2199549298513994E-2</v>
      </c>
    </row>
    <row r="61" spans="2:11" ht="15.75" x14ac:dyDescent="0.25">
      <c r="B61" s="7">
        <f t="shared" si="2"/>
        <v>2018</v>
      </c>
      <c r="C61" s="8">
        <v>2506.85</v>
      </c>
      <c r="D61" s="6">
        <v>5.9200000000000003E-2</v>
      </c>
      <c r="E61" s="72">
        <f t="shared" si="3"/>
        <v>148.40552</v>
      </c>
      <c r="F61" s="5">
        <v>2.1399999999999999E-2</v>
      </c>
      <c r="G61" s="69">
        <f t="shared" si="4"/>
        <v>53.646589999999996</v>
      </c>
      <c r="H61" s="37">
        <v>136.65</v>
      </c>
      <c r="I61" s="66">
        <f t="shared" si="5"/>
        <v>83.003410000000002</v>
      </c>
      <c r="J61" s="67">
        <f t="shared" si="6"/>
        <v>3.3110640844087207E-2</v>
      </c>
    </row>
    <row r="62" spans="2:11" ht="15.75" x14ac:dyDescent="0.25">
      <c r="B62" s="7">
        <f t="shared" si="2"/>
        <v>2019</v>
      </c>
      <c r="C62" s="8">
        <v>3230.78</v>
      </c>
      <c r="D62" s="6">
        <v>5.0299999999999997E-2</v>
      </c>
      <c r="E62" s="72">
        <f t="shared" si="3"/>
        <v>162.50823400000002</v>
      </c>
      <c r="F62" s="5">
        <v>1.8200000000000001E-2</v>
      </c>
      <c r="G62" s="69">
        <f t="shared" si="4"/>
        <v>58.800196000000007</v>
      </c>
      <c r="H62" s="37">
        <v>150.5</v>
      </c>
      <c r="I62" s="66">
        <f t="shared" si="5"/>
        <v>91.699804</v>
      </c>
      <c r="J62" s="67">
        <f t="shared" si="6"/>
        <v>2.8383178056073145E-2</v>
      </c>
    </row>
    <row r="63" spans="2:11" ht="15.75" x14ac:dyDescent="0.25">
      <c r="B63" s="7">
        <f t="shared" si="2"/>
        <v>2020</v>
      </c>
      <c r="C63" s="8">
        <v>3756.07</v>
      </c>
      <c r="D63" s="6">
        <v>3.6799999999999999E-2</v>
      </c>
      <c r="E63" s="72">
        <f t="shared" si="3"/>
        <v>138.223376</v>
      </c>
      <c r="F63" s="5">
        <v>1.5100000000000001E-2</v>
      </c>
      <c r="G63" s="69">
        <f t="shared" si="4"/>
        <v>56.716657000000005</v>
      </c>
      <c r="H63" s="37">
        <v>127.78</v>
      </c>
      <c r="I63" s="66">
        <f t="shared" si="5"/>
        <v>71.063343000000003</v>
      </c>
      <c r="J63" s="67">
        <f t="shared" si="6"/>
        <v>1.8919600273690319E-2</v>
      </c>
    </row>
    <row r="64" spans="2:11" ht="15.75" x14ac:dyDescent="0.25">
      <c r="B64" s="7">
        <f t="shared" si="2"/>
        <v>2021</v>
      </c>
      <c r="C64" s="8">
        <v>4766.18</v>
      </c>
      <c r="D64" s="6">
        <v>4.3299999999999998E-2</v>
      </c>
      <c r="E64" s="72">
        <f t="shared" si="3"/>
        <v>206.37559400000001</v>
      </c>
      <c r="F64" s="5">
        <v>1.24E-2</v>
      </c>
      <c r="G64" s="69">
        <f t="shared" si="4"/>
        <v>59.100632000000004</v>
      </c>
      <c r="H64" s="37">
        <v>147.24</v>
      </c>
      <c r="I64" s="66">
        <f t="shared" si="5"/>
        <v>88.139368000000005</v>
      </c>
      <c r="J64" s="67">
        <f t="shared" si="6"/>
        <v>1.8492664565752867E-2</v>
      </c>
    </row>
    <row r="65" spans="2:16" ht="15.75" x14ac:dyDescent="0.25">
      <c r="B65" s="7">
        <f t="shared" si="2"/>
        <v>2022</v>
      </c>
      <c r="C65" s="8">
        <v>3839.5</v>
      </c>
      <c r="D65" s="6">
        <v>5.7200000000000001E-2</v>
      </c>
      <c r="E65" s="72">
        <f t="shared" si="3"/>
        <v>219.61940000000001</v>
      </c>
      <c r="F65" s="5">
        <v>1.78E-2</v>
      </c>
      <c r="G65" s="69">
        <f t="shared" si="4"/>
        <v>68.343099999999993</v>
      </c>
      <c r="H65" s="37">
        <v>181.99</v>
      </c>
      <c r="I65" s="66">
        <f t="shared" si="5"/>
        <v>113.64690000000002</v>
      </c>
      <c r="J65" s="67">
        <f t="shared" si="6"/>
        <v>2.9599400963667147E-2</v>
      </c>
    </row>
    <row r="66" spans="2:16" ht="15.75" x14ac:dyDescent="0.25">
      <c r="B66" s="7">
        <f t="shared" si="2"/>
        <v>2023</v>
      </c>
      <c r="C66" s="7">
        <v>4769.83</v>
      </c>
      <c r="D66" s="4">
        <v>4.6100000000000002E-2</v>
      </c>
      <c r="E66" s="70">
        <f t="shared" si="3"/>
        <v>219.889163</v>
      </c>
      <c r="F66" s="5">
        <v>1.47E-2</v>
      </c>
      <c r="G66" s="66">
        <f t="shared" si="4"/>
        <v>70.116501</v>
      </c>
      <c r="H66" s="37">
        <v>164.79</v>
      </c>
      <c r="I66" s="66">
        <f t="shared" si="5"/>
        <v>94.673498999999993</v>
      </c>
      <c r="J66" s="67">
        <f t="shared" si="6"/>
        <v>1.9848401096055832E-2</v>
      </c>
    </row>
    <row r="67" spans="2:16" ht="15.75" x14ac:dyDescent="0.25">
      <c r="B67" s="7">
        <f t="shared" si="2"/>
        <v>2024</v>
      </c>
      <c r="C67" s="7">
        <v>5881.63</v>
      </c>
      <c r="D67" s="4">
        <v>4.1399999999999999E-2</v>
      </c>
      <c r="E67" s="70">
        <f t="shared" ref="E67" si="7">C67*D67</f>
        <v>243.499482</v>
      </c>
      <c r="F67" s="5">
        <v>1.2500000000000001E-2</v>
      </c>
      <c r="G67" s="66">
        <f t="shared" ref="G67" si="8">F67*C67</f>
        <v>73.520375000000001</v>
      </c>
      <c r="H67" s="37">
        <v>182.8</v>
      </c>
      <c r="I67" s="66">
        <f t="shared" si="5"/>
        <v>109.27962500000001</v>
      </c>
      <c r="J67" s="67">
        <f t="shared" si="6"/>
        <v>1.8579819709842342E-2</v>
      </c>
      <c r="K67" s="36"/>
      <c r="L67" s="34"/>
      <c r="M67" s="35"/>
      <c r="N67" s="35"/>
      <c r="O67" s="35"/>
      <c r="P67" s="35"/>
    </row>
    <row r="68" spans="2:16" ht="15.75" x14ac:dyDescent="0.25">
      <c r="B68" s="9"/>
    </row>
    <row r="69" spans="2:16" x14ac:dyDescent="0.25">
      <c r="B69" s="51" t="s">
        <v>123</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ReadThis</vt:lpstr>
      <vt:lpstr>IntrinsicValue</vt:lpstr>
      <vt:lpstr>impliedERP</vt:lpstr>
      <vt:lpstr>Data&gt;</vt:lpstr>
      <vt:lpstr>ExpectedBB&amp;Dividends</vt:lpstr>
      <vt:lpstr>EPSGrowth</vt:lpstr>
      <vt:lpstr>RFRData</vt:lpstr>
      <vt:lpstr>ERPData</vt:lpstr>
      <vt:lpstr>s&amp;pAllData</vt:lpstr>
      <vt:lpstr>IntrinsicValue!Print_Area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Prakash</dc:creator>
  <cp:lastModifiedBy>Jay Prakash</cp:lastModifiedBy>
  <cp:lastPrinted>2025-08-27T07:37:23Z</cp:lastPrinted>
  <dcterms:created xsi:type="dcterms:W3CDTF">2025-03-01T13:08:05Z</dcterms:created>
  <dcterms:modified xsi:type="dcterms:W3CDTF">2025-11-19T17:48:42Z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