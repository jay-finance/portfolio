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e3dc0ba0609f8e1b/Documents/Finance/"/>
    </mc:Choice>
  </mc:AlternateContent>
  <xr:revisionPtr revIDLastSave="258" documentId="8_{B493C6E9-3F22-4432-A3B8-E025AD5032F2}" xr6:coauthVersionLast="47" xr6:coauthVersionMax="47" xr10:uidLastSave="{BC33BBD5-F98D-4696-874F-21FA9EC7E88E}"/>
  <bookViews>
    <workbookView xWindow="-120" yWindow="-120" windowWidth="24240" windowHeight="13020" activeTab="1" xr2:uid="{84A8270E-11FA-4272-BA6B-D4984E6511B0}"/>
  </bookViews>
  <sheets>
    <sheet name="StartHere" sheetId="1" r:id="rId1"/>
    <sheet name="AutoGovYield" sheetId="3" r:id="rId2"/>
    <sheet name="RfrCalculator" sheetId="7" r:id="rId3"/>
    <sheet name="RfrCountries" sheetId="5" r:id="rId4"/>
    <sheet name="10yrCDS" sheetId="6" r:id="rId5"/>
    <sheet name="Ratings" sheetId="4" r:id="rId6"/>
  </sheets>
  <externalReferences>
    <externalReference r:id="rId7"/>
  </externalReferences>
  <definedNames>
    <definedName name="ExternalData_1" localSheetId="1" hidden="1">AutoGovYield!$A$1:$I$73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7" l="1"/>
  <c r="C6" i="7"/>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B2" i="5"/>
  <c r="B9" i="5"/>
  <c r="K9" i="5"/>
  <c r="L9" i="5"/>
  <c r="M9" i="5"/>
  <c r="B10" i="5"/>
  <c r="H10" i="5" s="1"/>
  <c r="K10" i="5"/>
  <c r="L10" i="5"/>
  <c r="M10" i="5"/>
  <c r="B11" i="5"/>
  <c r="C11" i="5" s="1"/>
  <c r="K11" i="5"/>
  <c r="L11" i="5"/>
  <c r="M11" i="5"/>
  <c r="B12" i="5"/>
  <c r="K12" i="5"/>
  <c r="L12" i="5"/>
  <c r="M12" i="5"/>
  <c r="B13" i="5"/>
  <c r="H13" i="5" s="1"/>
  <c r="K13" i="5"/>
  <c r="L13" i="5"/>
  <c r="M13" i="5"/>
  <c r="B14" i="5"/>
  <c r="H14" i="5" s="1"/>
  <c r="K14" i="5"/>
  <c r="L14" i="5"/>
  <c r="M14" i="5"/>
  <c r="B15" i="5"/>
  <c r="K15" i="5"/>
  <c r="L15" i="5"/>
  <c r="M15" i="5"/>
  <c r="B16" i="5"/>
  <c r="D16" i="5" s="1"/>
  <c r="K16" i="5"/>
  <c r="L16" i="5"/>
  <c r="M16" i="5"/>
  <c r="B17" i="5"/>
  <c r="C17" i="5" s="1"/>
  <c r="K17" i="5"/>
  <c r="L17" i="5"/>
  <c r="M17" i="5"/>
  <c r="B18" i="5"/>
  <c r="D18" i="5" s="1"/>
  <c r="K18" i="5"/>
  <c r="L18" i="5"/>
  <c r="M18" i="5"/>
  <c r="B19" i="5"/>
  <c r="K19" i="5"/>
  <c r="L19" i="5"/>
  <c r="M19" i="5"/>
  <c r="B20" i="5"/>
  <c r="D20" i="5" s="1"/>
  <c r="K20" i="5"/>
  <c r="L20" i="5"/>
  <c r="M20" i="5"/>
  <c r="B21" i="5"/>
  <c r="K21" i="5"/>
  <c r="L21" i="5"/>
  <c r="M21" i="5"/>
  <c r="B22" i="5"/>
  <c r="K22" i="5"/>
  <c r="L22" i="5"/>
  <c r="M22" i="5"/>
  <c r="B23" i="5"/>
  <c r="H23" i="5" s="1"/>
  <c r="K23" i="5"/>
  <c r="L23" i="5"/>
  <c r="M23" i="5"/>
  <c r="B24" i="5"/>
  <c r="K24" i="5"/>
  <c r="L24" i="5"/>
  <c r="M24" i="5"/>
  <c r="B25" i="5"/>
  <c r="K25" i="5"/>
  <c r="L25" i="5"/>
  <c r="M25" i="5"/>
  <c r="B26" i="5"/>
  <c r="H26" i="5" s="1"/>
  <c r="K26" i="5"/>
  <c r="L26" i="5"/>
  <c r="M26" i="5"/>
  <c r="B27" i="5"/>
  <c r="C27" i="5" s="1"/>
  <c r="K27" i="5"/>
  <c r="L27" i="5"/>
  <c r="M27" i="5"/>
  <c r="B28" i="5"/>
  <c r="H28" i="5" s="1"/>
  <c r="K28" i="5"/>
  <c r="L28" i="5"/>
  <c r="M28" i="5"/>
  <c r="B29" i="5"/>
  <c r="C29" i="5" s="1"/>
  <c r="K29" i="5"/>
  <c r="L29" i="5"/>
  <c r="M29" i="5"/>
  <c r="B30" i="5"/>
  <c r="D30" i="5" s="1"/>
  <c r="K30" i="5"/>
  <c r="L30" i="5"/>
  <c r="M30" i="5"/>
  <c r="B31" i="5"/>
  <c r="H31" i="5" s="1"/>
  <c r="K31" i="5"/>
  <c r="L31" i="5"/>
  <c r="M31" i="5"/>
  <c r="B32" i="5"/>
  <c r="H32" i="5" s="1"/>
  <c r="B33" i="5"/>
  <c r="H33" i="5" s="1"/>
  <c r="B34" i="5"/>
  <c r="H34" i="5" s="1"/>
  <c r="B35" i="5"/>
  <c r="C35" i="5" s="1"/>
  <c r="B36" i="5"/>
  <c r="B37" i="5"/>
  <c r="H37" i="5" s="1"/>
  <c r="B38" i="5"/>
  <c r="D38" i="5" s="1"/>
  <c r="B39" i="5"/>
  <c r="C39" i="5" s="1"/>
  <c r="B40" i="5"/>
  <c r="B41" i="5"/>
  <c r="B42" i="5"/>
  <c r="D42" i="5" s="1"/>
  <c r="B43" i="5"/>
  <c r="D43" i="5" s="1"/>
  <c r="B44" i="5"/>
  <c r="E44" i="5" s="1"/>
  <c r="B45" i="5"/>
  <c r="H45" i="5" s="1"/>
  <c r="B46" i="5"/>
  <c r="B47" i="5"/>
  <c r="H47" i="5" s="1"/>
  <c r="B48" i="5"/>
  <c r="H48" i="5" s="1"/>
  <c r="B49" i="5"/>
  <c r="H49" i="5" s="1"/>
  <c r="B50" i="5"/>
  <c r="C50" i="5" s="1"/>
  <c r="B51" i="5"/>
  <c r="C51" i="5" s="1"/>
  <c r="B52" i="5"/>
  <c r="D52" i="5" s="1"/>
  <c r="B53" i="5"/>
  <c r="H53" i="5" s="1"/>
  <c r="B54" i="5"/>
  <c r="D54" i="5" s="1"/>
  <c r="B55" i="5"/>
  <c r="D55" i="5" s="1"/>
  <c r="B56" i="5"/>
  <c r="D56" i="5" s="1"/>
  <c r="B57" i="5"/>
  <c r="B58" i="5"/>
  <c r="B7" i="5" s="1"/>
  <c r="B59" i="5"/>
  <c r="B60" i="5"/>
  <c r="B61" i="5"/>
  <c r="H61" i="5" s="1"/>
  <c r="B62" i="5"/>
  <c r="B63" i="5"/>
  <c r="C63" i="5" s="1"/>
  <c r="B64" i="5"/>
  <c r="H64" i="5" s="1"/>
  <c r="B65" i="5"/>
  <c r="D65" i="5" s="1"/>
  <c r="B66" i="5"/>
  <c r="D66" i="5" s="1"/>
  <c r="B67" i="5"/>
  <c r="D67" i="5" s="1"/>
  <c r="B68" i="5"/>
  <c r="H68" i="5" s="1"/>
  <c r="B69" i="5"/>
  <c r="H69" i="5" s="1"/>
  <c r="B70" i="5"/>
  <c r="B71" i="5"/>
  <c r="C71" i="5" s="1"/>
  <c r="B72" i="5"/>
  <c r="B73" i="5"/>
  <c r="H73" i="5" s="1"/>
  <c r="B74" i="5"/>
  <c r="D74" i="5" s="1"/>
  <c r="B75" i="5"/>
  <c r="C75" i="5" s="1"/>
  <c r="B76" i="5"/>
  <c r="H76" i="5" s="1"/>
  <c r="B77" i="5"/>
  <c r="H77" i="5" s="1"/>
  <c r="B78" i="5"/>
  <c r="D78" i="5" s="1"/>
  <c r="H25" i="5" l="1"/>
  <c r="H72" i="5"/>
  <c r="H24" i="5"/>
  <c r="H21" i="5"/>
  <c r="H60" i="5"/>
  <c r="H36" i="5"/>
  <c r="H12" i="5"/>
  <c r="H59" i="5"/>
  <c r="H70" i="5"/>
  <c r="H46" i="5"/>
  <c r="H15" i="5"/>
  <c r="H57" i="5"/>
  <c r="F66" i="5"/>
  <c r="F42" i="5"/>
  <c r="F52" i="5"/>
  <c r="H40" i="5"/>
  <c r="H22" i="5"/>
  <c r="H19" i="5"/>
  <c r="C24" i="5"/>
  <c r="C66" i="5"/>
  <c r="E55" i="5"/>
  <c r="H16" i="5"/>
  <c r="C30" i="5"/>
  <c r="C67" i="5"/>
  <c r="E56" i="5"/>
  <c r="H27" i="5"/>
  <c r="C31" i="5"/>
  <c r="C78" i="5"/>
  <c r="E59" i="5"/>
  <c r="H39" i="5"/>
  <c r="C42" i="5"/>
  <c r="E10" i="5"/>
  <c r="I10" i="5" s="1"/>
  <c r="E60" i="5"/>
  <c r="I60" i="5" s="1"/>
  <c r="H44" i="5"/>
  <c r="D9" i="5"/>
  <c r="F9" i="5" s="1"/>
  <c r="C43" i="5"/>
  <c r="E13" i="5"/>
  <c r="I13" i="5" s="1"/>
  <c r="E67" i="5"/>
  <c r="H51" i="5"/>
  <c r="C44" i="5"/>
  <c r="E19" i="5"/>
  <c r="I19" i="5" s="1"/>
  <c r="E68" i="5"/>
  <c r="I68" i="5" s="1"/>
  <c r="H63" i="5"/>
  <c r="C10" i="5"/>
  <c r="C45" i="5"/>
  <c r="E21" i="5"/>
  <c r="H52" i="5"/>
  <c r="H75" i="5"/>
  <c r="C13" i="5"/>
  <c r="C52" i="5"/>
  <c r="E24" i="5"/>
  <c r="I24" i="5" s="1"/>
  <c r="D19" i="5"/>
  <c r="F19" i="5" s="1"/>
  <c r="C16" i="5"/>
  <c r="C54" i="5"/>
  <c r="E31" i="5"/>
  <c r="I31" i="5" s="1"/>
  <c r="D31" i="5"/>
  <c r="F31" i="5" s="1"/>
  <c r="C18" i="5"/>
  <c r="C55" i="5"/>
  <c r="E32" i="5"/>
  <c r="I32" i="5" s="1"/>
  <c r="D44" i="5"/>
  <c r="F44" i="5" s="1"/>
  <c r="G44" i="5" s="1"/>
  <c r="C19" i="5"/>
  <c r="C59" i="5"/>
  <c r="E43" i="5"/>
  <c r="C21" i="5"/>
  <c r="C60" i="5"/>
  <c r="C20" i="5"/>
  <c r="C32" i="5"/>
  <c r="C56" i="5"/>
  <c r="C68" i="5"/>
  <c r="E9" i="5"/>
  <c r="E33" i="5"/>
  <c r="I33" i="5" s="1"/>
  <c r="E45" i="5"/>
  <c r="I45" i="5" s="1"/>
  <c r="E57" i="5"/>
  <c r="E69" i="5"/>
  <c r="I69" i="5" s="1"/>
  <c r="H17" i="5"/>
  <c r="H29" i="5"/>
  <c r="H41" i="5"/>
  <c r="H65" i="5"/>
  <c r="D21" i="5"/>
  <c r="F21" i="5" s="1"/>
  <c r="D33" i="5"/>
  <c r="F33" i="5" s="1"/>
  <c r="D45" i="5"/>
  <c r="F45" i="5" s="1"/>
  <c r="D57" i="5"/>
  <c r="F57" i="5" s="1"/>
  <c r="D69" i="5"/>
  <c r="F69" i="5" s="1"/>
  <c r="C33" i="5"/>
  <c r="C57" i="5"/>
  <c r="C69" i="5"/>
  <c r="E22" i="5"/>
  <c r="E34" i="5"/>
  <c r="I34" i="5" s="1"/>
  <c r="E46" i="5"/>
  <c r="E58" i="5"/>
  <c r="E70" i="5"/>
  <c r="H18" i="5"/>
  <c r="H30" i="5"/>
  <c r="H42" i="5"/>
  <c r="H54" i="5"/>
  <c r="H66" i="5"/>
  <c r="H78" i="5"/>
  <c r="D10" i="5"/>
  <c r="F10" i="5" s="1"/>
  <c r="D22" i="5"/>
  <c r="F22" i="5" s="1"/>
  <c r="D34" i="5"/>
  <c r="F34" i="5" s="1"/>
  <c r="D46" i="5"/>
  <c r="F46" i="5" s="1"/>
  <c r="D58" i="5"/>
  <c r="D7" i="5" s="1"/>
  <c r="D70" i="5"/>
  <c r="F70" i="5" s="1"/>
  <c r="G70" i="5" s="1"/>
  <c r="C9" i="5"/>
  <c r="C22" i="5"/>
  <c r="C34" i="5"/>
  <c r="C46" i="5"/>
  <c r="C58" i="5"/>
  <c r="C7" i="5" s="1"/>
  <c r="C70" i="5"/>
  <c r="E11" i="5"/>
  <c r="E23" i="5"/>
  <c r="I23" i="5" s="1"/>
  <c r="E35" i="5"/>
  <c r="E47" i="5"/>
  <c r="I47" i="5" s="1"/>
  <c r="E71" i="5"/>
  <c r="H43" i="5"/>
  <c r="H55" i="5"/>
  <c r="H67" i="5"/>
  <c r="D11" i="5"/>
  <c r="F11" i="5" s="1"/>
  <c r="D23" i="5"/>
  <c r="F23" i="5" s="1"/>
  <c r="D35" i="5"/>
  <c r="D47" i="5"/>
  <c r="F47" i="5" s="1"/>
  <c r="D59" i="5"/>
  <c r="F59" i="5" s="1"/>
  <c r="D71" i="5"/>
  <c r="F71" i="5" s="1"/>
  <c r="C23" i="5"/>
  <c r="E36" i="5"/>
  <c r="I36" i="5" s="1"/>
  <c r="E72" i="5"/>
  <c r="I72" i="5" s="1"/>
  <c r="H20" i="5"/>
  <c r="H56" i="5"/>
  <c r="D12" i="5"/>
  <c r="F12" i="5" s="1"/>
  <c r="D24" i="5"/>
  <c r="F24" i="5" s="1"/>
  <c r="D36" i="5"/>
  <c r="F36" i="5" s="1"/>
  <c r="D48" i="5"/>
  <c r="F48" i="5" s="1"/>
  <c r="D60" i="5"/>
  <c r="F60" i="5" s="1"/>
  <c r="D72" i="5"/>
  <c r="F72" i="5" s="1"/>
  <c r="E20" i="5"/>
  <c r="C36" i="5"/>
  <c r="C48" i="5"/>
  <c r="C72" i="5"/>
  <c r="E25" i="5"/>
  <c r="I25" i="5" s="1"/>
  <c r="E37" i="5"/>
  <c r="I37" i="5" s="1"/>
  <c r="E49" i="5"/>
  <c r="I49" i="5" s="1"/>
  <c r="E61" i="5"/>
  <c r="I61" i="5" s="1"/>
  <c r="E73" i="5"/>
  <c r="I73" i="5" s="1"/>
  <c r="H9" i="5"/>
  <c r="D13" i="5"/>
  <c r="F13" i="5" s="1"/>
  <c r="D25" i="5"/>
  <c r="F25" i="5" s="1"/>
  <c r="D37" i="5"/>
  <c r="F37" i="5" s="1"/>
  <c r="D49" i="5"/>
  <c r="F49" i="5" s="1"/>
  <c r="D61" i="5"/>
  <c r="F61" i="5" s="1"/>
  <c r="D73" i="5"/>
  <c r="F73" i="5" s="1"/>
  <c r="C25" i="5"/>
  <c r="C37" i="5"/>
  <c r="C49" i="5"/>
  <c r="C61" i="5"/>
  <c r="C73" i="5"/>
  <c r="E14" i="5"/>
  <c r="I14" i="5" s="1"/>
  <c r="E26" i="5"/>
  <c r="I26" i="5" s="1"/>
  <c r="E38" i="5"/>
  <c r="E50" i="5"/>
  <c r="E62" i="5"/>
  <c r="E74" i="5"/>
  <c r="H58" i="5"/>
  <c r="H7" i="5" s="1"/>
  <c r="D14" i="5"/>
  <c r="F14" i="5" s="1"/>
  <c r="D26" i="5"/>
  <c r="F26" i="5" s="1"/>
  <c r="D50" i="5"/>
  <c r="F50" i="5" s="1"/>
  <c r="D62" i="5"/>
  <c r="F62" i="5" s="1"/>
  <c r="F38" i="5"/>
  <c r="F74" i="5"/>
  <c r="C14" i="5"/>
  <c r="C26" i="5"/>
  <c r="C38" i="5"/>
  <c r="C62" i="5"/>
  <c r="C74" i="5"/>
  <c r="E15" i="5"/>
  <c r="E27" i="5"/>
  <c r="E39" i="5"/>
  <c r="E51" i="5"/>
  <c r="E75" i="5"/>
  <c r="H11" i="5"/>
  <c r="H35" i="5"/>
  <c r="H71" i="5"/>
  <c r="D15" i="5"/>
  <c r="F15" i="5" s="1"/>
  <c r="D27" i="5"/>
  <c r="F27" i="5" s="1"/>
  <c r="D39" i="5"/>
  <c r="F39" i="5" s="1"/>
  <c r="D51" i="5"/>
  <c r="F51" i="5" s="1"/>
  <c r="D63" i="5"/>
  <c r="F63" i="5" s="1"/>
  <c r="D75" i="5"/>
  <c r="F75" i="5" s="1"/>
  <c r="C47" i="5"/>
  <c r="E12" i="5"/>
  <c r="I12" i="5" s="1"/>
  <c r="E48" i="5"/>
  <c r="I48" i="5" s="1"/>
  <c r="C12" i="5"/>
  <c r="E63" i="5"/>
  <c r="I63" i="5" s="1"/>
  <c r="C15" i="5"/>
  <c r="E16" i="5"/>
  <c r="E28" i="5"/>
  <c r="I28" i="5" s="1"/>
  <c r="E40" i="5"/>
  <c r="I40" i="5" s="1"/>
  <c r="E52" i="5"/>
  <c r="E64" i="5"/>
  <c r="I64" i="5" s="1"/>
  <c r="E76" i="5"/>
  <c r="I76" i="5" s="1"/>
  <c r="D28" i="5"/>
  <c r="F28" i="5" s="1"/>
  <c r="D40" i="5"/>
  <c r="F40" i="5" s="1"/>
  <c r="D64" i="5"/>
  <c r="F64" i="5" s="1"/>
  <c r="D76" i="5"/>
  <c r="F76" i="5" s="1"/>
  <c r="C28" i="5"/>
  <c r="C40" i="5"/>
  <c r="C64" i="5"/>
  <c r="C76" i="5"/>
  <c r="E17" i="5"/>
  <c r="I17" i="5" s="1"/>
  <c r="E29" i="5"/>
  <c r="E41" i="5"/>
  <c r="E53" i="5"/>
  <c r="I53" i="5" s="1"/>
  <c r="E65" i="5"/>
  <c r="I65" i="5" s="1"/>
  <c r="E77" i="5"/>
  <c r="I77" i="5" s="1"/>
  <c r="D17" i="5"/>
  <c r="F17" i="5" s="1"/>
  <c r="D29" i="5"/>
  <c r="F29" i="5" s="1"/>
  <c r="D41" i="5"/>
  <c r="F41" i="5" s="1"/>
  <c r="D53" i="5"/>
  <c r="F53" i="5" s="1"/>
  <c r="D77" i="5"/>
  <c r="F77" i="5" s="1"/>
  <c r="F65" i="5"/>
  <c r="C41" i="5"/>
  <c r="C53" i="5"/>
  <c r="C65" i="5"/>
  <c r="C77" i="5"/>
  <c r="E18" i="5"/>
  <c r="I18" i="5" s="1"/>
  <c r="E30" i="5"/>
  <c r="E42" i="5"/>
  <c r="I42" i="5" s="1"/>
  <c r="E54" i="5"/>
  <c r="I54" i="5" s="1"/>
  <c r="E66" i="5"/>
  <c r="E78" i="5"/>
  <c r="I78" i="5" s="1"/>
  <c r="H38" i="5"/>
  <c r="H50" i="5"/>
  <c r="H62" i="5"/>
  <c r="H74" i="5"/>
  <c r="D32" i="5"/>
  <c r="F32" i="5" s="1"/>
  <c r="D68" i="5"/>
  <c r="F68" i="5" s="1"/>
  <c r="F20" i="5"/>
  <c r="F56" i="5"/>
  <c r="I21" i="5"/>
  <c r="G21" i="5"/>
  <c r="F35" i="5"/>
  <c r="F43" i="5"/>
  <c r="F16" i="5"/>
  <c r="F55" i="5"/>
  <c r="F30" i="5"/>
  <c r="F18" i="5"/>
  <c r="F67" i="5"/>
  <c r="F58" i="5"/>
  <c r="C10" i="7" s="1"/>
  <c r="F78" i="5"/>
  <c r="F54" i="5"/>
  <c r="I44" i="5"/>
  <c r="I70" i="5" l="1"/>
  <c r="I20" i="5"/>
  <c r="I55" i="5"/>
  <c r="I46" i="5"/>
  <c r="I16" i="5"/>
  <c r="G10" i="5"/>
  <c r="I57" i="5"/>
  <c r="I51" i="5"/>
  <c r="I27" i="5"/>
  <c r="I15" i="5"/>
  <c r="I29" i="5"/>
  <c r="I52" i="5"/>
  <c r="G61" i="5"/>
  <c r="I59" i="5"/>
  <c r="I35" i="5"/>
  <c r="I75" i="5"/>
  <c r="I39" i="5"/>
  <c r="I41" i="5"/>
  <c r="G67" i="5"/>
  <c r="G56" i="5"/>
  <c r="I56" i="5"/>
  <c r="G34" i="5"/>
  <c r="G43" i="5"/>
  <c r="G33" i="5"/>
  <c r="G46" i="5"/>
  <c r="G13" i="5"/>
  <c r="G31" i="5"/>
  <c r="G71" i="5"/>
  <c r="G72" i="5"/>
  <c r="I71" i="5"/>
  <c r="G59" i="5"/>
  <c r="G19" i="5"/>
  <c r="G32" i="5"/>
  <c r="G60" i="5"/>
  <c r="G47" i="5"/>
  <c r="G55" i="5"/>
  <c r="G9" i="5"/>
  <c r="I43" i="5"/>
  <c r="I74" i="5"/>
  <c r="G16" i="5"/>
  <c r="G62" i="5"/>
  <c r="G24" i="5"/>
  <c r="G68" i="5"/>
  <c r="G57" i="5"/>
  <c r="I67" i="5"/>
  <c r="C9" i="7"/>
  <c r="I62" i="5"/>
  <c r="I50" i="5"/>
  <c r="G35" i="5"/>
  <c r="G23" i="5"/>
  <c r="I11" i="5"/>
  <c r="G22" i="5"/>
  <c r="G64" i="5"/>
  <c r="G28" i="5"/>
  <c r="G20" i="5"/>
  <c r="G50" i="5"/>
  <c r="G39" i="5"/>
  <c r="G40" i="5"/>
  <c r="G49" i="5"/>
  <c r="G38" i="5"/>
  <c r="G11" i="5"/>
  <c r="I22" i="5"/>
  <c r="G26" i="5"/>
  <c r="G14" i="5"/>
  <c r="G18" i="5"/>
  <c r="G75" i="5"/>
  <c r="G63" i="5"/>
  <c r="G65" i="5"/>
  <c r="G51" i="5"/>
  <c r="I38" i="5"/>
  <c r="G77" i="5"/>
  <c r="G30" i="5"/>
  <c r="G53" i="5"/>
  <c r="G27" i="5"/>
  <c r="G69" i="5"/>
  <c r="G73" i="5"/>
  <c r="G54" i="5"/>
  <c r="G45" i="5"/>
  <c r="G78" i="5"/>
  <c r="G76" i="5"/>
  <c r="G41" i="5"/>
  <c r="G12" i="5"/>
  <c r="I9" i="5"/>
  <c r="G29" i="5"/>
  <c r="G15" i="5"/>
  <c r="I66" i="5"/>
  <c r="G66" i="5"/>
  <c r="I30" i="5"/>
  <c r="G17" i="5"/>
  <c r="I58" i="5"/>
  <c r="E7" i="5"/>
  <c r="G74" i="5"/>
  <c r="G37" i="5"/>
  <c r="G52" i="5"/>
  <c r="G25" i="5"/>
  <c r="G42" i="5"/>
  <c r="G48" i="5"/>
  <c r="G36" i="5"/>
  <c r="G58" i="5"/>
  <c r="F7" i="5"/>
  <c r="I7" i="5" l="1"/>
  <c r="C14" i="7"/>
  <c r="G7" i="5"/>
  <c r="C1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jay prakash</author>
  </authors>
  <commentList>
    <comment ref="B4" authorId="0" shapeId="0" xr:uid="{545CD44A-8D31-45FD-822E-5D3C1E61686C}">
      <text>
        <r>
          <rPr>
            <b/>
            <sz val="9"/>
            <color indexed="81"/>
            <rFont val="Tahoma"/>
            <family val="2"/>
          </rPr>
          <t>jay prakash:</t>
        </r>
        <r>
          <rPr>
            <sz val="9"/>
            <color indexed="81"/>
            <rFont val="Tahoma"/>
            <family val="2"/>
          </rPr>
          <t xml:space="preserve">
Select the country of whose currency is being used in the valuation.</t>
        </r>
      </text>
    </comment>
    <comment ref="B6" authorId="0" shapeId="0" xr:uid="{707B8C40-8E90-4561-BFC9-A56E28CFB183}">
      <text>
        <r>
          <rPr>
            <b/>
            <sz val="9"/>
            <color indexed="81"/>
            <rFont val="Tahoma"/>
            <family val="2"/>
          </rPr>
          <t>jay prakash:</t>
        </r>
        <r>
          <rPr>
            <sz val="9"/>
            <color indexed="81"/>
            <rFont val="Tahoma"/>
            <family val="2"/>
          </rPr>
          <t xml:space="preserve">
The current 10 year government bond of the  selected country.</t>
        </r>
      </text>
    </comment>
    <comment ref="B7" authorId="0" shapeId="0" xr:uid="{7BF73329-F95D-41EA-8937-D4FFF5FE9498}">
      <text>
        <r>
          <rPr>
            <b/>
            <sz val="9"/>
            <color indexed="81"/>
            <rFont val="Tahoma"/>
            <family val="2"/>
          </rPr>
          <t>jay prakash:</t>
        </r>
        <r>
          <rPr>
            <sz val="9"/>
            <color indexed="81"/>
            <rFont val="Tahoma"/>
            <family val="2"/>
          </rPr>
          <t xml:space="preserve">
Country's sovereign rating by Moody's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C5F365-740C-4DA2-9AE1-62457E3C0563}" keepAlive="1" name="Query - Yield's on Government Bonds" description="Connection to the 'Yield's on Government Bonds' query in the workbook." type="5" refreshedVersion="8" saveData="1">
    <dbPr connection="Provider=Microsoft.Mashup.OleDb.1;Data Source=$Workbook$;Location=&quot;Yield's on Government Bonds&quot;;Extended Properties=&quot;&quot;" command="SELECT * FROM [Yield's on Government Bonds]"/>
    <extLst>
      <ext xmlns:x15="http://schemas.microsoft.com/office/spreadsheetml/2010/11/main" uri="{DE250136-89BD-433C-8126-D09CA5730AF9}">
        <x15:connection id="" excludeFromRefreshAll="1"/>
      </ext>
    </extLst>
  </connection>
</connections>
</file>

<file path=xl/sharedStrings.xml><?xml version="1.0" encoding="utf-8"?>
<sst xmlns="http://schemas.openxmlformats.org/spreadsheetml/2006/main" count="1422" uniqueCount="588">
  <si>
    <t>Column1</t>
  </si>
  <si>
    <t>Column2</t>
  </si>
  <si>
    <t>Column3</t>
  </si>
  <si>
    <t>Column4</t>
  </si>
  <si>
    <t>Column5</t>
  </si>
  <si>
    <t>Column6</t>
  </si>
  <si>
    <t>Column7</t>
  </si>
  <si>
    <t>Column8</t>
  </si>
  <si>
    <t>Column9</t>
  </si>
  <si>
    <t/>
  </si>
  <si>
    <t>Rating</t>
  </si>
  <si>
    <t>10Y Bond</t>
  </si>
  <si>
    <t>Bank</t>
  </si>
  <si>
    <t>Spread vs</t>
  </si>
  <si>
    <t>DO NOT MAKE ANY CHANGES IN THIS SHEET</t>
  </si>
  <si>
    <t>Country</t>
  </si>
  <si>
    <t>S&amp;P</t>
  </si>
  <si>
    <t>Yield▴</t>
  </si>
  <si>
    <t>Rate</t>
  </si>
  <si>
    <t>Bund</t>
  </si>
  <si>
    <t>T-Note</t>
  </si>
  <si>
    <t>Bank Rate</t>
  </si>
  <si>
    <t>Switzerland</t>
  </si>
  <si>
    <t>AAA</t>
  </si>
  <si>
    <t>0.00%</t>
  </si>
  <si>
    <t>This is the data of government bond yields collected from world government bonds.</t>
  </si>
  <si>
    <t>Taiwan</t>
  </si>
  <si>
    <t>AA+</t>
  </si>
  <si>
    <t>2.00%</t>
  </si>
  <si>
    <t>I've used power query on the world government bond yield website to automate the data scraping.</t>
  </si>
  <si>
    <t>Japan</t>
  </si>
  <si>
    <t>A+</t>
  </si>
  <si>
    <t>0.50%</t>
  </si>
  <si>
    <t>This table automatically updates the changes in bond yields, so the users will not have to update bond yields. Just refresh the table and you'll have the latest bond yields.</t>
  </si>
  <si>
    <t>Thailand</t>
  </si>
  <si>
    <t>BBB+</t>
  </si>
  <si>
    <t>1.50%</t>
  </si>
  <si>
    <t>China</t>
  </si>
  <si>
    <t>3.00%</t>
  </si>
  <si>
    <t>Refresh the table when you open the file.</t>
  </si>
  <si>
    <t>Data &gt; Queries &amp;Connections &gt; Yield's on Government Bonds &gt; Refresh</t>
  </si>
  <si>
    <t>If you get error, CTRL+Z and Refresh again.</t>
  </si>
  <si>
    <t>Singapore</t>
  </si>
  <si>
    <t>Denmark</t>
  </si>
  <si>
    <t>1.60%</t>
  </si>
  <si>
    <t>Go to the next sheet for Risk-Free Rate estimations for these countries.</t>
  </si>
  <si>
    <t>Sweden</t>
  </si>
  <si>
    <t>1.75%</t>
  </si>
  <si>
    <t>Source:</t>
  </si>
  <si>
    <t>https://www.worldgovernmentbonds.com/</t>
  </si>
  <si>
    <t>Germany</t>
  </si>
  <si>
    <t>2.15%</t>
  </si>
  <si>
    <t>0.0 bp</t>
  </si>
  <si>
    <t>Netherlands</t>
  </si>
  <si>
    <t>Ireland</t>
  </si>
  <si>
    <t>AA</t>
  </si>
  <si>
    <t>Morocco</t>
  </si>
  <si>
    <t>BBB-</t>
  </si>
  <si>
    <t>2.25%</t>
  </si>
  <si>
    <t>Austria</t>
  </si>
  <si>
    <t>Hong Kong</t>
  </si>
  <si>
    <t>4.25%</t>
  </si>
  <si>
    <t>Slovenia</t>
  </si>
  <si>
    <t>Cyprus</t>
  </si>
  <si>
    <t>A-</t>
  </si>
  <si>
    <t>Portugal</t>
  </si>
  <si>
    <t>Finland</t>
  </si>
  <si>
    <t>Croatia</t>
  </si>
  <si>
    <t>Spain</t>
  </si>
  <si>
    <t>Canada</t>
  </si>
  <si>
    <t>Belgium</t>
  </si>
  <si>
    <t>South Korea</t>
  </si>
  <si>
    <t>2.50%</t>
  </si>
  <si>
    <t>Malta</t>
  </si>
  <si>
    <t>Greece</t>
  </si>
  <si>
    <t>BBB</t>
  </si>
  <si>
    <t>Slovakia</t>
  </si>
  <si>
    <t>Italy</t>
  </si>
  <si>
    <t>France</t>
  </si>
  <si>
    <t>Lithuania</t>
  </si>
  <si>
    <t>A</t>
  </si>
  <si>
    <t>Malaysia</t>
  </si>
  <si>
    <t>2.75%</t>
  </si>
  <si>
    <t>83.7 bp</t>
  </si>
  <si>
    <t>Bulgaria</t>
  </si>
  <si>
    <t>1.80%</t>
  </si>
  <si>
    <t>Israel</t>
  </si>
  <si>
    <t>4.50%</t>
  </si>
  <si>
    <t>Vietnam</t>
  </si>
  <si>
    <t>BB+</t>
  </si>
  <si>
    <t>United States</t>
  </si>
  <si>
    <t>4.00%</t>
  </si>
  <si>
    <t>Norway</t>
  </si>
  <si>
    <t>New Zealand</t>
  </si>
  <si>
    <t>Qatar</t>
  </si>
  <si>
    <t>4.60%</t>
  </si>
  <si>
    <t>Australia</t>
  </si>
  <si>
    <t>3.60%</t>
  </si>
  <si>
    <t>United Kingdom</t>
  </si>
  <si>
    <t>Czech Republic</t>
  </si>
  <si>
    <t>AA-</t>
  </si>
  <si>
    <t>3.50%</t>
  </si>
  <si>
    <t>Serbia</t>
  </si>
  <si>
    <t>5.75%</t>
  </si>
  <si>
    <t>Peru</t>
  </si>
  <si>
    <t>Poland</t>
  </si>
  <si>
    <t>Chile</t>
  </si>
  <si>
    <t>4.75%</t>
  </si>
  <si>
    <t>Mauritius</t>
  </si>
  <si>
    <t>5.630%</t>
  </si>
  <si>
    <t>113.0 bp</t>
  </si>
  <si>
    <t>Bahrain</t>
  </si>
  <si>
    <t>B+</t>
  </si>
  <si>
    <t>Philippines</t>
  </si>
  <si>
    <t>Indonesia</t>
  </si>
  <si>
    <t>Iceland</t>
  </si>
  <si>
    <t>India</t>
  </si>
  <si>
    <t>5.50%</t>
  </si>
  <si>
    <t>Hungary</t>
  </si>
  <si>
    <t>6.50%</t>
  </si>
  <si>
    <t>Romania</t>
  </si>
  <si>
    <t>Jordan</t>
  </si>
  <si>
    <t>BB-</t>
  </si>
  <si>
    <t>6.25%</t>
  </si>
  <si>
    <t>South Africa</t>
  </si>
  <si>
    <t>7.00%</t>
  </si>
  <si>
    <t>Mexico</t>
  </si>
  <si>
    <t>7.25%</t>
  </si>
  <si>
    <t>Bangladesh</t>
  </si>
  <si>
    <t>10.020%</t>
  </si>
  <si>
    <t>10.00%</t>
  </si>
  <si>
    <t>2.0 bp</t>
  </si>
  <si>
    <t>Namibia</t>
  </si>
  <si>
    <t>NR</t>
  </si>
  <si>
    <t>Botswana</t>
  </si>
  <si>
    <t>Sri Lanka</t>
  </si>
  <si>
    <t>CCC+</t>
  </si>
  <si>
    <t>7.75%</t>
  </si>
  <si>
    <t>Colombia</t>
  </si>
  <si>
    <t>BB</t>
  </si>
  <si>
    <t>9.25%</t>
  </si>
  <si>
    <t>Pakistan</t>
  </si>
  <si>
    <t>B-</t>
  </si>
  <si>
    <t>11.00%</t>
  </si>
  <si>
    <t>Kenya</t>
  </si>
  <si>
    <t>B</t>
  </si>
  <si>
    <t>13.130%</t>
  </si>
  <si>
    <t>388.0 bp</t>
  </si>
  <si>
    <t>Brazil</t>
  </si>
  <si>
    <t>15.00%</t>
  </si>
  <si>
    <t>Nigeria</t>
  </si>
  <si>
    <t>27.00%</t>
  </si>
  <si>
    <t>Uganda</t>
  </si>
  <si>
    <t>9.75%</t>
  </si>
  <si>
    <t>Kazakhstan</t>
  </si>
  <si>
    <t>18.00%</t>
  </si>
  <si>
    <t>Zambia</t>
  </si>
  <si>
    <t>SD</t>
  </si>
  <si>
    <t>Ukraine</t>
  </si>
  <si>
    <t>15.50%</t>
  </si>
  <si>
    <t>Egypt</t>
  </si>
  <si>
    <t>21.00%</t>
  </si>
  <si>
    <t>Turkey</t>
  </si>
  <si>
    <t>39.50%</t>
  </si>
  <si>
    <t>2.926%</t>
  </si>
  <si>
    <t>77.6 bp</t>
  </si>
  <si>
    <t>2.946%</t>
  </si>
  <si>
    <t>69.6 bp</t>
  </si>
  <si>
    <t>2.987%</t>
  </si>
  <si>
    <t>-126.3 bp</t>
  </si>
  <si>
    <t>-92.0 bp</t>
  </si>
  <si>
    <t>110.4 bp</t>
  </si>
  <si>
    <t>33.8 bp</t>
  </si>
  <si>
    <t>5.050%</t>
  </si>
  <si>
    <t>-70.0 bp</t>
  </si>
  <si>
    <t>7.000%</t>
  </si>
  <si>
    <t>50.0 bp</t>
  </si>
  <si>
    <t>16.907%</t>
  </si>
  <si>
    <t>715.7 bp</t>
  </si>
  <si>
    <t>16.961%</t>
  </si>
  <si>
    <t>-103.9 bp</t>
  </si>
  <si>
    <t>18.210%</t>
  </si>
  <si>
    <t>14.25%</t>
  </si>
  <si>
    <t>396.0 bp</t>
  </si>
  <si>
    <t>Damodaran lookup table</t>
  </si>
  <si>
    <t>Moody's</t>
  </si>
  <si>
    <t>Yield</t>
  </si>
  <si>
    <t>Ratings Method</t>
  </si>
  <si>
    <t>CDS Method</t>
  </si>
  <si>
    <t>Rating-based</t>
  </si>
  <si>
    <t>Names</t>
  </si>
  <si>
    <t>Ratings</t>
  </si>
  <si>
    <t>Default Spread</t>
  </si>
  <si>
    <t>Risk Free Rate</t>
  </si>
  <si>
    <t>CDS Net of US</t>
  </si>
  <si>
    <t>Moody's Rating</t>
  </si>
  <si>
    <t>S&amp;P Rating</t>
  </si>
  <si>
    <t>FITCH Rating</t>
  </si>
  <si>
    <t>Abu Dhabi</t>
  </si>
  <si>
    <t>Aa2</t>
  </si>
  <si>
    <t>Albania</t>
  </si>
  <si>
    <t>Ba3</t>
  </si>
  <si>
    <t>Andorra (Principality of)</t>
  </si>
  <si>
    <t>Baa1</t>
  </si>
  <si>
    <t>A- </t>
  </si>
  <si>
    <t>Angola</t>
  </si>
  <si>
    <t>B3</t>
  </si>
  <si>
    <t>Argentina</t>
  </si>
  <si>
    <t>Ca</t>
  </si>
  <si>
    <t>CCC</t>
  </si>
  <si>
    <t>Armenia</t>
  </si>
  <si>
    <t>Aruba</t>
  </si>
  <si>
    <t>Baa3</t>
  </si>
  <si>
    <t>BBB </t>
  </si>
  <si>
    <t>Aaa</t>
  </si>
  <si>
    <t>Aa1</t>
  </si>
  <si>
    <t>AA+ </t>
  </si>
  <si>
    <t>Azerbaijan</t>
  </si>
  <si>
    <t>Ba1</t>
  </si>
  <si>
    <t>Bahamas</t>
  </si>
  <si>
    <t>B1</t>
  </si>
  <si>
    <t>B2</t>
  </si>
  <si>
    <t>Barbados</t>
  </si>
  <si>
    <t>B </t>
  </si>
  <si>
    <t>Belarus</t>
  </si>
  <si>
    <t>C</t>
  </si>
  <si>
    <t>Aa3</t>
  </si>
  <si>
    <t>Belize</t>
  </si>
  <si>
    <t>Caa1</t>
  </si>
  <si>
    <t>Benin</t>
  </si>
  <si>
    <t>BB- </t>
  </si>
  <si>
    <t>Bermuda</t>
  </si>
  <si>
    <t>A2</t>
  </si>
  <si>
    <t>Bolivia</t>
  </si>
  <si>
    <t>Caa3</t>
  </si>
  <si>
    <t>CCC+ </t>
  </si>
  <si>
    <t>Bosnia and Herzegovina</t>
  </si>
  <si>
    <t>A3</t>
  </si>
  <si>
    <t>Burkina Faso</t>
  </si>
  <si>
    <t>Cambodia</t>
  </si>
  <si>
    <t>Cameroon</t>
  </si>
  <si>
    <t>Cape Verde</t>
  </si>
  <si>
    <t>Cayman Islands</t>
  </si>
  <si>
    <t>A1</t>
  </si>
  <si>
    <t>Baa2</t>
  </si>
  <si>
    <t>BB+ </t>
  </si>
  <si>
    <t>Congo (Democratic Republic of)</t>
  </si>
  <si>
    <t>Congo (Republic of)</t>
  </si>
  <si>
    <t>Caa2</t>
  </si>
  <si>
    <t>Cook Islands</t>
  </si>
  <si>
    <t>Costa Rica</t>
  </si>
  <si>
    <t>Côte d'Ivoire</t>
  </si>
  <si>
    <t>Ba2</t>
  </si>
  <si>
    <t>Cuba</t>
  </si>
  <si>
    <t>Curacao</t>
  </si>
  <si>
    <t>Dominican Republic</t>
  </si>
  <si>
    <t>Ecuador</t>
  </si>
  <si>
    <t>B- </t>
  </si>
  <si>
    <t>El Salvador</t>
  </si>
  <si>
    <t>CC</t>
  </si>
  <si>
    <t>Estonia</t>
  </si>
  <si>
    <t>Ethiopia</t>
  </si>
  <si>
    <t>Fiji</t>
  </si>
  <si>
    <t>Gabon</t>
  </si>
  <si>
    <t>Georgia</t>
  </si>
  <si>
    <t>Ghana</t>
  </si>
  <si>
    <t>BBB- </t>
  </si>
  <si>
    <t>Guatemala</t>
  </si>
  <si>
    <t>BB </t>
  </si>
  <si>
    <t>Guernsey (States of)</t>
  </si>
  <si>
    <t>Honduras</t>
  </si>
  <si>
    <t>Iraq</t>
  </si>
  <si>
    <t>AA </t>
  </si>
  <si>
    <t>Isle of Man</t>
  </si>
  <si>
    <t>A </t>
  </si>
  <si>
    <t>Jamaica</t>
  </si>
  <si>
    <t>Jersey (States of)</t>
  </si>
  <si>
    <t>Korea</t>
  </si>
  <si>
    <t>Kuwait</t>
  </si>
  <si>
    <t>Kyrgyzstan</t>
  </si>
  <si>
    <t>Laos</t>
  </si>
  <si>
    <t>CCC-</t>
  </si>
  <si>
    <t>Latvia</t>
  </si>
  <si>
    <t>Lebanon</t>
  </si>
  <si>
    <t>D</t>
  </si>
  <si>
    <t>Liechtenstein</t>
  </si>
  <si>
    <t>Luxembourg</t>
  </si>
  <si>
    <t>Macao</t>
  </si>
  <si>
    <t>Macedonia</t>
  </si>
  <si>
    <t>Maldives</t>
  </si>
  <si>
    <t>Mali</t>
  </si>
  <si>
    <t>Moldova</t>
  </si>
  <si>
    <t>Mongolia</t>
  </si>
  <si>
    <t>B+ </t>
  </si>
  <si>
    <t>Montenegro</t>
  </si>
  <si>
    <t>Montserrat</t>
  </si>
  <si>
    <t>Mozambique</t>
  </si>
  <si>
    <t>Nepal</t>
  </si>
  <si>
    <t>Nicaragua</t>
  </si>
  <si>
    <t>Niger</t>
  </si>
  <si>
    <t>Oman</t>
  </si>
  <si>
    <t>Panama</t>
  </si>
  <si>
    <t>Papua New Guinea</t>
  </si>
  <si>
    <t>Paraguay</t>
  </si>
  <si>
    <t>BBB+ </t>
  </si>
  <si>
    <t>Ras Al Khaimah (Emirate of)</t>
  </si>
  <si>
    <t>Rwanda</t>
  </si>
  <si>
    <t>Saudi Arabia</t>
  </si>
  <si>
    <t>Senegal</t>
  </si>
  <si>
    <t>Sharjah</t>
  </si>
  <si>
    <t>AA- </t>
  </si>
  <si>
    <t>Solomon Islands</t>
  </si>
  <si>
    <t>St. Maarten</t>
  </si>
  <si>
    <t>St. Vincent &amp; the Grenadines</t>
  </si>
  <si>
    <t>Suriname</t>
  </si>
  <si>
    <t>Swaziland</t>
  </si>
  <si>
    <t>Tajikistan</t>
  </si>
  <si>
    <t>Tanzania</t>
  </si>
  <si>
    <t>Togo</t>
  </si>
  <si>
    <t>Trinidad and Tobago</t>
  </si>
  <si>
    <t>Tunisia</t>
  </si>
  <si>
    <t>Turks and Caicos Islands</t>
  </si>
  <si>
    <t>United Arab Emirates</t>
  </si>
  <si>
    <t>Uruguay</t>
  </si>
  <si>
    <t>Uzbekistan</t>
  </si>
  <si>
    <t>Venezuela</t>
  </si>
  <si>
    <t>CDS Spread net of Switzerland</t>
  </si>
  <si>
    <t>Algeria</t>
  </si>
  <si>
    <t>Dubai</t>
  </si>
  <si>
    <t>NA</t>
  </si>
  <si>
    <t>Russia</t>
  </si>
  <si>
    <t>Risk-Free Rate Estimation</t>
  </si>
  <si>
    <t>Country 10 Year Government Bond</t>
  </si>
  <si>
    <t>Country Rating</t>
  </si>
  <si>
    <t>Risk-Free Rate (Rating)</t>
  </si>
  <si>
    <t>Risk-Free Rate (CDS)</t>
  </si>
  <si>
    <t>Model by: Jay Prakash</t>
  </si>
  <si>
    <t>0.161%</t>
  </si>
  <si>
    <t>-254.3 bp</t>
  </si>
  <si>
    <t>-396.1 bp</t>
  </si>
  <si>
    <t>16.1 bp</t>
  </si>
  <si>
    <t>1.320%</t>
  </si>
  <si>
    <t>-138.4 bp</t>
  </si>
  <si>
    <t>-280.2 bp</t>
  </si>
  <si>
    <t>-68.0 bp</t>
  </si>
  <si>
    <t>1.662%</t>
  </si>
  <si>
    <t>-104.2 bp</t>
  </si>
  <si>
    <t>-246.0 bp</t>
  </si>
  <si>
    <t>16.2 bp</t>
  </si>
  <si>
    <t>1.771%</t>
  </si>
  <si>
    <t>-93.3 bp</t>
  </si>
  <si>
    <t>-235.1 bp</t>
  </si>
  <si>
    <t>127.1 bp</t>
  </si>
  <si>
    <t>1.815%</t>
  </si>
  <si>
    <t>-88.9 bp</t>
  </si>
  <si>
    <t>-230.7 bp</t>
  </si>
  <si>
    <t>-118.5 bp</t>
  </si>
  <si>
    <t>1.953%</t>
  </si>
  <si>
    <t>-75.1 bp</t>
  </si>
  <si>
    <t>-216.9 bp</t>
  </si>
  <si>
    <t>2.625%</t>
  </si>
  <si>
    <t>-7.9 bp</t>
  </si>
  <si>
    <t>-149.7 bp</t>
  </si>
  <si>
    <t>102.5 bp</t>
  </si>
  <si>
    <t>2.673%</t>
  </si>
  <si>
    <t>-3.1 bp</t>
  </si>
  <si>
    <t>-144.9 bp</t>
  </si>
  <si>
    <t>92.3 bp</t>
  </si>
  <si>
    <t>2.704%</t>
  </si>
  <si>
    <t>-141.8 bp</t>
  </si>
  <si>
    <t>55.4 bp</t>
  </si>
  <si>
    <t>2.859%</t>
  </si>
  <si>
    <t>15.5 bp</t>
  </si>
  <si>
    <t>70.9 bp</t>
  </si>
  <si>
    <t>22.2 bp</t>
  </si>
  <si>
    <t>-119.6 bp</t>
  </si>
  <si>
    <t>24.2 bp</t>
  </si>
  <si>
    <t>-117.6 bp</t>
  </si>
  <si>
    <t>-130.4 bp</t>
  </si>
  <si>
    <t>28.3 bp</t>
  </si>
  <si>
    <t>-113.5 bp</t>
  </si>
  <si>
    <t>2.988%</t>
  </si>
  <si>
    <t>28.4 bp</t>
  </si>
  <si>
    <t>-113.4 bp</t>
  </si>
  <si>
    <t>83.8 bp</t>
  </si>
  <si>
    <t>3.012%</t>
  </si>
  <si>
    <t>30.8 bp</t>
  </si>
  <si>
    <t>-111.0 bp</t>
  </si>
  <si>
    <t>86.2 bp</t>
  </si>
  <si>
    <t>3.042%</t>
  </si>
  <si>
    <t>-108.0 bp</t>
  </si>
  <si>
    <t>89.2 bp</t>
  </si>
  <si>
    <t>3.058%</t>
  </si>
  <si>
    <t>35.4 bp</t>
  </si>
  <si>
    <t>-106.4 bp</t>
  </si>
  <si>
    <t>90.8 bp</t>
  </si>
  <si>
    <t>3.060%</t>
  </si>
  <si>
    <t>35.6 bp</t>
  </si>
  <si>
    <t>-106.2 bp</t>
  </si>
  <si>
    <t>91.0 bp</t>
  </si>
  <si>
    <t>3.202%</t>
  </si>
  <si>
    <t>49.8 bp</t>
  </si>
  <si>
    <t>105.2 bp</t>
  </si>
  <si>
    <t>3.234%</t>
  </si>
  <si>
    <t>53.0 bp</t>
  </si>
  <si>
    <t>-88.8 bp</t>
  </si>
  <si>
    <t>108.4 bp</t>
  </si>
  <si>
    <t>3.245%</t>
  </si>
  <si>
    <t>54.1 bp</t>
  </si>
  <si>
    <t>-87.7 bp</t>
  </si>
  <si>
    <t>109.5 bp</t>
  </si>
  <si>
    <t>3.257%</t>
  </si>
  <si>
    <t>55.3 bp</t>
  </si>
  <si>
    <t>-86.5 bp</t>
  </si>
  <si>
    <t>100.7 bp</t>
  </si>
  <si>
    <t>3.285%</t>
  </si>
  <si>
    <t>58.1 bp</t>
  </si>
  <si>
    <t>-83.7 bp</t>
  </si>
  <si>
    <t>78.5 bp</t>
  </si>
  <si>
    <t>3.337%</t>
  </si>
  <si>
    <t>63.3 bp</t>
  </si>
  <si>
    <t>-78.5 bp</t>
  </si>
  <si>
    <t>118.7 bp</t>
  </si>
  <si>
    <t>3.414%</t>
  </si>
  <si>
    <t>71.0 bp</t>
  </si>
  <si>
    <t>-70.8 bp</t>
  </si>
  <si>
    <t>126.4 bp</t>
  </si>
  <si>
    <t>3.447%</t>
  </si>
  <si>
    <t>74.3 bp</t>
  </si>
  <si>
    <t>-67.5 bp</t>
  </si>
  <si>
    <t>69.7 bp</t>
  </si>
  <si>
    <t>129.7 bp</t>
  </si>
  <si>
    <t>3.453%</t>
  </si>
  <si>
    <t>74.9 bp</t>
  </si>
  <si>
    <t>-66.9 bp</t>
  </si>
  <si>
    <t>130.3 bp</t>
  </si>
  <si>
    <t>3.530%</t>
  </si>
  <si>
    <t>82.6 bp</t>
  </si>
  <si>
    <t>-59.2 bp</t>
  </si>
  <si>
    <t>138.0 bp</t>
  </si>
  <si>
    <t>3.905%</t>
  </si>
  <si>
    <t>120.1 bp</t>
  </si>
  <si>
    <t>-21.7 bp</t>
  </si>
  <si>
    <t>-59.5 bp</t>
  </si>
  <si>
    <t>3.908%</t>
  </si>
  <si>
    <t>120.4 bp</t>
  </si>
  <si>
    <t>-21.4 bp</t>
  </si>
  <si>
    <t>210.8 bp</t>
  </si>
  <si>
    <t>4.000%</t>
  </si>
  <si>
    <t>129.6 bp</t>
  </si>
  <si>
    <t>-12.2 bp</t>
  </si>
  <si>
    <t>-50.0 bp</t>
  </si>
  <si>
    <t>4.122%</t>
  </si>
  <si>
    <t>141.8 bp</t>
  </si>
  <si>
    <t>12.2 bp</t>
  </si>
  <si>
    <t>4.145%</t>
  </si>
  <si>
    <t>144.1 bp</t>
  </si>
  <si>
    <t>2.3 bp</t>
  </si>
  <si>
    <t>14.5 bp</t>
  </si>
  <si>
    <t>4.245%</t>
  </si>
  <si>
    <t>154.1 bp</t>
  </si>
  <si>
    <t>12.3 bp</t>
  </si>
  <si>
    <t>174.5 bp</t>
  </si>
  <si>
    <t>4.300%</t>
  </si>
  <si>
    <t>159.6 bp</t>
  </si>
  <si>
    <t>17.8 bp</t>
  </si>
  <si>
    <t>-30.0 bp</t>
  </si>
  <si>
    <t>4.425%</t>
  </si>
  <si>
    <t>172.1 bp</t>
  </si>
  <si>
    <t>30.3 bp</t>
  </si>
  <si>
    <t>82.5 bp</t>
  </si>
  <si>
    <t>4.549%</t>
  </si>
  <si>
    <t>184.5 bp</t>
  </si>
  <si>
    <t>42.7 bp</t>
  </si>
  <si>
    <t>54.9 bp</t>
  </si>
  <si>
    <t>4.603%</t>
  </si>
  <si>
    <t>189.9 bp</t>
  </si>
  <si>
    <t>48.1 bp</t>
  </si>
  <si>
    <t>110.3 bp</t>
  </si>
  <si>
    <t>234.6 bp</t>
  </si>
  <si>
    <t>92.8 bp</t>
  </si>
  <si>
    <t>5.288%</t>
  </si>
  <si>
    <t>258.4 bp</t>
  </si>
  <si>
    <t>116.6 bp</t>
  </si>
  <si>
    <t>103.8 bp</t>
  </si>
  <si>
    <t>5.321%</t>
  </si>
  <si>
    <t>261.7 bp</t>
  </si>
  <si>
    <t>119.9 bp</t>
  </si>
  <si>
    <t>107.1 bp</t>
  </si>
  <si>
    <t>5.370%</t>
  </si>
  <si>
    <t>266.6 bp</t>
  </si>
  <si>
    <t>124.8 bp</t>
  </si>
  <si>
    <t>62.0 bp</t>
  </si>
  <si>
    <t>292.6 bp</t>
  </si>
  <si>
    <t>150.8 bp</t>
  </si>
  <si>
    <t>5.854%</t>
  </si>
  <si>
    <t>315.0 bp</t>
  </si>
  <si>
    <t>173.2 bp</t>
  </si>
  <si>
    <t>6.140%</t>
  </si>
  <si>
    <t>343.6 bp</t>
  </si>
  <si>
    <t>201.8 bp</t>
  </si>
  <si>
    <t>139.0 bp</t>
  </si>
  <si>
    <t>6.312%</t>
  </si>
  <si>
    <t>360.8 bp</t>
  </si>
  <si>
    <t>219.0 bp</t>
  </si>
  <si>
    <t>156.2 bp</t>
  </si>
  <si>
    <t>6.524%</t>
  </si>
  <si>
    <t>382.0 bp</t>
  </si>
  <si>
    <t>240.2 bp</t>
  </si>
  <si>
    <t>102.4 bp</t>
  </si>
  <si>
    <t>6.537%</t>
  </si>
  <si>
    <t>383.3 bp</t>
  </si>
  <si>
    <t>241.5 bp</t>
  </si>
  <si>
    <t>429.6 bp</t>
  </si>
  <si>
    <t>287.8 bp</t>
  </si>
  <si>
    <t>7.180%</t>
  </si>
  <si>
    <t>447.6 bp</t>
  </si>
  <si>
    <t>305.8 bp</t>
  </si>
  <si>
    <t>68.0 bp</t>
  </si>
  <si>
    <t>8.421%</t>
  </si>
  <si>
    <t>571.7 bp</t>
  </si>
  <si>
    <t>429.9 bp</t>
  </si>
  <si>
    <t>217.1 bp</t>
  </si>
  <si>
    <t>8.665%</t>
  </si>
  <si>
    <t>596.1 bp</t>
  </si>
  <si>
    <t>454.3 bp</t>
  </si>
  <si>
    <t>166.5 bp</t>
  </si>
  <si>
    <t>8.760%</t>
  </si>
  <si>
    <t>605.6 bp</t>
  </si>
  <si>
    <t>463.8 bp</t>
  </si>
  <si>
    <t>151.0 bp</t>
  </si>
  <si>
    <t>731.6 bp</t>
  </si>
  <si>
    <t>589.8 bp</t>
  </si>
  <si>
    <t>10.175%</t>
  </si>
  <si>
    <t>747.1 bp</t>
  </si>
  <si>
    <t>605.3 bp</t>
  </si>
  <si>
    <t>367.5 bp</t>
  </si>
  <si>
    <t>10.830%</t>
  </si>
  <si>
    <t>812.6 bp</t>
  </si>
  <si>
    <t>670.8 bp</t>
  </si>
  <si>
    <t>308.0 bp</t>
  </si>
  <si>
    <t>11.112%</t>
  </si>
  <si>
    <t>840.8 bp</t>
  </si>
  <si>
    <t>699.0 bp</t>
  </si>
  <si>
    <t>761.2 bp</t>
  </si>
  <si>
    <t>11.949%</t>
  </si>
  <si>
    <t>924.5 bp</t>
  </si>
  <si>
    <t>782.7 bp</t>
  </si>
  <si>
    <t>94.9 bp</t>
  </si>
  <si>
    <t>12.181%</t>
  </si>
  <si>
    <t>947.7 bp</t>
  </si>
  <si>
    <t>805.9 bp</t>
  </si>
  <si>
    <t>293.1 bp</t>
  </si>
  <si>
    <t>1042.6 bp</t>
  </si>
  <si>
    <t>900.8 bp</t>
  </si>
  <si>
    <t>13.685%</t>
  </si>
  <si>
    <t>1098.1 bp</t>
  </si>
  <si>
    <t>956.3 bp</t>
  </si>
  <si>
    <t>-131.5 bp</t>
  </si>
  <si>
    <t>15.300%</t>
  </si>
  <si>
    <t>1259.6 bp</t>
  </si>
  <si>
    <t>1117.8 bp</t>
  </si>
  <si>
    <t>-1170.0 bp</t>
  </si>
  <si>
    <t>1420.3 bp</t>
  </si>
  <si>
    <t>1278.5 bp</t>
  </si>
  <si>
    <t>1425.7 bp</t>
  </si>
  <si>
    <t>1283.9 bp</t>
  </si>
  <si>
    <t>1550.6 bp</t>
  </si>
  <si>
    <t>1408.8 bp</t>
  </si>
  <si>
    <t>19.280%</t>
  </si>
  <si>
    <t>1657.6 bp</t>
  </si>
  <si>
    <t>1515.8 bp</t>
  </si>
  <si>
    <t>378.0 bp</t>
  </si>
  <si>
    <t>19.910%</t>
  </si>
  <si>
    <t>1720.6 bp</t>
  </si>
  <si>
    <t>1578.8 bp</t>
  </si>
  <si>
    <t>-109.0 bp</t>
  </si>
  <si>
    <t>32.760%</t>
  </si>
  <si>
    <t>3005.6 bp</t>
  </si>
  <si>
    <t>2863.8 bp</t>
  </si>
  <si>
    <t>-674.0 bp</t>
  </si>
  <si>
    <t>CDS Net of Switzerland Spread</t>
  </si>
  <si>
    <t>Rating Based Default Spread</t>
  </si>
  <si>
    <t>Website: https://jay-finance.github.io/portfolio/</t>
  </si>
  <si>
    <t>1.16%</t>
  </si>
  <si>
    <t>79.3 bp</t>
  </si>
  <si>
    <t>-71.3 bp</t>
  </si>
  <si>
    <t>https://jay-finance.github.io/portfolio/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</si>
</sst>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font>
      <sz val="11"/>
      <color theme="1"/>
      <name val="Calibri"/>
      <family val="2"/>
    </font>
    <font>
      <sz val="11"/>
      <color theme="1"/>
      <name val="Calibri"/>
      <family val="2"/>
    </font>
    <font>
      <b/>
      <sz val="11"/>
      <color theme="0"/>
      <name val="Calibri"/>
      <family val="2"/>
    </font>
    <font>
      <sz val="11"/>
      <color theme="0"/>
      <name val="Calibri"/>
      <family val="2"/>
    </font>
    <font>
      <u/>
      <sz val="11"/>
      <color theme="10"/>
      <name val="Calibri"/>
      <family val="2"/>
    </font>
    <font>
      <b/>
      <sz val="15"/>
      <color rgb="FFFF0000"/>
      <name val="Calibri"/>
      <family val="2"/>
    </font>
    <font>
      <i/>
      <sz val="11"/>
      <color theme="1"/>
      <name val="Calibri"/>
      <family val="2"/>
    </font>
    <font>
      <b/>
      <sz val="15"/>
      <color theme="1"/>
      <name val="Calibri"/>
      <family val="2"/>
    </font>
    <font>
      <b/>
      <i/>
      <sz val="11"/>
      <color theme="1"/>
      <name val="Calibri"/>
      <family val="2"/>
    </font>
    <font>
      <i/>
      <u/>
      <sz val="11"/>
      <color theme="10"/>
      <name val="Calibri"/>
      <family val="2"/>
    </font>
    <font>
      <b/>
      <sz val="15"/>
      <color theme="0"/>
      <name val="Calibri"/>
      <family val="2"/>
    </font>
    <font>
      <b/>
      <sz val="13"/>
      <color theme="0"/>
      <name val="Calibri"/>
      <family val="2"/>
    </font>
    <font>
      <b/>
      <sz val="12"/>
      <color theme="1"/>
      <name val="Calibri"/>
      <family val="2"/>
    </font>
    <font>
      <b/>
      <sz val="12"/>
      <name val="Calibri"/>
      <family val="2"/>
      <scheme val="minor"/>
    </font>
    <font>
      <sz val="12"/>
      <name val="Calibri"/>
      <family val="2"/>
      <scheme val="minor"/>
    </font>
    <font>
      <sz val="9"/>
      <color theme="1"/>
      <name val="Geneva"/>
      <family val="2"/>
      <charset val="1"/>
    </font>
    <font>
      <sz val="12"/>
      <color theme="1"/>
      <name val="Calibri"/>
      <family val="2"/>
      <scheme val="minor"/>
    </font>
    <font>
      <sz val="9"/>
      <color rgb="FFFF0000"/>
      <name val="Geneva"/>
      <family val="2"/>
      <charset val="1"/>
    </font>
    <font>
      <b/>
      <sz val="9"/>
      <color indexed="81"/>
      <name val="Tahoma"/>
      <family val="2"/>
    </font>
    <font>
      <sz val="9"/>
      <color indexed="81"/>
      <name val="Tahoma"/>
      <family val="2"/>
    </font>
    <font>
      <b/>
      <sz val="11"/>
      <color theme="1"/>
      <name val="Calibri"/>
      <family val="2"/>
    </font>
    <font>
      <b/>
      <i/>
      <u/>
      <sz val="11"/>
      <color theme="1"/>
      <name val="Calibri"/>
      <family val="2"/>
    </font>
  </fonts>
  <fills count="9">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rgb="FFFFFFFF"/>
        <bgColor rgb="FF000000"/>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s>
  <borders count="16">
    <border>
      <left/>
      <right/>
      <top/>
      <bottom/>
      <diagonal/>
    </border>
    <border>
      <left/>
      <right/>
      <top/>
      <bottom style="thin">
        <color theme="0"/>
      </bottom>
      <diagonal/>
    </border>
    <border>
      <left/>
      <right/>
      <top style="thin">
        <color theme="0"/>
      </top>
      <bottom/>
      <diagonal/>
    </border>
    <border>
      <left/>
      <right/>
      <top style="hair">
        <color theme="4" tint="-0.499984740745262"/>
      </top>
      <bottom style="hair">
        <color theme="4" tint="-0.499984740745262"/>
      </bottom>
      <diagonal/>
    </border>
    <border>
      <left/>
      <right/>
      <top style="hair">
        <color rgb="FF002060"/>
      </top>
      <bottom style="hair">
        <color rgb="FF002060"/>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4" fillId="0" borderId="0" applyNumberFormat="0" applyFill="0" applyBorder="0" applyAlignment="0" applyProtection="0"/>
  </cellStyleXfs>
  <cellXfs count="76">
    <xf numFmtId="0" fontId="0" fillId="0" borderId="0" xfId="0"/>
    <xf numFmtId="0" fontId="0" fillId="2" borderId="0" xfId="0" applyFill="1"/>
    <xf numFmtId="0" fontId="0" fillId="0" borderId="0" xfId="0" applyAlignment="1">
      <alignment horizontal="right"/>
    </xf>
    <xf numFmtId="0" fontId="5" fillId="0" borderId="0" xfId="0" applyFont="1"/>
    <xf numFmtId="0" fontId="6" fillId="0" borderId="0" xfId="0" applyFont="1"/>
    <xf numFmtId="0" fontId="7" fillId="0" borderId="0" xfId="0" applyFont="1"/>
    <xf numFmtId="10" fontId="0" fillId="0" borderId="0" xfId="0" applyNumberFormat="1" applyAlignment="1">
      <alignment horizontal="right"/>
    </xf>
    <xf numFmtId="0" fontId="8" fillId="0" borderId="0" xfId="0" applyFont="1"/>
    <xf numFmtId="0" fontId="6" fillId="0" borderId="0" xfId="0" applyFont="1" applyAlignment="1">
      <alignment horizontal="left"/>
    </xf>
    <xf numFmtId="0" fontId="9" fillId="0" borderId="0" xfId="2" applyFont="1"/>
    <xf numFmtId="0" fontId="4" fillId="0" borderId="0" xfId="2"/>
    <xf numFmtId="0" fontId="10" fillId="3" borderId="0" xfId="0" applyFont="1" applyFill="1"/>
    <xf numFmtId="0" fontId="2" fillId="3" borderId="0" xfId="0" applyFont="1" applyFill="1"/>
    <xf numFmtId="0" fontId="2" fillId="3" borderId="0" xfId="0" applyFont="1" applyFill="1" applyAlignment="1">
      <alignment horizontal="left"/>
    </xf>
    <xf numFmtId="164" fontId="2" fillId="3" borderId="0" xfId="0" applyNumberFormat="1" applyFont="1" applyFill="1"/>
    <xf numFmtId="0" fontId="11" fillId="3" borderId="0" xfId="0" applyFont="1" applyFill="1"/>
    <xf numFmtId="164" fontId="2" fillId="3" borderId="0" xfId="0" applyNumberFormat="1" applyFont="1" applyFill="1" applyAlignment="1">
      <alignment horizontal="right"/>
    </xf>
    <xf numFmtId="0" fontId="2" fillId="3" borderId="0" xfId="0" applyFont="1" applyFill="1" applyAlignment="1">
      <alignment horizontal="center"/>
    </xf>
    <xf numFmtId="0" fontId="2" fillId="3" borderId="2" xfId="0" applyFont="1" applyFill="1" applyBorder="1"/>
    <xf numFmtId="0" fontId="2" fillId="3" borderId="2" xfId="0" applyFont="1" applyFill="1" applyBorder="1" applyAlignment="1">
      <alignment horizontal="left"/>
    </xf>
    <xf numFmtId="0" fontId="2" fillId="3" borderId="0" xfId="0" applyFont="1" applyFill="1" applyAlignment="1">
      <alignment horizontal="right"/>
    </xf>
    <xf numFmtId="9" fontId="0" fillId="0" borderId="0" xfId="1" applyFont="1"/>
    <xf numFmtId="9" fontId="0" fillId="0" borderId="0" xfId="1" applyFont="1" applyAlignment="1">
      <alignment horizontal="left"/>
    </xf>
    <xf numFmtId="164" fontId="0" fillId="0" borderId="0" xfId="1" applyNumberFormat="1" applyFont="1"/>
    <xf numFmtId="9" fontId="0" fillId="0" borderId="0" xfId="1" applyFont="1" applyBorder="1"/>
    <xf numFmtId="0" fontId="12" fillId="4" borderId="3" xfId="0" applyFont="1" applyFill="1" applyBorder="1"/>
    <xf numFmtId="0" fontId="12" fillId="4" borderId="3" xfId="0" applyFont="1" applyFill="1" applyBorder="1" applyAlignment="1">
      <alignment horizontal="left"/>
    </xf>
    <xf numFmtId="10" fontId="12" fillId="4" borderId="3" xfId="1" applyNumberFormat="1" applyFont="1" applyFill="1" applyBorder="1" applyAlignment="1">
      <alignment horizontal="right"/>
    </xf>
    <xf numFmtId="0" fontId="0" fillId="0" borderId="0" xfId="0" applyAlignment="1">
      <alignment horizontal="left"/>
    </xf>
    <xf numFmtId="0" fontId="0" fillId="0" borderId="4" xfId="0" applyBorder="1"/>
    <xf numFmtId="10" fontId="0" fillId="0" borderId="4" xfId="1" applyNumberFormat="1" applyFont="1" applyBorder="1" applyAlignment="1">
      <alignment horizontal="right"/>
    </xf>
    <xf numFmtId="10" fontId="0" fillId="0" borderId="4" xfId="0" applyNumberFormat="1" applyBorder="1" applyAlignment="1">
      <alignment horizontal="right"/>
    </xf>
    <xf numFmtId="0" fontId="0" fillId="0" borderId="5" xfId="0" applyBorder="1" applyAlignment="1">
      <alignment horizontal="center"/>
    </xf>
    <xf numFmtId="1" fontId="0" fillId="0" borderId="5" xfId="0" applyNumberFormat="1" applyBorder="1" applyAlignment="1">
      <alignment horizontal="center"/>
    </xf>
    <xf numFmtId="10" fontId="0" fillId="0" borderId="4" xfId="1" applyNumberFormat="1" applyFont="1" applyFill="1" applyBorder="1" applyAlignment="1">
      <alignment horizontal="right"/>
    </xf>
    <xf numFmtId="164" fontId="0" fillId="0" borderId="0" xfId="0" applyNumberFormat="1"/>
    <xf numFmtId="0" fontId="0" fillId="0" borderId="0" xfId="0" applyAlignment="1">
      <alignment horizontal="center"/>
    </xf>
    <xf numFmtId="0" fontId="0" fillId="0" borderId="3" xfId="0" applyBorder="1"/>
    <xf numFmtId="0" fontId="0" fillId="0" borderId="3" xfId="0" applyBorder="1" applyAlignment="1">
      <alignment horizontal="center"/>
    </xf>
    <xf numFmtId="10" fontId="0" fillId="0" borderId="0" xfId="1" applyNumberFormat="1" applyFont="1"/>
    <xf numFmtId="0" fontId="13" fillId="5" borderId="6" xfId="0" applyFont="1" applyFill="1" applyBorder="1" applyAlignment="1">
      <alignment horizontal="left" vertical="center" wrapText="1"/>
    </xf>
    <xf numFmtId="14" fontId="13" fillId="0" borderId="6" xfId="1" applyNumberFormat="1" applyFont="1" applyBorder="1" applyAlignment="1">
      <alignment horizontal="center" vertical="center" wrapText="1"/>
    </xf>
    <xf numFmtId="0" fontId="13" fillId="0" borderId="6" xfId="0" applyFont="1" applyBorder="1" applyAlignment="1">
      <alignment horizontal="center"/>
    </xf>
    <xf numFmtId="0" fontId="14" fillId="0" borderId="6" xfId="0" applyFont="1" applyBorder="1"/>
    <xf numFmtId="10" fontId="0" fillId="0" borderId="0" xfId="1" applyNumberFormat="1" applyFont="1" applyAlignment="1">
      <alignment horizontal="center"/>
    </xf>
    <xf numFmtId="10" fontId="14" fillId="0" borderId="6" xfId="0" applyNumberFormat="1" applyFont="1" applyBorder="1" applyAlignment="1">
      <alignment horizontal="center"/>
    </xf>
    <xf numFmtId="10" fontId="15" fillId="0" borderId="0" xfId="1" applyNumberFormat="1" applyFont="1" applyAlignment="1">
      <alignment horizontal="center"/>
    </xf>
    <xf numFmtId="0" fontId="16" fillId="0" borderId="6" xfId="0" applyFont="1" applyBorder="1"/>
    <xf numFmtId="10" fontId="17" fillId="0" borderId="0" xfId="1" applyNumberFormat="1" applyFont="1" applyAlignment="1">
      <alignment horizontal="center"/>
    </xf>
    <xf numFmtId="10" fontId="0" fillId="0" borderId="0" xfId="0" applyNumberFormat="1" applyAlignment="1">
      <alignment horizontal="center"/>
    </xf>
    <xf numFmtId="0" fontId="14" fillId="0" borderId="7" xfId="0" applyFont="1" applyBorder="1"/>
    <xf numFmtId="0" fontId="13" fillId="0" borderId="0" xfId="0" applyFont="1" applyAlignment="1">
      <alignment horizontal="center"/>
    </xf>
    <xf numFmtId="0" fontId="13" fillId="0" borderId="8" xfId="0" applyFont="1" applyBorder="1" applyAlignment="1">
      <alignment horizontal="center"/>
    </xf>
    <xf numFmtId="10" fontId="0" fillId="0" borderId="6" xfId="1" applyNumberFormat="1" applyFont="1" applyBorder="1" applyAlignment="1">
      <alignment horizontal="center"/>
    </xf>
    <xf numFmtId="0" fontId="3" fillId="3" borderId="0" xfId="0" applyFont="1" applyFill="1"/>
    <xf numFmtId="0" fontId="0" fillId="6" borderId="6" xfId="0" applyFill="1" applyBorder="1" applyAlignment="1">
      <alignment horizontal="right"/>
    </xf>
    <xf numFmtId="10" fontId="0" fillId="0" borderId="6" xfId="1" applyNumberFormat="1" applyFont="1" applyBorder="1" applyAlignment="1">
      <alignment horizontal="right"/>
    </xf>
    <xf numFmtId="0" fontId="0" fillId="0" borderId="6" xfId="0" applyBorder="1" applyAlignment="1">
      <alignment horizontal="right"/>
    </xf>
    <xf numFmtId="10" fontId="0" fillId="0" borderId="0" xfId="0" applyNumberFormat="1"/>
    <xf numFmtId="0" fontId="20" fillId="0" borderId="0" xfId="0" applyFont="1"/>
    <xf numFmtId="10" fontId="0" fillId="7" borderId="9" xfId="0" applyNumberFormat="1" applyFill="1" applyBorder="1" applyAlignment="1">
      <alignment horizontal="right"/>
    </xf>
    <xf numFmtId="10" fontId="0" fillId="0" borderId="7" xfId="0" applyNumberFormat="1" applyBorder="1" applyAlignment="1">
      <alignment horizontal="right"/>
    </xf>
    <xf numFmtId="10" fontId="20" fillId="7" borderId="10" xfId="0" applyNumberFormat="1" applyFont="1" applyFill="1" applyBorder="1" applyAlignment="1">
      <alignment horizontal="right"/>
    </xf>
    <xf numFmtId="164" fontId="0" fillId="0" borderId="6" xfId="1" applyNumberFormat="1" applyFont="1" applyBorder="1" applyAlignment="1">
      <alignment horizontal="right"/>
    </xf>
    <xf numFmtId="9" fontId="12" fillId="4" borderId="3" xfId="1" applyFont="1" applyFill="1" applyBorder="1" applyAlignment="1">
      <alignment horizontal="right"/>
    </xf>
    <xf numFmtId="9" fontId="0" fillId="0" borderId="0" xfId="0" applyNumberFormat="1" applyAlignment="1">
      <alignment horizontal="right"/>
    </xf>
    <xf numFmtId="9" fontId="0" fillId="0" borderId="4" xfId="0" applyNumberFormat="1" applyBorder="1" applyAlignment="1">
      <alignment horizontal="right"/>
    </xf>
    <xf numFmtId="0" fontId="20" fillId="8" borderId="11" xfId="0" applyFont="1" applyFill="1" applyBorder="1"/>
    <xf numFmtId="0" fontId="20" fillId="8" borderId="12" xfId="0" applyFont="1" applyFill="1" applyBorder="1"/>
    <xf numFmtId="0" fontId="20" fillId="8" borderId="13" xfId="0" applyFont="1" applyFill="1" applyBorder="1"/>
    <xf numFmtId="0" fontId="20" fillId="8" borderId="14" xfId="0" applyFont="1" applyFill="1" applyBorder="1"/>
    <xf numFmtId="0" fontId="20" fillId="8" borderId="15" xfId="0" applyFont="1" applyFill="1" applyBorder="1"/>
    <xf numFmtId="0" fontId="2" fillId="3" borderId="1" xfId="0" applyFont="1" applyFill="1" applyBorder="1" applyAlignment="1">
      <alignment horizontal="center"/>
    </xf>
    <xf numFmtId="0" fontId="2" fillId="3" borderId="0" xfId="0" applyFont="1" applyFill="1" applyAlignment="1">
      <alignment horizontal="center"/>
    </xf>
    <xf numFmtId="0" fontId="4" fillId="8" borderId="8" xfId="2" applyFill="1" applyBorder="1"/>
    <xf numFmtId="0" fontId="21" fillId="8" borderId="8" xfId="2" applyFont="1" applyFill="1" applyBorder="1"/>
  </cellXfs>
  <cellStyles count="3">
    <cellStyle name="Hyperlink" xfId="2" builtinId="8"/>
    <cellStyle name="Normal" xfId="0" builtinId="0"/>
    <cellStyle name="Percent" xfId="1" builtinId="5"/>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114301</xdr:colOff>
      <xdr:row>3</xdr:row>
      <xdr:rowOff>157161</xdr:rowOff>
    </xdr:from>
    <xdr:to>
      <xdr:col>16</xdr:col>
      <xdr:colOff>161926</xdr:colOff>
      <xdr:row>48</xdr:row>
      <xdr:rowOff>180975</xdr:rowOff>
    </xdr:to>
    <xdr:sp macro="" textlink="">
      <xdr:nvSpPr>
        <xdr:cNvPr id="2" name="TextBox 1">
          <a:extLst>
            <a:ext uri="{FF2B5EF4-FFF2-40B4-BE49-F238E27FC236}">
              <a16:creationId xmlns:a16="http://schemas.microsoft.com/office/drawing/2014/main" id="{6F02B144-B968-4207-9CAD-0F06F23FC6E3}"/>
            </a:ext>
          </a:extLst>
        </xdr:cNvPr>
        <xdr:cNvSpPr txBox="1"/>
      </xdr:nvSpPr>
      <xdr:spPr>
        <a:xfrm>
          <a:off x="114301" y="728661"/>
          <a:ext cx="10382250" cy="85963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t>Risk-Free Rate Estimation: How to?, </a:t>
          </a:r>
          <a:r>
            <a:rPr lang="en-IN" sz="1400" b="1">
              <a:solidFill>
                <a:schemeClr val="dk1"/>
              </a:solidFill>
              <a:effectLst/>
              <a:latin typeface="+mn-lt"/>
              <a:ea typeface="+mn-ea"/>
              <a:cs typeface="+mn-cs"/>
            </a:rPr>
            <a:t>Rationale &amp; </a:t>
          </a:r>
          <a:r>
            <a:rPr lang="en-IN" sz="1400" b="1"/>
            <a:t>Methodology </a:t>
          </a:r>
        </a:p>
        <a:p>
          <a:pPr marL="0" marR="0" lvl="0" indent="0" defTabSz="914400" eaLnBrk="1" fontAlgn="auto" latinLnBrk="0" hangingPunct="1">
            <a:lnSpc>
              <a:spcPct val="100000"/>
            </a:lnSpc>
            <a:spcBef>
              <a:spcPts val="0"/>
            </a:spcBef>
            <a:spcAft>
              <a:spcPts val="0"/>
            </a:spcAft>
            <a:buClrTx/>
            <a:buSzTx/>
            <a:buFontTx/>
            <a:buNone/>
            <a:tabLst/>
            <a:defRPr/>
          </a:pPr>
          <a:endParaRPr lang="en-IN" b="1"/>
        </a:p>
        <a:p>
          <a:r>
            <a:rPr lang="en-IN" sz="1300" b="1">
              <a:solidFill>
                <a:schemeClr val="dk1"/>
              </a:solidFill>
              <a:effectLst/>
              <a:latin typeface="+mn-lt"/>
              <a:ea typeface="+mn-ea"/>
              <a:cs typeface="+mn-cs"/>
            </a:rPr>
            <a:t>How to Use the Calculator</a:t>
          </a:r>
          <a:endParaRPr lang="en-IN" sz="1300">
            <a:effectLst/>
          </a:endParaRPr>
        </a:p>
        <a:p>
          <a:r>
            <a:rPr lang="en-IN" sz="1100">
              <a:solidFill>
                <a:schemeClr val="dk1"/>
              </a:solidFill>
              <a:effectLst/>
              <a:latin typeface="+mn-lt"/>
              <a:ea typeface="+mn-ea"/>
              <a:cs typeface="+mn-cs"/>
            </a:rPr>
            <a:t>First, refresh the Power Query table in</a:t>
          </a:r>
          <a:r>
            <a:rPr lang="en-IN" sz="1100" baseline="0">
              <a:solidFill>
                <a:schemeClr val="dk1"/>
              </a:solidFill>
              <a:effectLst/>
              <a:latin typeface="+mn-lt"/>
              <a:ea typeface="+mn-ea"/>
              <a:cs typeface="+mn-cs"/>
            </a:rPr>
            <a:t> the sheet "AutGovYields"</a:t>
          </a:r>
          <a:r>
            <a:rPr lang="en-IN" sz="1100">
              <a:solidFill>
                <a:schemeClr val="dk1"/>
              </a:solidFill>
              <a:effectLst/>
              <a:latin typeface="+mn-lt"/>
              <a:ea typeface="+mn-ea"/>
              <a:cs typeface="+mn-cs"/>
            </a:rPr>
            <a:t> to pull the latest 10-year government bond yields. Then in the sheet "RfrCalculator"</a:t>
          </a:r>
          <a:r>
            <a:rPr lang="en-IN" sz="1100" baseline="0">
              <a:solidFill>
                <a:schemeClr val="dk1"/>
              </a:solidFill>
              <a:effectLst/>
              <a:latin typeface="+mn-lt"/>
              <a:ea typeface="+mn-ea"/>
              <a:cs typeface="+mn-cs"/>
            </a:rPr>
            <a:t> </a:t>
          </a:r>
          <a:r>
            <a:rPr lang="en-IN" sz="1100">
              <a:solidFill>
                <a:schemeClr val="dk1"/>
              </a:solidFill>
              <a:effectLst/>
              <a:latin typeface="+mn-lt"/>
              <a:ea typeface="+mn-ea"/>
              <a:cs typeface="+mn-cs"/>
            </a:rPr>
            <a:t>choose a country from the list, the model retrieves the updated bond yield, Moody’s rating, CDS (if available), rating-based</a:t>
          </a:r>
          <a:r>
            <a:rPr lang="en-IN" sz="1100" baseline="0">
              <a:solidFill>
                <a:schemeClr val="dk1"/>
              </a:solidFill>
              <a:effectLst/>
              <a:latin typeface="+mn-lt"/>
              <a:ea typeface="+mn-ea"/>
              <a:cs typeface="+mn-cs"/>
            </a:rPr>
            <a:t> default spreads </a:t>
          </a:r>
          <a:r>
            <a:rPr lang="en-IN" sz="1100">
              <a:solidFill>
                <a:schemeClr val="dk1"/>
              </a:solidFill>
              <a:effectLst/>
              <a:latin typeface="+mn-lt"/>
              <a:ea typeface="+mn-ea"/>
              <a:cs typeface="+mn-cs"/>
            </a:rPr>
            <a:t>and computes both versions of the risk-free rate. </a:t>
          </a:r>
        </a:p>
        <a:p>
          <a:endParaRPr lang="en-IN" b="1"/>
        </a:p>
        <a:p>
          <a:pPr marL="0" marR="0" lvl="0" indent="0" defTabSz="914400" eaLnBrk="1" fontAlgn="auto" latinLnBrk="0" hangingPunct="1">
            <a:lnSpc>
              <a:spcPct val="100000"/>
            </a:lnSpc>
            <a:spcBef>
              <a:spcPts val="0"/>
            </a:spcBef>
            <a:spcAft>
              <a:spcPts val="0"/>
            </a:spcAft>
            <a:buClrTx/>
            <a:buSzTx/>
            <a:buFontTx/>
            <a:buNone/>
            <a:tabLst/>
            <a:defRPr/>
          </a:pPr>
          <a:endParaRPr lang="en-IN" b="1"/>
        </a:p>
        <a:p>
          <a:r>
            <a:rPr lang="en-IN" sz="1200" b="1"/>
            <a:t>A. Objective:</a:t>
          </a:r>
        </a:p>
        <a:p>
          <a:r>
            <a:rPr lang="en-IN"/>
            <a:t>This model estimates </a:t>
          </a:r>
          <a:r>
            <a:rPr lang="en-IN" b="0"/>
            <a:t>country-specific risk-free rates (RFRs)</a:t>
          </a:r>
          <a:r>
            <a:rPr lang="en-IN"/>
            <a:t> by adjusting nominal 10-year government bond yields for sovereign default risk.</a:t>
          </a:r>
        </a:p>
        <a:p>
          <a:r>
            <a:rPr lang="en-IN"/>
            <a:t>Government bonds are commonly treated as “risk-free,” but in reality, many countries carry measurable default risk. To avoid overstating discount rates, we strip out this embedded risk and compute a cleaner, more comparable RFR for valuation purposes.</a:t>
          </a:r>
        </a:p>
        <a:p>
          <a:endParaRPr lang="en-IN"/>
        </a:p>
        <a:p>
          <a:pPr marL="0" marR="0" lvl="0" indent="0" defTabSz="914400" eaLnBrk="1" fontAlgn="auto" latinLnBrk="0" hangingPunct="1">
            <a:lnSpc>
              <a:spcPct val="100000"/>
            </a:lnSpc>
            <a:spcBef>
              <a:spcPts val="0"/>
            </a:spcBef>
            <a:spcAft>
              <a:spcPts val="0"/>
            </a:spcAft>
            <a:buClrTx/>
            <a:buSzTx/>
            <a:buFontTx/>
            <a:buNone/>
            <a:tabLst/>
            <a:defRPr/>
          </a:pPr>
          <a:r>
            <a:rPr lang="en-IN" sz="1200" b="1"/>
            <a:t>B. Why Government Bond Yields Are Not Risk-Free:</a:t>
          </a:r>
        </a:p>
        <a:p>
          <a:r>
            <a:rPr lang="en-IN"/>
            <a:t>Sovereign default is not theoretical — many countries have restructured or defaulted on their obligations.</a:t>
          </a:r>
          <a:br>
            <a:rPr lang="en-IN"/>
          </a:br>
          <a:r>
            <a:rPr lang="en-IN"/>
            <a:t>Therefore:</a:t>
          </a:r>
        </a:p>
        <a:p>
          <a:endParaRPr lang="en-IN"/>
        </a:p>
        <a:p>
          <a:pPr lvl="1"/>
          <a:r>
            <a:rPr lang="en-IN" sz="900" b="1" i="1"/>
            <a:t>Risk-Free Rate = Government Bond Yield − Sovereign Default Spread</a:t>
          </a:r>
          <a:endParaRPr lang="en-IN" sz="900" i="1"/>
        </a:p>
        <a:p>
          <a:endParaRPr lang="en-IN"/>
        </a:p>
        <a:p>
          <a:r>
            <a:rPr lang="en-IN"/>
            <a:t>This adjustment aligns with widely-accepted valuation practice, including frameworks used by </a:t>
          </a:r>
          <a:r>
            <a:rPr lang="en-IN" b="0"/>
            <a:t>Aswath Damodaran</a:t>
          </a:r>
          <a:r>
            <a:rPr lang="en-IN"/>
            <a:t>, whose datasets form the basis for portions of this model.</a:t>
          </a:r>
        </a:p>
        <a:p>
          <a:br>
            <a:rPr lang="en-IN" b="1"/>
          </a:br>
          <a:r>
            <a:rPr lang="en-IN" sz="1200" b="1"/>
            <a:t>C.</a:t>
          </a:r>
          <a:r>
            <a:rPr lang="en-IN" sz="1200" b="1" baseline="0"/>
            <a:t> </a:t>
          </a:r>
          <a:r>
            <a:rPr lang="en-IN" sz="1200" b="1"/>
            <a:t>Data Sources Behind the Model:</a:t>
          </a:r>
        </a:p>
        <a:p>
          <a:pPr lvl="1"/>
          <a:r>
            <a:rPr lang="en-IN" sz="1100" b="1"/>
            <a:t>1.</a:t>
          </a:r>
          <a:r>
            <a:rPr lang="en-IN" sz="1100" b="1" baseline="0"/>
            <a:t> </a:t>
          </a:r>
          <a:r>
            <a:rPr lang="en-IN" b="1"/>
            <a:t>10-Year Government Bond Yields: </a:t>
          </a:r>
          <a:r>
            <a:rPr lang="en-IN" b="0"/>
            <a:t>Pulled automatically using Power Query from worldgovernmentbonds.com.</a:t>
          </a:r>
          <a:r>
            <a:rPr lang="en-IN" b="0" baseline="0"/>
            <a:t> </a:t>
          </a:r>
          <a:r>
            <a:rPr lang="en-IN"/>
            <a:t>Updated on file refresh.</a:t>
          </a:r>
        </a:p>
        <a:p>
          <a:endParaRPr lang="en-IN" sz="1100" b="1"/>
        </a:p>
        <a:p>
          <a:pPr lvl="1"/>
          <a:r>
            <a:rPr lang="en-IN" sz="1100" b="1"/>
            <a:t>2.</a:t>
          </a:r>
          <a:r>
            <a:rPr lang="en-IN" sz="1100" b="1" baseline="0"/>
            <a:t> </a:t>
          </a:r>
          <a:r>
            <a:rPr lang="en-IN" b="1"/>
            <a:t>Sovereign </a:t>
          </a:r>
          <a:r>
            <a:rPr lang="en-IN" sz="1100" b="1">
              <a:solidFill>
                <a:schemeClr val="dk1"/>
              </a:solidFill>
              <a:effectLst/>
              <a:latin typeface="+mn-lt"/>
              <a:ea typeface="+mn-ea"/>
              <a:cs typeface="+mn-cs"/>
            </a:rPr>
            <a:t>10y </a:t>
          </a:r>
          <a:r>
            <a:rPr lang="en-IN" b="1"/>
            <a:t>CDS Spreads:</a:t>
          </a:r>
          <a:r>
            <a:rPr lang="en-IN" b="1" baseline="0"/>
            <a:t> </a:t>
          </a:r>
          <a:r>
            <a:rPr lang="en-IN" b="0"/>
            <a:t>Sourced from Damodaran’s dataset, originally compiled from Bloomberg.</a:t>
          </a:r>
          <a:r>
            <a:rPr lang="en-IN" b="0" baseline="0"/>
            <a:t> </a:t>
          </a:r>
          <a:r>
            <a:rPr lang="en-IN" b="0"/>
            <a:t>All values are 10y CDS, ensuring no maturity mismatch.</a:t>
          </a:r>
        </a:p>
        <a:p>
          <a:endParaRPr lang="en-IN" sz="1100" b="1"/>
        </a:p>
        <a:p>
          <a:pPr lvl="1"/>
          <a:r>
            <a:rPr lang="en-IN" sz="1100" b="1"/>
            <a:t>3. </a:t>
          </a:r>
          <a:r>
            <a:rPr lang="en-IN" b="1"/>
            <a:t>Sovereign Credit Ratings: </a:t>
          </a:r>
          <a:r>
            <a:rPr lang="en-IN"/>
            <a:t>Used only when CDS is unavailable.</a:t>
          </a:r>
          <a:r>
            <a:rPr lang="en-IN" baseline="0"/>
            <a:t> </a:t>
          </a:r>
          <a:r>
            <a:rPr lang="en-IN"/>
            <a:t>Taken from Damodaran’s country risk dataset.</a:t>
          </a:r>
        </a:p>
        <a:p>
          <a:pPr lvl="1"/>
          <a:endParaRPr lang="en-IN"/>
        </a:p>
        <a:p>
          <a:pPr lvl="1"/>
          <a:r>
            <a:rPr lang="en-IN" b="1"/>
            <a:t>4. Damodaran’s Rating-Based Default Spread Table: </a:t>
          </a:r>
          <a:r>
            <a:rPr lang="en-IN"/>
            <a:t>Provides estimated default spreads by rating category.</a:t>
          </a:r>
          <a:r>
            <a:rPr lang="en-IN" baseline="0"/>
            <a:t> </a:t>
          </a:r>
          <a:r>
            <a:rPr lang="en-IN"/>
            <a:t>estimated</a:t>
          </a:r>
          <a:r>
            <a:rPr lang="en-IN" baseline="0"/>
            <a:t> </a:t>
          </a:r>
          <a:r>
            <a:rPr lang="en-IN"/>
            <a:t>by averaging observed sovereign CDS spreads within each rating bucket.</a:t>
          </a:r>
          <a:r>
            <a:rPr lang="en-IN" baseline="0"/>
            <a:t> </a:t>
          </a:r>
          <a:r>
            <a:rPr lang="en-IN"/>
            <a:t>Used as a fallback when direct CDS data is missing.</a:t>
          </a:r>
        </a:p>
        <a:p>
          <a:pPr lvl="1"/>
          <a:endParaRPr lang="en-IN"/>
        </a:p>
        <a:p>
          <a:pPr lvl="0"/>
          <a:r>
            <a:rPr lang="en-IN" sz="1200" b="1"/>
            <a:t>D. Methodology:</a:t>
          </a:r>
        </a:p>
        <a:p>
          <a:pPr marL="457200" marR="0" lvl="1" indent="0" defTabSz="914400" eaLnBrk="1" fontAlgn="auto" latinLnBrk="0" hangingPunct="1">
            <a:lnSpc>
              <a:spcPct val="100000"/>
            </a:lnSpc>
            <a:spcBef>
              <a:spcPts val="0"/>
            </a:spcBef>
            <a:spcAft>
              <a:spcPts val="0"/>
            </a:spcAft>
            <a:buClrTx/>
            <a:buSzTx/>
            <a:buFontTx/>
            <a:buNone/>
            <a:tabLst/>
            <a:defRPr/>
          </a:pPr>
          <a:endParaRPr lang="en-IN" sz="1100"/>
        </a:p>
        <a:p>
          <a:pPr marL="457200" marR="0" lvl="1" indent="0" defTabSz="914400" eaLnBrk="1" fontAlgn="auto" latinLnBrk="0" hangingPunct="1">
            <a:lnSpc>
              <a:spcPct val="100000"/>
            </a:lnSpc>
            <a:spcBef>
              <a:spcPts val="0"/>
            </a:spcBef>
            <a:spcAft>
              <a:spcPts val="0"/>
            </a:spcAft>
            <a:buClrTx/>
            <a:buSzTx/>
            <a:buFontTx/>
            <a:buNone/>
            <a:tabLst/>
            <a:defRPr/>
          </a:pPr>
          <a:r>
            <a:rPr lang="en-IN" sz="1100" b="1"/>
            <a:t>1. Default Spread: </a:t>
          </a:r>
        </a:p>
        <a:p>
          <a:pPr marL="457200" marR="0" lvl="1" indent="0" defTabSz="914400" eaLnBrk="1" fontAlgn="auto" latinLnBrk="0" hangingPunct="1">
            <a:lnSpc>
              <a:spcPct val="100000"/>
            </a:lnSpc>
            <a:spcBef>
              <a:spcPts val="0"/>
            </a:spcBef>
            <a:spcAft>
              <a:spcPts val="0"/>
            </a:spcAft>
            <a:buClrTx/>
            <a:buSzTx/>
            <a:buFontTx/>
            <a:buNone/>
            <a:tabLst/>
            <a:defRPr/>
          </a:pPr>
          <a:r>
            <a:rPr lang="en-IN" sz="1100"/>
            <a:t>When CDS data is available, we estimate the default spread by subtracting Switzerland’s 10-year CDS from the country’s CDS. Switzerland is used as the “safe” as analysts and</a:t>
          </a:r>
          <a:r>
            <a:rPr lang="en-IN" sz="1100" baseline="0"/>
            <a:t> </a:t>
          </a:r>
          <a:r>
            <a:rPr lang="en-IN" sz="1100"/>
            <a:t>Damodaran shifted from the US after the recent downgrade in ratings. If a country does not have CDS data, the model uses </a:t>
          </a:r>
          <a:r>
            <a:rPr lang="en-IN" sz="1100" b="0"/>
            <a:t>rating-based default spreads</a:t>
          </a:r>
          <a:r>
            <a:rPr lang="en-IN" sz="1100"/>
            <a:t>, which are Damodaran’s averages of CDS spreads for countries within the same credit rating.</a:t>
          </a:r>
        </a:p>
        <a:p>
          <a:pPr lvl="0"/>
          <a:endParaRPr lang="en-IN" sz="900" b="1" i="1"/>
        </a:p>
        <a:p>
          <a:pPr lvl="2"/>
          <a:r>
            <a:rPr lang="en-IN" sz="1100" b="1" i="0"/>
            <a:t>i.</a:t>
          </a:r>
          <a:r>
            <a:rPr lang="en-IN" sz="1100" b="1" i="0" baseline="0"/>
            <a:t> Why CDS?: </a:t>
          </a:r>
          <a:r>
            <a:rPr lang="en-IN"/>
            <a:t>CDS spreads reflect the market cost of insuring against a country’s default, they directly measure the sovereign credit risk embedded in government bond yields. CDS markets react faster and more accurately to changes in default risk than bond yields or ratings, CDS spread is used as a practical, market-driven proxy for the country’s default spread.</a:t>
          </a:r>
          <a:endParaRPr lang="en-IN" sz="1100" b="1" i="0"/>
        </a:p>
        <a:p>
          <a:pPr lvl="1"/>
          <a:endParaRPr lang="en-IN" b="1"/>
        </a:p>
        <a:p>
          <a:pPr lvl="1"/>
          <a:r>
            <a:rPr lang="en-IN" b="1"/>
            <a:t>2. Risk-Free Rate:</a:t>
          </a:r>
        </a:p>
        <a:p>
          <a:pPr lvl="1"/>
          <a:r>
            <a:rPr lang="en-IN"/>
            <a:t>For every country, the model computes two versions of the RFR:</a:t>
          </a:r>
        </a:p>
        <a:p>
          <a:pPr lvl="2"/>
          <a:endParaRPr lang="en-IN" b="1"/>
        </a:p>
        <a:p>
          <a:pPr lvl="2"/>
          <a:r>
            <a:rPr lang="en-IN" sz="1100">
              <a:solidFill>
                <a:schemeClr val="dk1"/>
              </a:solidFill>
              <a:effectLst/>
              <a:latin typeface="+mn-lt"/>
              <a:ea typeface="+mn-ea"/>
              <a:cs typeface="+mn-cs"/>
            </a:rPr>
            <a:t>•  </a:t>
          </a:r>
          <a:r>
            <a:rPr lang="en-IN" b="1"/>
            <a:t>RFR (CDS):</a:t>
          </a:r>
          <a:r>
            <a:rPr lang="en-IN"/>
            <a:t> 10-year bond yield minus the CDS-based default spread</a:t>
          </a:r>
        </a:p>
        <a:p>
          <a:pPr lvl="2"/>
          <a:r>
            <a:rPr lang="en-IN" sz="1100">
              <a:solidFill>
                <a:schemeClr val="dk1"/>
              </a:solidFill>
              <a:effectLst/>
              <a:latin typeface="+mn-lt"/>
              <a:ea typeface="+mn-ea"/>
              <a:cs typeface="+mn-cs"/>
            </a:rPr>
            <a:t>•  </a:t>
          </a:r>
          <a:r>
            <a:rPr lang="en-IN" b="1"/>
            <a:t>RFR (Rating):</a:t>
          </a:r>
          <a:r>
            <a:rPr lang="en-IN"/>
            <a:t> 10-year bond yield minus the rating-based default spread</a:t>
          </a:r>
        </a:p>
        <a:p>
          <a:pPr lvl="1"/>
          <a:endParaRPr lang="en-IN"/>
        </a:p>
        <a:p>
          <a:pPr lvl="1"/>
          <a:r>
            <a:rPr lang="en-IN"/>
            <a:t>Both are displayed so users can choose based on data quality and availability. </a:t>
          </a:r>
        </a:p>
        <a:p>
          <a:pPr lvl="1"/>
          <a:endParaRPr lang="en-IN" b="1"/>
        </a:p>
        <a:p>
          <a:pPr lvl="1"/>
          <a:endParaRPr lang="en-IN" sz="1100" b="1"/>
        </a:p>
        <a:p>
          <a:endParaRPr lang="en-IN" sz="1100" b="1"/>
        </a:p>
        <a:p>
          <a:endParaRPr lang="en-IN" sz="1100" b="1"/>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3dc0ba0609f8e1b/Documents/Finance/Global%20WACC%20Engine.xlsx" TargetMode="External"/><Relationship Id="rId1" Type="http://schemas.openxmlformats.org/officeDocument/2006/relationships/externalLinkPath" Target="Global%20WACC%20Engi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rtHere"/>
      <sheetName val="RFR&gt;"/>
      <sheetName val="AutoGovYield"/>
      <sheetName val="RFRbyCountry"/>
      <sheetName val="RfrCalc"/>
      <sheetName val="ERP&gt;"/>
      <sheetName val="ERPcalc"/>
      <sheetName val="ERPsCRPs&amp;Spreads"/>
      <sheetName val="GlobalRelativeVolatility"/>
      <sheetName val="RegionalERP"/>
      <sheetName val="Beta&gt;"/>
      <sheetName val="GlobalBeta"/>
      <sheetName val="KD&gt;"/>
      <sheetName val="KDcalc"/>
      <sheetName val="WACC&gt;"/>
      <sheetName val="WACC"/>
      <sheetName val="INDIA&gt;"/>
      <sheetName val="ERPcalcINDIA"/>
      <sheetName val="RelativeVolatilityIND"/>
      <sheetName val="IndianBeta"/>
      <sheetName val="Data&gt;"/>
      <sheetName val="RatingSpreads"/>
      <sheetName val="CDS"/>
      <sheetName val="Ratings&amp;PRS"/>
      <sheetName val="WrldbnkGDP"/>
      <sheetName val="RegionalLookup"/>
    </sheetNames>
    <sheetDataSet>
      <sheetData sheetId="0"/>
      <sheetData sheetId="1"/>
      <sheetData sheetId="2">
        <row r="4">
          <cell r="B4" t="str">
            <v>Switzerland</v>
          </cell>
        </row>
        <row r="5">
          <cell r="B5" t="str">
            <v>Taiwan</v>
          </cell>
        </row>
        <row r="6">
          <cell r="B6" t="str">
            <v>Japan</v>
          </cell>
        </row>
        <row r="7">
          <cell r="B7" t="str">
            <v>Thailand</v>
          </cell>
        </row>
        <row r="8">
          <cell r="B8" t="str">
            <v>China</v>
          </cell>
        </row>
        <row r="9">
          <cell r="B9" t="str">
            <v>Singapore</v>
          </cell>
        </row>
        <row r="10">
          <cell r="B10" t="str">
            <v>Denmark</v>
          </cell>
        </row>
        <row r="11">
          <cell r="B11" t="str">
            <v>Sweden</v>
          </cell>
        </row>
        <row r="12">
          <cell r="B12" t="str">
            <v>Germany</v>
          </cell>
        </row>
        <row r="13">
          <cell r="B13" t="str">
            <v>Netherlands</v>
          </cell>
        </row>
        <row r="14">
          <cell r="B14" t="str">
            <v>Ireland</v>
          </cell>
        </row>
        <row r="15">
          <cell r="B15" t="str">
            <v>Morocco</v>
          </cell>
        </row>
        <row r="16">
          <cell r="B16" t="str">
            <v>Austria</v>
          </cell>
        </row>
        <row r="17">
          <cell r="B17" t="str">
            <v>Hong Kong</v>
          </cell>
        </row>
        <row r="18">
          <cell r="B18" t="str">
            <v>Slovenia</v>
          </cell>
        </row>
        <row r="19">
          <cell r="B19" t="str">
            <v>Cyprus</v>
          </cell>
        </row>
        <row r="20">
          <cell r="B20" t="str">
            <v>Portugal</v>
          </cell>
        </row>
        <row r="21">
          <cell r="B21" t="str">
            <v>Finland</v>
          </cell>
        </row>
        <row r="22">
          <cell r="B22" t="str">
            <v>Croatia</v>
          </cell>
        </row>
        <row r="23">
          <cell r="B23" t="str">
            <v>Spain</v>
          </cell>
        </row>
        <row r="24">
          <cell r="B24" t="str">
            <v>Canada</v>
          </cell>
        </row>
        <row r="25">
          <cell r="B25" t="str">
            <v>Belgium</v>
          </cell>
        </row>
        <row r="26">
          <cell r="B26" t="str">
            <v>South Korea</v>
          </cell>
        </row>
        <row r="27">
          <cell r="B27" t="str">
            <v>Malta</v>
          </cell>
        </row>
        <row r="28">
          <cell r="B28" t="str">
            <v>Greece</v>
          </cell>
        </row>
        <row r="29">
          <cell r="B29" t="str">
            <v>Slovakia</v>
          </cell>
        </row>
        <row r="30">
          <cell r="B30" t="str">
            <v>Italy</v>
          </cell>
        </row>
        <row r="31">
          <cell r="B31" t="str">
            <v>France</v>
          </cell>
        </row>
        <row r="32">
          <cell r="B32" t="str">
            <v>Lithuania</v>
          </cell>
        </row>
        <row r="33">
          <cell r="B33" t="str">
            <v>Malaysia</v>
          </cell>
        </row>
        <row r="34">
          <cell r="B34" t="str">
            <v>Bulgaria</v>
          </cell>
        </row>
        <row r="35">
          <cell r="B35" t="str">
            <v>Israel</v>
          </cell>
        </row>
        <row r="36">
          <cell r="B36" t="str">
            <v>Vietnam</v>
          </cell>
        </row>
        <row r="37">
          <cell r="B37" t="str">
            <v>United States</v>
          </cell>
        </row>
        <row r="38">
          <cell r="B38" t="str">
            <v>Norway</v>
          </cell>
        </row>
        <row r="39">
          <cell r="B39" t="str">
            <v>New Zealand</v>
          </cell>
        </row>
        <row r="40">
          <cell r="B40" t="str">
            <v>Qatar</v>
          </cell>
        </row>
        <row r="41">
          <cell r="B41" t="str">
            <v>Australia</v>
          </cell>
        </row>
        <row r="42">
          <cell r="B42" t="str">
            <v>United Kingdom</v>
          </cell>
        </row>
        <row r="43">
          <cell r="B43" t="str">
            <v>Czech Republic</v>
          </cell>
        </row>
        <row r="44">
          <cell r="B44" t="str">
            <v>Serbia</v>
          </cell>
        </row>
        <row r="45">
          <cell r="B45" t="str">
            <v>Peru</v>
          </cell>
        </row>
        <row r="46">
          <cell r="B46" t="str">
            <v>Poland</v>
          </cell>
        </row>
        <row r="47">
          <cell r="B47" t="str">
            <v>Chile</v>
          </cell>
        </row>
        <row r="48">
          <cell r="B48" t="str">
            <v>Mauritius</v>
          </cell>
        </row>
        <row r="49">
          <cell r="B49" t="str">
            <v>Bahrain</v>
          </cell>
        </row>
        <row r="50">
          <cell r="B50" t="str">
            <v>Philippines</v>
          </cell>
        </row>
        <row r="51">
          <cell r="B51" t="str">
            <v>Indonesia</v>
          </cell>
        </row>
        <row r="52">
          <cell r="B52" t="str">
            <v>Iceland</v>
          </cell>
        </row>
        <row r="53">
          <cell r="B53" t="str">
            <v>India</v>
          </cell>
        </row>
        <row r="54">
          <cell r="B54" t="str">
            <v>Hungary</v>
          </cell>
        </row>
        <row r="55">
          <cell r="B55" t="str">
            <v>Romania</v>
          </cell>
        </row>
        <row r="56">
          <cell r="B56" t="str">
            <v>Jordan</v>
          </cell>
        </row>
        <row r="57">
          <cell r="B57" t="str">
            <v>South Africa</v>
          </cell>
        </row>
        <row r="58">
          <cell r="B58" t="str">
            <v>Mexico</v>
          </cell>
        </row>
        <row r="59">
          <cell r="B59" t="str">
            <v>Bangladesh</v>
          </cell>
        </row>
        <row r="60">
          <cell r="B60" t="str">
            <v>Namibia</v>
          </cell>
        </row>
        <row r="61">
          <cell r="B61" t="str">
            <v>Botswana</v>
          </cell>
        </row>
        <row r="62">
          <cell r="B62" t="str">
            <v>Sri Lanka</v>
          </cell>
        </row>
        <row r="63">
          <cell r="B63" t="str">
            <v>Colombia</v>
          </cell>
        </row>
        <row r="64">
          <cell r="B64" t="str">
            <v>Pakistan</v>
          </cell>
        </row>
        <row r="65">
          <cell r="B65" t="str">
            <v>Kenya</v>
          </cell>
        </row>
        <row r="66">
          <cell r="B66" t="str">
            <v>Brazil</v>
          </cell>
        </row>
        <row r="67">
          <cell r="B67" t="str">
            <v>Nigeria</v>
          </cell>
        </row>
        <row r="68">
          <cell r="B68" t="str">
            <v>Uganda</v>
          </cell>
        </row>
        <row r="69">
          <cell r="B69" t="str">
            <v>Kazakhstan</v>
          </cell>
        </row>
        <row r="70">
          <cell r="B70" t="str">
            <v>Zambia</v>
          </cell>
        </row>
        <row r="71">
          <cell r="B71" t="str">
            <v>Ukraine</v>
          </cell>
        </row>
        <row r="72">
          <cell r="B72" t="str">
            <v>Egypt</v>
          </cell>
        </row>
        <row r="73">
          <cell r="B73" t="str">
            <v>Turkey</v>
          </cell>
        </row>
      </sheetData>
      <sheetData sheetId="3"/>
      <sheetData sheetId="4"/>
      <sheetData sheetId="5"/>
      <sheetData sheetId="6"/>
      <sheetData sheetId="7">
        <row r="8">
          <cell r="M8" t="str">
            <v>AAA</v>
          </cell>
          <cell r="N8" t="str">
            <v>Aaa</v>
          </cell>
          <cell r="O8">
            <v>0</v>
          </cell>
        </row>
        <row r="9">
          <cell r="M9" t="str">
            <v>AA+</v>
          </cell>
          <cell r="N9" t="str">
            <v>Aa1</v>
          </cell>
          <cell r="O9">
            <v>39.577444416893947</v>
          </cell>
        </row>
        <row r="10">
          <cell r="M10" t="str">
            <v>AA</v>
          </cell>
          <cell r="N10" t="str">
            <v>Aa2</v>
          </cell>
          <cell r="O10">
            <v>48.889784279692527</v>
          </cell>
        </row>
        <row r="11">
          <cell r="M11" t="str">
            <v>AA-</v>
          </cell>
          <cell r="N11" t="str">
            <v>Aa3</v>
          </cell>
          <cell r="O11">
            <v>59.366166625340931</v>
          </cell>
        </row>
        <row r="12">
          <cell r="M12" t="str">
            <v>A+</v>
          </cell>
          <cell r="N12" t="str">
            <v>A1</v>
          </cell>
          <cell r="O12">
            <v>69.842548970989341</v>
          </cell>
        </row>
        <row r="13">
          <cell r="M13" t="str">
            <v>A</v>
          </cell>
          <cell r="N13" t="str">
            <v>A2</v>
          </cell>
          <cell r="O13">
            <v>83.811058765187198</v>
          </cell>
        </row>
        <row r="14">
          <cell r="M14" t="str">
            <v>A-</v>
          </cell>
          <cell r="N14" t="str">
            <v>A3</v>
          </cell>
          <cell r="O14">
            <v>118.73233325068186</v>
          </cell>
        </row>
        <row r="15">
          <cell r="M15" t="str">
            <v>BBB+</v>
          </cell>
          <cell r="N15" t="str">
            <v>Baa1</v>
          </cell>
          <cell r="O15">
            <v>158.30977766757579</v>
          </cell>
        </row>
        <row r="16">
          <cell r="M16" t="str">
            <v>BBB</v>
          </cell>
          <cell r="N16" t="str">
            <v>Baa2</v>
          </cell>
          <cell r="O16">
            <v>188.5748822216712</v>
          </cell>
        </row>
        <row r="17">
          <cell r="M17" t="str">
            <v>BBB-</v>
          </cell>
          <cell r="N17" t="str">
            <v>Baa3</v>
          </cell>
          <cell r="O17">
            <v>217.67594429291677</v>
          </cell>
        </row>
        <row r="18">
          <cell r="M18" t="str">
            <v>BB+</v>
          </cell>
          <cell r="N18" t="str">
            <v>Ba1</v>
          </cell>
          <cell r="O18">
            <v>247.94104884701215</v>
          </cell>
        </row>
        <row r="19">
          <cell r="M19" t="str">
            <v>BB</v>
          </cell>
          <cell r="N19" t="str">
            <v>Ba2</v>
          </cell>
          <cell r="O19">
            <v>297.99487560955447</v>
          </cell>
        </row>
        <row r="20">
          <cell r="M20" t="str">
            <v>BB-</v>
          </cell>
          <cell r="N20" t="str">
            <v>Ba3</v>
          </cell>
          <cell r="O20">
            <v>356.19699975204554</v>
          </cell>
        </row>
        <row r="21">
          <cell r="M21" t="str">
            <v>B+</v>
          </cell>
          <cell r="N21" t="str">
            <v>B1</v>
          </cell>
          <cell r="O21">
            <v>445.82827093148182</v>
          </cell>
        </row>
        <row r="22">
          <cell r="M22" t="str">
            <v>B</v>
          </cell>
          <cell r="N22" t="str">
            <v>B2</v>
          </cell>
          <cell r="O22">
            <v>544.77188197371675</v>
          </cell>
        </row>
        <row r="23">
          <cell r="M23" t="str">
            <v>B-</v>
          </cell>
          <cell r="N23" t="str">
            <v>B3</v>
          </cell>
          <cell r="O23">
            <v>643.71549301595155</v>
          </cell>
        </row>
        <row r="24">
          <cell r="M24" t="str">
            <v>CCC+</v>
          </cell>
          <cell r="N24" t="str">
            <v>Caa1</v>
          </cell>
          <cell r="O24">
            <v>742.65910405818647</v>
          </cell>
        </row>
        <row r="25">
          <cell r="M25" t="str">
            <v>CCC</v>
          </cell>
          <cell r="N25" t="str">
            <v>Caa2</v>
          </cell>
          <cell r="O25">
            <v>891.65654186296365</v>
          </cell>
        </row>
        <row r="26">
          <cell r="M26" t="str">
            <v>CCC-</v>
          </cell>
          <cell r="N26" t="str">
            <v>Caa3</v>
          </cell>
          <cell r="O26">
            <v>990.60015290519868</v>
          </cell>
        </row>
        <row r="27">
          <cell r="M27" t="str">
            <v>CC</v>
          </cell>
          <cell r="N27" t="str">
            <v>Ca</v>
          </cell>
          <cell r="O27">
            <v>1188.4873749896685</v>
          </cell>
        </row>
        <row r="28">
          <cell r="M28" t="str">
            <v>C</v>
          </cell>
          <cell r="N28" t="str">
            <v>Ca</v>
          </cell>
          <cell r="O28">
            <v>1188.4873749896685</v>
          </cell>
        </row>
        <row r="29">
          <cell r="M29" t="str">
            <v>D</v>
          </cell>
          <cell r="N29" t="str">
            <v>C</v>
          </cell>
          <cell r="O29">
            <v>1750</v>
          </cell>
        </row>
        <row r="30">
          <cell r="M30" t="str">
            <v>NR</v>
          </cell>
          <cell r="N30" t="str">
            <v>NR</v>
          </cell>
          <cell r="O30" t="str">
            <v>NA</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59CF704-F9FE-49E0-9B28-205A2053FD9B}"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CB9559-310E-43EF-AFBF-112A1A366BF1}" name="Yield_s_on_Government_Bonds" displayName="Yield_s_on_Government_Bonds" ref="A1:I73" tableType="queryTable" totalsRowShown="0">
  <autoFilter ref="A1:I73" xr:uid="{59E3A703-BD77-47E2-BFFA-B3D66F87D758}"/>
  <tableColumns count="9">
    <tableColumn id="1" xr3:uid="{F598A1E2-5A84-42CC-B777-96B0CFDC013E}" uniqueName="1" name="Column1" queryTableFieldId="1"/>
    <tableColumn id="2" xr3:uid="{1A9C849C-4B0E-4518-8AEE-43CD771FF3C6}" uniqueName="2" name="Column2" queryTableFieldId="2"/>
    <tableColumn id="3" xr3:uid="{7D365C43-5069-4B28-8B89-F963517C359D}" uniqueName="3" name="Column3" queryTableFieldId="3" dataDxfId="6"/>
    <tableColumn id="4" xr3:uid="{94717091-783B-4603-9AF2-9485A88DD8C1}" uniqueName="4" name="Column4" queryTableFieldId="4" dataDxfId="5"/>
    <tableColumn id="5" xr3:uid="{B48977C7-ABA4-4D12-8B43-C4ECF06AFB76}" uniqueName="5" name="Column5" queryTableFieldId="5"/>
    <tableColumn id="6" xr3:uid="{79ED610B-05D2-4B2C-A36F-CBAF0B0CC492}" uniqueName="6" name="Column6" queryTableFieldId="6"/>
    <tableColumn id="7" xr3:uid="{E901E6DB-250C-4FC4-AD27-AE281A9A6FB5}" uniqueName="7" name="Column7" queryTableFieldId="7"/>
    <tableColumn id="8" xr3:uid="{88A45F97-C086-4F8D-8154-4E0D205CB64F}" uniqueName="8" name="Column8" queryTableFieldId="8"/>
    <tableColumn id="9" xr3:uid="{AAA90DC0-D5CF-4148-84C5-F1B9F2EDA290}" uniqueName="9" name="Column9" queryTableField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jay-finance.github.io/portfolio/"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www.worldgovernmentbonds.com/" TargetMode="External"/><Relationship Id="rId1" Type="http://schemas.openxmlformats.org/officeDocument/2006/relationships/hyperlink" Target="https://www.worldgovernmentbonds.com/"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E0F44-D856-4C59-9C3E-C036AC9658E2}">
  <sheetPr>
    <tabColor rgb="FF002060"/>
  </sheetPr>
  <dimension ref="B2:E3"/>
  <sheetViews>
    <sheetView showGridLines="0" workbookViewId="0">
      <selection activeCell="Q6" sqref="Q6"/>
    </sheetView>
  </sheetViews>
  <sheetFormatPr defaultRowHeight="15"/>
  <cols>
    <col min="1" max="1" width="1.85546875" customWidth="1"/>
    <col min="4" max="4" width="25.140625" customWidth="1"/>
  </cols>
  <sheetData>
    <row r="2" spans="2:5">
      <c r="B2" s="67" t="s">
        <v>336</v>
      </c>
      <c r="C2" s="68"/>
      <c r="D2" s="68"/>
      <c r="E2" s="69"/>
    </row>
    <row r="3" spans="2:5">
      <c r="B3" s="70" t="s">
        <v>583</v>
      </c>
      <c r="C3" s="75" t="s">
        <v>587</v>
      </c>
      <c r="D3" s="74"/>
      <c r="E3" s="71"/>
    </row>
  </sheetData>
  <hyperlinks>
    <hyperlink ref="C3:D3" r:id="rId1" display="https://jay-finance.github.io/portfolio/" xr:uid="{40151A92-1894-44D2-8DC4-5A9F7FD70883}"/>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046EC-1B9E-4209-937D-C8440B94D62A}">
  <dimension ref="A1:X73"/>
  <sheetViews>
    <sheetView showGridLines="0" tabSelected="1" workbookViewId="0">
      <selection activeCell="R15" sqref="R15"/>
    </sheetView>
  </sheetViews>
  <sheetFormatPr defaultRowHeight="15"/>
  <cols>
    <col min="1" max="1" width="11.140625" bestFit="1" customWidth="1"/>
    <col min="2" max="2" width="15.42578125" bestFit="1" customWidth="1"/>
    <col min="3" max="4" width="11.140625" bestFit="1" customWidth="1"/>
    <col min="5" max="5" width="0.140625" hidden="1" customWidth="1"/>
    <col min="6" max="6" width="0.28515625" hidden="1" customWidth="1"/>
    <col min="7" max="9" width="11.140625" hidden="1" customWidth="1"/>
  </cols>
  <sheetData>
    <row r="1" spans="1:24">
      <c r="A1" s="1" t="s">
        <v>0</v>
      </c>
      <c r="B1" s="1" t="s">
        <v>1</v>
      </c>
      <c r="C1" s="1" t="s">
        <v>2</v>
      </c>
      <c r="D1" s="1" t="s">
        <v>3</v>
      </c>
      <c r="E1" t="s">
        <v>4</v>
      </c>
      <c r="F1" t="s">
        <v>5</v>
      </c>
      <c r="G1" t="s">
        <v>6</v>
      </c>
      <c r="H1" t="s">
        <v>7</v>
      </c>
      <c r="I1" t="s">
        <v>8</v>
      </c>
    </row>
    <row r="2" spans="1:24" ht="19.5">
      <c r="A2" t="s">
        <v>9</v>
      </c>
      <c r="B2" t="s">
        <v>9</v>
      </c>
      <c r="C2" s="2" t="s">
        <v>10</v>
      </c>
      <c r="D2" s="2" t="s">
        <v>11</v>
      </c>
      <c r="E2" t="s">
        <v>11</v>
      </c>
      <c r="F2" t="s">
        <v>12</v>
      </c>
      <c r="G2" t="s">
        <v>13</v>
      </c>
      <c r="H2" t="s">
        <v>13</v>
      </c>
      <c r="I2" t="s">
        <v>13</v>
      </c>
      <c r="K2" s="3" t="s">
        <v>14</v>
      </c>
    </row>
    <row r="3" spans="1:24">
      <c r="A3" t="s">
        <v>9</v>
      </c>
      <c r="B3" t="s">
        <v>15</v>
      </c>
      <c r="C3" s="2" t="s">
        <v>16</v>
      </c>
      <c r="D3" s="2" t="s">
        <v>17</v>
      </c>
      <c r="E3" t="s">
        <v>9</v>
      </c>
      <c r="F3" t="s">
        <v>18</v>
      </c>
      <c r="G3" t="s">
        <v>19</v>
      </c>
      <c r="H3" t="s">
        <v>20</v>
      </c>
      <c r="I3" t="s">
        <v>21</v>
      </c>
    </row>
    <row r="4" spans="1:24" ht="19.5">
      <c r="A4" t="s">
        <v>9</v>
      </c>
      <c r="B4" t="s">
        <v>22</v>
      </c>
      <c r="C4" s="2" t="s">
        <v>23</v>
      </c>
      <c r="D4" s="2" t="s">
        <v>337</v>
      </c>
      <c r="E4" t="s">
        <v>9</v>
      </c>
      <c r="F4" t="s">
        <v>24</v>
      </c>
      <c r="G4" t="s">
        <v>338</v>
      </c>
      <c r="H4" t="s">
        <v>339</v>
      </c>
      <c r="I4" t="s">
        <v>340</v>
      </c>
      <c r="K4" s="4" t="s">
        <v>25</v>
      </c>
      <c r="L4" s="5"/>
      <c r="M4" s="5"/>
      <c r="N4" s="5"/>
      <c r="O4" s="5"/>
      <c r="P4" s="5"/>
    </row>
    <row r="5" spans="1:24" ht="19.5">
      <c r="A5" t="s">
        <v>9</v>
      </c>
      <c r="B5" t="s">
        <v>26</v>
      </c>
      <c r="C5" s="2" t="s">
        <v>27</v>
      </c>
      <c r="D5" s="2" t="s">
        <v>341</v>
      </c>
      <c r="E5" t="s">
        <v>9</v>
      </c>
      <c r="F5" t="s">
        <v>28</v>
      </c>
      <c r="G5" t="s">
        <v>342</v>
      </c>
      <c r="H5" t="s">
        <v>343</v>
      </c>
      <c r="I5" t="s">
        <v>344</v>
      </c>
      <c r="K5" s="4" t="s">
        <v>29</v>
      </c>
      <c r="M5" s="5"/>
      <c r="N5" s="5"/>
      <c r="O5" s="5"/>
      <c r="P5" s="5"/>
    </row>
    <row r="6" spans="1:24">
      <c r="A6" t="s">
        <v>9</v>
      </c>
      <c r="B6" t="s">
        <v>34</v>
      </c>
      <c r="C6" s="2" t="s">
        <v>35</v>
      </c>
      <c r="D6" s="2" t="s">
        <v>345</v>
      </c>
      <c r="E6" t="s">
        <v>9</v>
      </c>
      <c r="F6" t="s">
        <v>36</v>
      </c>
      <c r="G6" t="s">
        <v>346</v>
      </c>
      <c r="H6" t="s">
        <v>347</v>
      </c>
      <c r="I6" t="s">
        <v>348</v>
      </c>
      <c r="K6" s="4" t="s">
        <v>33</v>
      </c>
      <c r="L6" s="4"/>
    </row>
    <row r="7" spans="1:24">
      <c r="A7" t="s">
        <v>9</v>
      </c>
      <c r="B7" t="s">
        <v>30</v>
      </c>
      <c r="C7" s="2" t="s">
        <v>31</v>
      </c>
      <c r="D7" s="2" t="s">
        <v>349</v>
      </c>
      <c r="E7" t="s">
        <v>9</v>
      </c>
      <c r="F7" t="s">
        <v>32</v>
      </c>
      <c r="G7" t="s">
        <v>350</v>
      </c>
      <c r="H7" t="s">
        <v>351</v>
      </c>
      <c r="I7" t="s">
        <v>352</v>
      </c>
      <c r="L7" s="4"/>
    </row>
    <row r="8" spans="1:24">
      <c r="A8" t="s">
        <v>9</v>
      </c>
      <c r="B8" t="s">
        <v>37</v>
      </c>
      <c r="C8" s="2" t="s">
        <v>31</v>
      </c>
      <c r="D8" s="6" t="s">
        <v>353</v>
      </c>
      <c r="E8" t="s">
        <v>9</v>
      </c>
      <c r="F8" t="s">
        <v>38</v>
      </c>
      <c r="G8" t="s">
        <v>354</v>
      </c>
      <c r="H8" t="s">
        <v>355</v>
      </c>
      <c r="I8" t="s">
        <v>356</v>
      </c>
      <c r="K8" s="7" t="s">
        <v>39</v>
      </c>
      <c r="P8" s="7" t="s">
        <v>40</v>
      </c>
      <c r="X8" s="7" t="s">
        <v>41</v>
      </c>
    </row>
    <row r="9" spans="1:24">
      <c r="A9" t="s">
        <v>9</v>
      </c>
      <c r="B9" t="s">
        <v>42</v>
      </c>
      <c r="C9" s="2" t="s">
        <v>23</v>
      </c>
      <c r="D9" s="2" t="s">
        <v>357</v>
      </c>
      <c r="E9" t="s">
        <v>9</v>
      </c>
      <c r="F9" t="s">
        <v>584</v>
      </c>
      <c r="G9" t="s">
        <v>358</v>
      </c>
      <c r="H9" t="s">
        <v>359</v>
      </c>
      <c r="I9" t="s">
        <v>585</v>
      </c>
      <c r="L9" s="4"/>
    </row>
    <row r="10" spans="1:24">
      <c r="A10" t="s">
        <v>9</v>
      </c>
      <c r="B10" t="s">
        <v>43</v>
      </c>
      <c r="C10" s="2" t="s">
        <v>23</v>
      </c>
      <c r="D10" s="2" t="s">
        <v>360</v>
      </c>
      <c r="E10" t="s">
        <v>9</v>
      </c>
      <c r="F10" t="s">
        <v>44</v>
      </c>
      <c r="G10" t="s">
        <v>361</v>
      </c>
      <c r="H10" t="s">
        <v>362</v>
      </c>
      <c r="I10" t="s">
        <v>363</v>
      </c>
      <c r="K10" s="4" t="s">
        <v>45</v>
      </c>
      <c r="L10" s="4"/>
    </row>
    <row r="11" spans="1:24">
      <c r="A11" t="s">
        <v>9</v>
      </c>
      <c r="B11" t="s">
        <v>46</v>
      </c>
      <c r="C11" s="2" t="s">
        <v>23</v>
      </c>
      <c r="D11" s="2" t="s">
        <v>364</v>
      </c>
      <c r="E11" t="s">
        <v>9</v>
      </c>
      <c r="F11" t="s">
        <v>47</v>
      </c>
      <c r="G11" t="s">
        <v>365</v>
      </c>
      <c r="H11" t="s">
        <v>366</v>
      </c>
      <c r="I11" t="s">
        <v>367</v>
      </c>
      <c r="K11" s="8" t="s">
        <v>48</v>
      </c>
      <c r="L11" s="9" t="s">
        <v>49</v>
      </c>
      <c r="M11" s="10"/>
      <c r="N11" s="10"/>
      <c r="O11" s="10"/>
    </row>
    <row r="12" spans="1:24">
      <c r="A12" t="s">
        <v>9</v>
      </c>
      <c r="B12" t="s">
        <v>50</v>
      </c>
      <c r="C12" s="2" t="s">
        <v>23</v>
      </c>
      <c r="D12" s="2" t="s">
        <v>368</v>
      </c>
      <c r="E12" t="s">
        <v>9</v>
      </c>
      <c r="F12" t="s">
        <v>51</v>
      </c>
      <c r="G12" t="s">
        <v>52</v>
      </c>
      <c r="H12" t="s">
        <v>369</v>
      </c>
      <c r="I12" t="s">
        <v>370</v>
      </c>
    </row>
    <row r="13" spans="1:24">
      <c r="A13" t="s">
        <v>9</v>
      </c>
      <c r="B13" t="s">
        <v>53</v>
      </c>
      <c r="C13" s="2" t="s">
        <v>23</v>
      </c>
      <c r="D13" s="2" t="s">
        <v>371</v>
      </c>
      <c r="E13" t="s">
        <v>9</v>
      </c>
      <c r="F13" t="s">
        <v>51</v>
      </c>
      <c r="G13" t="s">
        <v>372</v>
      </c>
      <c r="H13" t="s">
        <v>169</v>
      </c>
      <c r="I13" t="s">
        <v>373</v>
      </c>
    </row>
    <row r="14" spans="1:24">
      <c r="A14" t="s">
        <v>9</v>
      </c>
      <c r="B14" t="s">
        <v>54</v>
      </c>
      <c r="C14" s="2" t="s">
        <v>55</v>
      </c>
      <c r="D14" s="2" t="s">
        <v>164</v>
      </c>
      <c r="E14" t="s">
        <v>9</v>
      </c>
      <c r="F14" t="s">
        <v>51</v>
      </c>
      <c r="G14" t="s">
        <v>374</v>
      </c>
      <c r="H14" t="s">
        <v>375</v>
      </c>
      <c r="I14" t="s">
        <v>165</v>
      </c>
    </row>
    <row r="15" spans="1:24">
      <c r="A15" t="s">
        <v>9</v>
      </c>
      <c r="B15" t="s">
        <v>56</v>
      </c>
      <c r="C15" s="2" t="s">
        <v>57</v>
      </c>
      <c r="D15" s="2" t="s">
        <v>166</v>
      </c>
      <c r="E15" t="s">
        <v>9</v>
      </c>
      <c r="F15" t="s">
        <v>58</v>
      </c>
      <c r="G15" t="s">
        <v>376</v>
      </c>
      <c r="H15" t="s">
        <v>377</v>
      </c>
      <c r="I15" t="s">
        <v>167</v>
      </c>
    </row>
    <row r="16" spans="1:24">
      <c r="A16" t="s">
        <v>9</v>
      </c>
      <c r="B16" t="s">
        <v>60</v>
      </c>
      <c r="C16" s="2" t="s">
        <v>27</v>
      </c>
      <c r="D16" s="2" t="s">
        <v>166</v>
      </c>
      <c r="E16" t="s">
        <v>9</v>
      </c>
      <c r="F16" t="s">
        <v>61</v>
      </c>
      <c r="G16" t="s">
        <v>376</v>
      </c>
      <c r="H16" t="s">
        <v>377</v>
      </c>
      <c r="I16" t="s">
        <v>378</v>
      </c>
    </row>
    <row r="17" spans="1:9">
      <c r="A17" t="s">
        <v>9</v>
      </c>
      <c r="B17" t="s">
        <v>59</v>
      </c>
      <c r="C17" s="2" t="s">
        <v>27</v>
      </c>
      <c r="D17" s="2" t="s">
        <v>168</v>
      </c>
      <c r="E17" t="s">
        <v>9</v>
      </c>
      <c r="F17" t="s">
        <v>51</v>
      </c>
      <c r="G17" t="s">
        <v>379</v>
      </c>
      <c r="H17" t="s">
        <v>380</v>
      </c>
      <c r="I17" t="s">
        <v>83</v>
      </c>
    </row>
    <row r="18" spans="1:9">
      <c r="A18" t="s">
        <v>9</v>
      </c>
      <c r="B18" t="s">
        <v>62</v>
      </c>
      <c r="C18" s="2" t="s">
        <v>55</v>
      </c>
      <c r="D18" s="2" t="s">
        <v>381</v>
      </c>
      <c r="E18" t="s">
        <v>9</v>
      </c>
      <c r="F18" t="s">
        <v>51</v>
      </c>
      <c r="G18" t="s">
        <v>382</v>
      </c>
      <c r="H18" t="s">
        <v>383</v>
      </c>
      <c r="I18" t="s">
        <v>384</v>
      </c>
    </row>
    <row r="19" spans="1:9">
      <c r="A19" t="s">
        <v>9</v>
      </c>
      <c r="B19" t="s">
        <v>63</v>
      </c>
      <c r="C19" s="2" t="s">
        <v>64</v>
      </c>
      <c r="D19" s="2" t="s">
        <v>385</v>
      </c>
      <c r="E19" t="s">
        <v>9</v>
      </c>
      <c r="F19" t="s">
        <v>51</v>
      </c>
      <c r="G19" t="s">
        <v>386</v>
      </c>
      <c r="H19" t="s">
        <v>387</v>
      </c>
      <c r="I19" t="s">
        <v>388</v>
      </c>
    </row>
    <row r="20" spans="1:9">
      <c r="A20" t="s">
        <v>9</v>
      </c>
      <c r="B20" t="s">
        <v>65</v>
      </c>
      <c r="C20" s="2" t="s">
        <v>31</v>
      </c>
      <c r="D20" s="2" t="s">
        <v>389</v>
      </c>
      <c r="E20" t="s">
        <v>9</v>
      </c>
      <c r="F20" t="s">
        <v>51</v>
      </c>
      <c r="G20" t="s">
        <v>172</v>
      </c>
      <c r="H20" t="s">
        <v>390</v>
      </c>
      <c r="I20" t="s">
        <v>391</v>
      </c>
    </row>
    <row r="21" spans="1:9">
      <c r="A21" t="s">
        <v>9</v>
      </c>
      <c r="B21" t="s">
        <v>66</v>
      </c>
      <c r="C21" s="2" t="s">
        <v>27</v>
      </c>
      <c r="D21" s="2" t="s">
        <v>392</v>
      </c>
      <c r="E21" t="s">
        <v>9</v>
      </c>
      <c r="F21" t="s">
        <v>51</v>
      </c>
      <c r="G21" t="s">
        <v>393</v>
      </c>
      <c r="H21" t="s">
        <v>394</v>
      </c>
      <c r="I21" t="s">
        <v>395</v>
      </c>
    </row>
    <row r="22" spans="1:9">
      <c r="A22" t="s">
        <v>9</v>
      </c>
      <c r="B22" t="s">
        <v>67</v>
      </c>
      <c r="C22" s="2" t="s">
        <v>64</v>
      </c>
      <c r="D22" s="2" t="s">
        <v>396</v>
      </c>
      <c r="E22" t="s">
        <v>9</v>
      </c>
      <c r="F22" t="s">
        <v>51</v>
      </c>
      <c r="G22" t="s">
        <v>397</v>
      </c>
      <c r="H22" t="s">
        <v>398</v>
      </c>
      <c r="I22" t="s">
        <v>399</v>
      </c>
    </row>
    <row r="23" spans="1:9">
      <c r="A23" t="s">
        <v>9</v>
      </c>
      <c r="B23" t="s">
        <v>68</v>
      </c>
      <c r="C23" s="2" t="s">
        <v>31</v>
      </c>
      <c r="D23" s="2" t="s">
        <v>400</v>
      </c>
      <c r="E23" t="s">
        <v>9</v>
      </c>
      <c r="F23" t="s">
        <v>51</v>
      </c>
      <c r="G23" t="s">
        <v>401</v>
      </c>
      <c r="H23" t="s">
        <v>170</v>
      </c>
      <c r="I23" t="s">
        <v>402</v>
      </c>
    </row>
    <row r="24" spans="1:9">
      <c r="A24" t="s">
        <v>9</v>
      </c>
      <c r="B24" t="s">
        <v>70</v>
      </c>
      <c r="C24" s="2" t="s">
        <v>55</v>
      </c>
      <c r="D24" s="2" t="s">
        <v>403</v>
      </c>
      <c r="E24" t="s">
        <v>9</v>
      </c>
      <c r="F24" t="s">
        <v>51</v>
      </c>
      <c r="G24" t="s">
        <v>404</v>
      </c>
      <c r="H24" t="s">
        <v>405</v>
      </c>
      <c r="I24" t="s">
        <v>406</v>
      </c>
    </row>
    <row r="25" spans="1:9">
      <c r="A25" t="s">
        <v>9</v>
      </c>
      <c r="B25" t="s">
        <v>73</v>
      </c>
      <c r="C25" s="2" t="s">
        <v>64</v>
      </c>
      <c r="D25" s="2" t="s">
        <v>407</v>
      </c>
      <c r="E25" t="s">
        <v>9</v>
      </c>
      <c r="F25" t="s">
        <v>51</v>
      </c>
      <c r="G25" t="s">
        <v>408</v>
      </c>
      <c r="H25" t="s">
        <v>409</v>
      </c>
      <c r="I25" t="s">
        <v>410</v>
      </c>
    </row>
    <row r="26" spans="1:9">
      <c r="A26" t="s">
        <v>9</v>
      </c>
      <c r="B26" t="s">
        <v>69</v>
      </c>
      <c r="C26" s="2" t="s">
        <v>23</v>
      </c>
      <c r="D26" s="2" t="s">
        <v>411</v>
      </c>
      <c r="E26" t="s">
        <v>9</v>
      </c>
      <c r="F26" t="s">
        <v>58</v>
      </c>
      <c r="G26" t="s">
        <v>412</v>
      </c>
      <c r="H26" t="s">
        <v>413</v>
      </c>
      <c r="I26" t="s">
        <v>414</v>
      </c>
    </row>
    <row r="27" spans="1:9">
      <c r="A27" t="s">
        <v>9</v>
      </c>
      <c r="B27" t="s">
        <v>71</v>
      </c>
      <c r="C27" s="2" t="s">
        <v>55</v>
      </c>
      <c r="D27" s="2" t="s">
        <v>415</v>
      </c>
      <c r="E27" t="s">
        <v>9</v>
      </c>
      <c r="F27" t="s">
        <v>72</v>
      </c>
      <c r="G27" t="s">
        <v>416</v>
      </c>
      <c r="H27" t="s">
        <v>417</v>
      </c>
      <c r="I27" t="s">
        <v>418</v>
      </c>
    </row>
    <row r="28" spans="1:9">
      <c r="A28" t="s">
        <v>9</v>
      </c>
      <c r="B28" t="s">
        <v>74</v>
      </c>
      <c r="C28" s="2" t="s">
        <v>75</v>
      </c>
      <c r="D28" s="2" t="s">
        <v>419</v>
      </c>
      <c r="E28" t="s">
        <v>9</v>
      </c>
      <c r="F28" t="s">
        <v>51</v>
      </c>
      <c r="G28" t="s">
        <v>420</v>
      </c>
      <c r="H28" t="s">
        <v>421</v>
      </c>
      <c r="I28" t="s">
        <v>422</v>
      </c>
    </row>
    <row r="29" spans="1:9">
      <c r="A29" t="s">
        <v>9</v>
      </c>
      <c r="B29" t="s">
        <v>76</v>
      </c>
      <c r="C29" s="2" t="s">
        <v>31</v>
      </c>
      <c r="D29" s="2" t="s">
        <v>423</v>
      </c>
      <c r="E29" t="s">
        <v>9</v>
      </c>
      <c r="F29" t="s">
        <v>51</v>
      </c>
      <c r="G29" t="s">
        <v>424</v>
      </c>
      <c r="H29" t="s">
        <v>425</v>
      </c>
      <c r="I29" t="s">
        <v>426</v>
      </c>
    </row>
    <row r="30" spans="1:9">
      <c r="A30" t="s">
        <v>9</v>
      </c>
      <c r="B30" t="s">
        <v>81</v>
      </c>
      <c r="C30" s="2" t="s">
        <v>64</v>
      </c>
      <c r="D30" s="2" t="s">
        <v>427</v>
      </c>
      <c r="E30" t="s">
        <v>9</v>
      </c>
      <c r="F30" t="s">
        <v>82</v>
      </c>
      <c r="G30" t="s">
        <v>428</v>
      </c>
      <c r="H30" t="s">
        <v>429</v>
      </c>
      <c r="I30" t="s">
        <v>430</v>
      </c>
    </row>
    <row r="31" spans="1:9">
      <c r="A31" t="s">
        <v>9</v>
      </c>
      <c r="B31" t="s">
        <v>77</v>
      </c>
      <c r="C31" s="2" t="s">
        <v>35</v>
      </c>
      <c r="D31" s="2" t="s">
        <v>427</v>
      </c>
      <c r="E31" t="s">
        <v>9</v>
      </c>
      <c r="F31" t="s">
        <v>51</v>
      </c>
      <c r="G31" t="s">
        <v>428</v>
      </c>
      <c r="H31" t="s">
        <v>429</v>
      </c>
      <c r="I31" t="s">
        <v>431</v>
      </c>
    </row>
    <row r="32" spans="1:9">
      <c r="A32" t="s">
        <v>9</v>
      </c>
      <c r="B32" t="s">
        <v>78</v>
      </c>
      <c r="C32" s="2" t="s">
        <v>31</v>
      </c>
      <c r="D32" s="2" t="s">
        <v>432</v>
      </c>
      <c r="E32" t="s">
        <v>9</v>
      </c>
      <c r="F32" t="s">
        <v>51</v>
      </c>
      <c r="G32" t="s">
        <v>433</v>
      </c>
      <c r="H32" t="s">
        <v>434</v>
      </c>
      <c r="I32" t="s">
        <v>435</v>
      </c>
    </row>
    <row r="33" spans="1:9">
      <c r="A33" t="s">
        <v>9</v>
      </c>
      <c r="B33" t="s">
        <v>79</v>
      </c>
      <c r="C33" s="2" t="s">
        <v>80</v>
      </c>
      <c r="D33" s="2" t="s">
        <v>436</v>
      </c>
      <c r="E33" t="s">
        <v>9</v>
      </c>
      <c r="F33" t="s">
        <v>51</v>
      </c>
      <c r="G33" t="s">
        <v>437</v>
      </c>
      <c r="H33" t="s">
        <v>438</v>
      </c>
      <c r="I33" t="s">
        <v>439</v>
      </c>
    </row>
    <row r="34" spans="1:9">
      <c r="A34" t="s">
        <v>9</v>
      </c>
      <c r="B34" t="s">
        <v>86</v>
      </c>
      <c r="C34" s="2" t="s">
        <v>80</v>
      </c>
      <c r="D34" s="2" t="s">
        <v>440</v>
      </c>
      <c r="E34" t="s">
        <v>9</v>
      </c>
      <c r="F34" t="s">
        <v>87</v>
      </c>
      <c r="G34" t="s">
        <v>441</v>
      </c>
      <c r="H34" t="s">
        <v>442</v>
      </c>
      <c r="I34" t="s">
        <v>443</v>
      </c>
    </row>
    <row r="35" spans="1:9">
      <c r="A35" t="s">
        <v>9</v>
      </c>
      <c r="B35" t="s">
        <v>84</v>
      </c>
      <c r="C35" s="2" t="s">
        <v>35</v>
      </c>
      <c r="D35" s="2" t="s">
        <v>444</v>
      </c>
      <c r="E35" t="s">
        <v>9</v>
      </c>
      <c r="F35" t="s">
        <v>85</v>
      </c>
      <c r="G35" t="s">
        <v>445</v>
      </c>
      <c r="H35" t="s">
        <v>446</v>
      </c>
      <c r="I35" t="s">
        <v>447</v>
      </c>
    </row>
    <row r="36" spans="1:9">
      <c r="A36" t="s">
        <v>9</v>
      </c>
      <c r="B36" t="s">
        <v>88</v>
      </c>
      <c r="C36" s="2" t="s">
        <v>89</v>
      </c>
      <c r="D36" s="2" t="s">
        <v>448</v>
      </c>
      <c r="E36" t="s">
        <v>9</v>
      </c>
      <c r="F36" t="s">
        <v>87</v>
      </c>
      <c r="G36" t="s">
        <v>449</v>
      </c>
      <c r="H36" t="s">
        <v>450</v>
      </c>
      <c r="I36" t="s">
        <v>451</v>
      </c>
    </row>
    <row r="37" spans="1:9">
      <c r="A37" t="s">
        <v>9</v>
      </c>
      <c r="B37" t="s">
        <v>90</v>
      </c>
      <c r="C37" s="2" t="s">
        <v>27</v>
      </c>
      <c r="D37" s="2" t="s">
        <v>452</v>
      </c>
      <c r="E37" t="s">
        <v>9</v>
      </c>
      <c r="F37" t="s">
        <v>91</v>
      </c>
      <c r="G37" t="s">
        <v>453</v>
      </c>
      <c r="H37" t="s">
        <v>52</v>
      </c>
      <c r="I37" t="s">
        <v>454</v>
      </c>
    </row>
    <row r="38" spans="1:9">
      <c r="A38" t="s">
        <v>9</v>
      </c>
      <c r="B38" t="s">
        <v>92</v>
      </c>
      <c r="C38" s="2" t="s">
        <v>23</v>
      </c>
      <c r="D38" s="2" t="s">
        <v>455</v>
      </c>
      <c r="E38" t="s">
        <v>9</v>
      </c>
      <c r="F38" t="s">
        <v>91</v>
      </c>
      <c r="G38" t="s">
        <v>456</v>
      </c>
      <c r="H38" t="s">
        <v>457</v>
      </c>
      <c r="I38" t="s">
        <v>458</v>
      </c>
    </row>
    <row r="39" spans="1:9">
      <c r="A39" t="s">
        <v>9</v>
      </c>
      <c r="B39" t="s">
        <v>93</v>
      </c>
      <c r="C39" s="2" t="s">
        <v>27</v>
      </c>
      <c r="D39" s="2" t="s">
        <v>459</v>
      </c>
      <c r="E39" t="s">
        <v>9</v>
      </c>
      <c r="F39" t="s">
        <v>72</v>
      </c>
      <c r="G39" t="s">
        <v>460</v>
      </c>
      <c r="H39" t="s">
        <v>461</v>
      </c>
      <c r="I39" t="s">
        <v>462</v>
      </c>
    </row>
    <row r="40" spans="1:9">
      <c r="A40" t="s">
        <v>9</v>
      </c>
      <c r="B40" t="s">
        <v>94</v>
      </c>
      <c r="C40" s="2" t="s">
        <v>55</v>
      </c>
      <c r="D40" s="2" t="s">
        <v>463</v>
      </c>
      <c r="E40" t="s">
        <v>9</v>
      </c>
      <c r="F40" t="s">
        <v>95</v>
      </c>
      <c r="G40" t="s">
        <v>464</v>
      </c>
      <c r="H40" t="s">
        <v>465</v>
      </c>
      <c r="I40" t="s">
        <v>466</v>
      </c>
    </row>
    <row r="41" spans="1:9">
      <c r="A41" t="s">
        <v>9</v>
      </c>
      <c r="B41" t="s">
        <v>96</v>
      </c>
      <c r="C41" s="2" t="s">
        <v>23</v>
      </c>
      <c r="D41" s="2" t="s">
        <v>467</v>
      </c>
      <c r="E41" t="s">
        <v>9</v>
      </c>
      <c r="F41" t="s">
        <v>97</v>
      </c>
      <c r="G41" t="s">
        <v>468</v>
      </c>
      <c r="H41" t="s">
        <v>469</v>
      </c>
      <c r="I41" t="s">
        <v>470</v>
      </c>
    </row>
    <row r="42" spans="1:9">
      <c r="A42" t="s">
        <v>9</v>
      </c>
      <c r="B42" t="s">
        <v>98</v>
      </c>
      <c r="C42" s="2" t="s">
        <v>55</v>
      </c>
      <c r="D42" s="2" t="s">
        <v>471</v>
      </c>
      <c r="E42" t="s">
        <v>9</v>
      </c>
      <c r="F42" t="s">
        <v>91</v>
      </c>
      <c r="G42" t="s">
        <v>472</v>
      </c>
      <c r="H42" t="s">
        <v>473</v>
      </c>
      <c r="I42" t="s">
        <v>474</v>
      </c>
    </row>
    <row r="43" spans="1:9">
      <c r="A43" t="s">
        <v>9</v>
      </c>
      <c r="B43" t="s">
        <v>99</v>
      </c>
      <c r="C43" s="2" t="s">
        <v>100</v>
      </c>
      <c r="D43" s="2" t="s">
        <v>475</v>
      </c>
      <c r="E43" t="s">
        <v>9</v>
      </c>
      <c r="F43" t="s">
        <v>101</v>
      </c>
      <c r="G43" t="s">
        <v>476</v>
      </c>
      <c r="H43" t="s">
        <v>477</v>
      </c>
      <c r="I43" t="s">
        <v>478</v>
      </c>
    </row>
    <row r="44" spans="1:9">
      <c r="A44" t="s">
        <v>9</v>
      </c>
      <c r="B44" t="s">
        <v>102</v>
      </c>
      <c r="C44" s="2" t="s">
        <v>57</v>
      </c>
      <c r="D44" s="2" t="s">
        <v>173</v>
      </c>
      <c r="E44" t="s">
        <v>9</v>
      </c>
      <c r="F44" t="s">
        <v>103</v>
      </c>
      <c r="G44" t="s">
        <v>479</v>
      </c>
      <c r="H44" t="s">
        <v>480</v>
      </c>
      <c r="I44" t="s">
        <v>174</v>
      </c>
    </row>
    <row r="45" spans="1:9">
      <c r="A45" t="s">
        <v>9</v>
      </c>
      <c r="B45" t="s">
        <v>104</v>
      </c>
      <c r="C45" s="2" t="s">
        <v>57</v>
      </c>
      <c r="D45" s="2" t="s">
        <v>481</v>
      </c>
      <c r="E45" t="s">
        <v>9</v>
      </c>
      <c r="F45" t="s">
        <v>61</v>
      </c>
      <c r="G45" t="s">
        <v>482</v>
      </c>
      <c r="H45" t="s">
        <v>483</v>
      </c>
      <c r="I45" t="s">
        <v>484</v>
      </c>
    </row>
    <row r="46" spans="1:9">
      <c r="A46" t="s">
        <v>9</v>
      </c>
      <c r="B46" t="s">
        <v>105</v>
      </c>
      <c r="C46" s="2" t="s">
        <v>64</v>
      </c>
      <c r="D46" s="2" t="s">
        <v>485</v>
      </c>
      <c r="E46" t="s">
        <v>9</v>
      </c>
      <c r="F46" t="s">
        <v>61</v>
      </c>
      <c r="G46" t="s">
        <v>486</v>
      </c>
      <c r="H46" t="s">
        <v>487</v>
      </c>
      <c r="I46" t="s">
        <v>488</v>
      </c>
    </row>
    <row r="47" spans="1:9">
      <c r="A47" t="s">
        <v>9</v>
      </c>
      <c r="B47" t="s">
        <v>106</v>
      </c>
      <c r="C47" s="2" t="s">
        <v>80</v>
      </c>
      <c r="D47" s="2" t="s">
        <v>489</v>
      </c>
      <c r="E47" t="s">
        <v>9</v>
      </c>
      <c r="F47" t="s">
        <v>107</v>
      </c>
      <c r="G47" t="s">
        <v>490</v>
      </c>
      <c r="H47" t="s">
        <v>491</v>
      </c>
      <c r="I47" t="s">
        <v>492</v>
      </c>
    </row>
    <row r="48" spans="1:9">
      <c r="A48" t="s">
        <v>9</v>
      </c>
      <c r="B48" t="s">
        <v>108</v>
      </c>
      <c r="C48" s="2" t="s">
        <v>57</v>
      </c>
      <c r="D48" s="2" t="s">
        <v>109</v>
      </c>
      <c r="E48" t="s">
        <v>9</v>
      </c>
      <c r="F48" t="s">
        <v>87</v>
      </c>
      <c r="G48" t="s">
        <v>493</v>
      </c>
      <c r="H48" t="s">
        <v>494</v>
      </c>
      <c r="I48" t="s">
        <v>110</v>
      </c>
    </row>
    <row r="49" spans="1:9">
      <c r="A49" t="s">
        <v>9</v>
      </c>
      <c r="B49" t="s">
        <v>113</v>
      </c>
      <c r="C49" s="2" t="s">
        <v>35</v>
      </c>
      <c r="D49" s="2" t="s">
        <v>495</v>
      </c>
      <c r="E49" t="s">
        <v>9</v>
      </c>
      <c r="F49" t="s">
        <v>107</v>
      </c>
      <c r="G49" t="s">
        <v>496</v>
      </c>
      <c r="H49" t="s">
        <v>497</v>
      </c>
      <c r="I49" t="s">
        <v>171</v>
      </c>
    </row>
    <row r="50" spans="1:9">
      <c r="A50" t="s">
        <v>9</v>
      </c>
      <c r="B50" t="s">
        <v>114</v>
      </c>
      <c r="C50" s="2" t="s">
        <v>75</v>
      </c>
      <c r="D50" s="2" t="s">
        <v>498</v>
      </c>
      <c r="E50" t="s">
        <v>9</v>
      </c>
      <c r="F50" t="s">
        <v>107</v>
      </c>
      <c r="G50" t="s">
        <v>499</v>
      </c>
      <c r="H50" t="s">
        <v>500</v>
      </c>
      <c r="I50" t="s">
        <v>501</v>
      </c>
    </row>
    <row r="51" spans="1:9">
      <c r="A51" t="s">
        <v>9</v>
      </c>
      <c r="B51" t="s">
        <v>111</v>
      </c>
      <c r="C51" s="2" t="s">
        <v>112</v>
      </c>
      <c r="D51" s="2" t="s">
        <v>502</v>
      </c>
      <c r="E51" t="s">
        <v>9</v>
      </c>
      <c r="F51" t="s">
        <v>107</v>
      </c>
      <c r="G51" t="s">
        <v>503</v>
      </c>
      <c r="H51" t="s">
        <v>504</v>
      </c>
      <c r="I51" t="s">
        <v>505</v>
      </c>
    </row>
    <row r="52" spans="1:9">
      <c r="A52" t="s">
        <v>9</v>
      </c>
      <c r="B52" t="s">
        <v>116</v>
      </c>
      <c r="C52" s="2" t="s">
        <v>75</v>
      </c>
      <c r="D52" s="2" t="s">
        <v>506</v>
      </c>
      <c r="E52" t="s">
        <v>9</v>
      </c>
      <c r="F52" t="s">
        <v>117</v>
      </c>
      <c r="G52" t="s">
        <v>507</v>
      </c>
      <c r="H52" t="s">
        <v>508</v>
      </c>
      <c r="I52" t="s">
        <v>509</v>
      </c>
    </row>
    <row r="53" spans="1:9">
      <c r="A53" t="s">
        <v>9</v>
      </c>
      <c r="B53" t="s">
        <v>115</v>
      </c>
      <c r="C53" s="2" t="s">
        <v>31</v>
      </c>
      <c r="D53" s="2" t="s">
        <v>510</v>
      </c>
      <c r="E53" t="s">
        <v>9</v>
      </c>
      <c r="F53" t="s">
        <v>127</v>
      </c>
      <c r="G53" t="s">
        <v>511</v>
      </c>
      <c r="H53" t="s">
        <v>512</v>
      </c>
      <c r="I53" t="s">
        <v>586</v>
      </c>
    </row>
    <row r="54" spans="1:9">
      <c r="A54" t="s">
        <v>9</v>
      </c>
      <c r="B54" t="s">
        <v>120</v>
      </c>
      <c r="C54" s="2" t="s">
        <v>57</v>
      </c>
      <c r="D54" s="2" t="s">
        <v>175</v>
      </c>
      <c r="E54" t="s">
        <v>9</v>
      </c>
      <c r="F54" t="s">
        <v>119</v>
      </c>
      <c r="G54" t="s">
        <v>513</v>
      </c>
      <c r="H54" t="s">
        <v>514</v>
      </c>
      <c r="I54" t="s">
        <v>176</v>
      </c>
    </row>
    <row r="55" spans="1:9">
      <c r="A55" t="s">
        <v>9</v>
      </c>
      <c r="B55" t="s">
        <v>118</v>
      </c>
      <c r="C55" s="2" t="s">
        <v>57</v>
      </c>
      <c r="D55" s="2" t="s">
        <v>515</v>
      </c>
      <c r="E55" t="s">
        <v>9</v>
      </c>
      <c r="F55" t="s">
        <v>119</v>
      </c>
      <c r="G55" t="s">
        <v>516</v>
      </c>
      <c r="H55" t="s">
        <v>517</v>
      </c>
      <c r="I55" t="s">
        <v>518</v>
      </c>
    </row>
    <row r="56" spans="1:9">
      <c r="A56" t="s">
        <v>9</v>
      </c>
      <c r="B56" t="s">
        <v>121</v>
      </c>
      <c r="C56" s="2" t="s">
        <v>122</v>
      </c>
      <c r="D56" s="2" t="s">
        <v>519</v>
      </c>
      <c r="E56" t="s">
        <v>9</v>
      </c>
      <c r="F56" t="s">
        <v>123</v>
      </c>
      <c r="G56" t="s">
        <v>520</v>
      </c>
      <c r="H56" t="s">
        <v>521</v>
      </c>
      <c r="I56" t="s">
        <v>522</v>
      </c>
    </row>
    <row r="57" spans="1:9">
      <c r="A57" t="s">
        <v>9</v>
      </c>
      <c r="B57" t="s">
        <v>124</v>
      </c>
      <c r="C57" s="2" t="s">
        <v>139</v>
      </c>
      <c r="D57" s="2" t="s">
        <v>523</v>
      </c>
      <c r="E57" t="s">
        <v>9</v>
      </c>
      <c r="F57" t="s">
        <v>125</v>
      </c>
      <c r="G57" t="s">
        <v>524</v>
      </c>
      <c r="H57" t="s">
        <v>525</v>
      </c>
      <c r="I57" t="s">
        <v>526</v>
      </c>
    </row>
    <row r="58" spans="1:9">
      <c r="A58" t="s">
        <v>9</v>
      </c>
      <c r="B58" t="s">
        <v>126</v>
      </c>
      <c r="C58" s="2" t="s">
        <v>75</v>
      </c>
      <c r="D58" s="2" t="s">
        <v>527</v>
      </c>
      <c r="E58" t="s">
        <v>9</v>
      </c>
      <c r="F58" t="s">
        <v>127</v>
      </c>
      <c r="G58" t="s">
        <v>528</v>
      </c>
      <c r="H58" t="s">
        <v>529</v>
      </c>
      <c r="I58" t="s">
        <v>530</v>
      </c>
    </row>
    <row r="59" spans="1:9">
      <c r="A59" t="s">
        <v>9</v>
      </c>
      <c r="B59" t="s">
        <v>128</v>
      </c>
      <c r="C59" s="2" t="s">
        <v>112</v>
      </c>
      <c r="D59" s="2" t="s">
        <v>129</v>
      </c>
      <c r="E59" t="s">
        <v>9</v>
      </c>
      <c r="F59" t="s">
        <v>130</v>
      </c>
      <c r="G59" t="s">
        <v>531</v>
      </c>
      <c r="H59" t="s">
        <v>532</v>
      </c>
      <c r="I59" t="s">
        <v>131</v>
      </c>
    </row>
    <row r="60" spans="1:9">
      <c r="A60" t="s">
        <v>9</v>
      </c>
      <c r="B60" t="s">
        <v>132</v>
      </c>
      <c r="C60" s="2" t="s">
        <v>133</v>
      </c>
      <c r="D60" s="2" t="s">
        <v>533</v>
      </c>
      <c r="E60" t="s">
        <v>9</v>
      </c>
      <c r="F60" t="s">
        <v>119</v>
      </c>
      <c r="G60" t="s">
        <v>534</v>
      </c>
      <c r="H60" t="s">
        <v>535</v>
      </c>
      <c r="I60" t="s">
        <v>536</v>
      </c>
    </row>
    <row r="61" spans="1:9">
      <c r="A61" t="s">
        <v>9</v>
      </c>
      <c r="B61" t="s">
        <v>135</v>
      </c>
      <c r="C61" s="2" t="s">
        <v>136</v>
      </c>
      <c r="D61" s="2" t="s">
        <v>537</v>
      </c>
      <c r="E61" t="s">
        <v>9</v>
      </c>
      <c r="F61" t="s">
        <v>137</v>
      </c>
      <c r="G61" t="s">
        <v>538</v>
      </c>
      <c r="H61" t="s">
        <v>539</v>
      </c>
      <c r="I61" t="s">
        <v>540</v>
      </c>
    </row>
    <row r="62" spans="1:9">
      <c r="A62" t="s">
        <v>9</v>
      </c>
      <c r="B62" t="s">
        <v>134</v>
      </c>
      <c r="C62" s="2" t="s">
        <v>75</v>
      </c>
      <c r="D62" s="2" t="s">
        <v>541</v>
      </c>
      <c r="E62" t="s">
        <v>9</v>
      </c>
      <c r="F62" t="s">
        <v>101</v>
      </c>
      <c r="G62" t="s">
        <v>542</v>
      </c>
      <c r="H62" t="s">
        <v>543</v>
      </c>
      <c r="I62" t="s">
        <v>544</v>
      </c>
    </row>
    <row r="63" spans="1:9">
      <c r="A63" t="s">
        <v>9</v>
      </c>
      <c r="B63" t="s">
        <v>141</v>
      </c>
      <c r="C63" s="2" t="s">
        <v>142</v>
      </c>
      <c r="D63" s="2" t="s">
        <v>545</v>
      </c>
      <c r="E63" t="s">
        <v>9</v>
      </c>
      <c r="F63" t="s">
        <v>143</v>
      </c>
      <c r="G63" t="s">
        <v>546</v>
      </c>
      <c r="H63" t="s">
        <v>547</v>
      </c>
      <c r="I63" t="s">
        <v>548</v>
      </c>
    </row>
    <row r="64" spans="1:9">
      <c r="A64" t="s">
        <v>9</v>
      </c>
      <c r="B64" t="s">
        <v>138</v>
      </c>
      <c r="C64" s="2" t="s">
        <v>139</v>
      </c>
      <c r="D64" s="2" t="s">
        <v>549</v>
      </c>
      <c r="E64" t="s">
        <v>9</v>
      </c>
      <c r="F64" t="s">
        <v>140</v>
      </c>
      <c r="G64" t="s">
        <v>550</v>
      </c>
      <c r="H64" t="s">
        <v>551</v>
      </c>
      <c r="I64" t="s">
        <v>552</v>
      </c>
    </row>
    <row r="65" spans="1:9">
      <c r="A65" t="s">
        <v>9</v>
      </c>
      <c r="B65" t="s">
        <v>144</v>
      </c>
      <c r="C65" s="2" t="s">
        <v>145</v>
      </c>
      <c r="D65" s="2" t="s">
        <v>146</v>
      </c>
      <c r="E65" t="s">
        <v>9</v>
      </c>
      <c r="F65" t="s">
        <v>140</v>
      </c>
      <c r="G65" t="s">
        <v>553</v>
      </c>
      <c r="H65" t="s">
        <v>554</v>
      </c>
      <c r="I65" t="s">
        <v>147</v>
      </c>
    </row>
    <row r="66" spans="1:9">
      <c r="A66" t="s">
        <v>9</v>
      </c>
      <c r="B66" t="s">
        <v>148</v>
      </c>
      <c r="C66" s="2" t="s">
        <v>139</v>
      </c>
      <c r="D66" s="2" t="s">
        <v>555</v>
      </c>
      <c r="E66" t="s">
        <v>9</v>
      </c>
      <c r="F66" t="s">
        <v>149</v>
      </c>
      <c r="G66" t="s">
        <v>556</v>
      </c>
      <c r="H66" t="s">
        <v>557</v>
      </c>
      <c r="I66" t="s">
        <v>558</v>
      </c>
    </row>
    <row r="67" spans="1:9">
      <c r="A67" t="s">
        <v>9</v>
      </c>
      <c r="B67" t="s">
        <v>150</v>
      </c>
      <c r="C67" s="2" t="s">
        <v>142</v>
      </c>
      <c r="D67" s="2" t="s">
        <v>559</v>
      </c>
      <c r="E67" t="s">
        <v>9</v>
      </c>
      <c r="F67" t="s">
        <v>151</v>
      </c>
      <c r="G67" t="s">
        <v>560</v>
      </c>
      <c r="H67" t="s">
        <v>561</v>
      </c>
      <c r="I67" t="s">
        <v>562</v>
      </c>
    </row>
    <row r="68" spans="1:9">
      <c r="A68" t="s">
        <v>9</v>
      </c>
      <c r="B68" t="s">
        <v>152</v>
      </c>
      <c r="C68" s="2" t="s">
        <v>142</v>
      </c>
      <c r="D68" s="2" t="s">
        <v>177</v>
      </c>
      <c r="E68" t="s">
        <v>9</v>
      </c>
      <c r="F68" t="s">
        <v>153</v>
      </c>
      <c r="G68" t="s">
        <v>563</v>
      </c>
      <c r="H68" t="s">
        <v>564</v>
      </c>
      <c r="I68" t="s">
        <v>178</v>
      </c>
    </row>
    <row r="69" spans="1:9">
      <c r="A69" t="s">
        <v>9</v>
      </c>
      <c r="B69" t="s">
        <v>154</v>
      </c>
      <c r="C69" s="2" t="s">
        <v>57</v>
      </c>
      <c r="D69" s="2" t="s">
        <v>179</v>
      </c>
      <c r="E69" t="s">
        <v>9</v>
      </c>
      <c r="F69" t="s">
        <v>155</v>
      </c>
      <c r="G69" t="s">
        <v>565</v>
      </c>
      <c r="H69" t="s">
        <v>566</v>
      </c>
      <c r="I69" t="s">
        <v>180</v>
      </c>
    </row>
    <row r="70" spans="1:9">
      <c r="A70" t="s">
        <v>9</v>
      </c>
      <c r="B70" t="s">
        <v>156</v>
      </c>
      <c r="C70" s="2" t="s">
        <v>157</v>
      </c>
      <c r="D70" s="2" t="s">
        <v>181</v>
      </c>
      <c r="E70" t="s">
        <v>9</v>
      </c>
      <c r="F70" t="s">
        <v>182</v>
      </c>
      <c r="G70" t="s">
        <v>567</v>
      </c>
      <c r="H70" t="s">
        <v>568</v>
      </c>
      <c r="I70" t="s">
        <v>183</v>
      </c>
    </row>
    <row r="71" spans="1:9">
      <c r="A71" t="s">
        <v>9</v>
      </c>
      <c r="B71" t="s">
        <v>158</v>
      </c>
      <c r="C71" s="2" t="s">
        <v>157</v>
      </c>
      <c r="D71" s="2" t="s">
        <v>569</v>
      </c>
      <c r="E71" t="s">
        <v>9</v>
      </c>
      <c r="F71" t="s">
        <v>159</v>
      </c>
      <c r="G71" t="s">
        <v>570</v>
      </c>
      <c r="H71" t="s">
        <v>571</v>
      </c>
      <c r="I71" t="s">
        <v>572</v>
      </c>
    </row>
    <row r="72" spans="1:9">
      <c r="A72" t="s">
        <v>9</v>
      </c>
      <c r="B72" t="s">
        <v>160</v>
      </c>
      <c r="C72" s="2" t="s">
        <v>145</v>
      </c>
      <c r="D72" s="2" t="s">
        <v>573</v>
      </c>
      <c r="E72" t="s">
        <v>9</v>
      </c>
      <c r="F72" t="s">
        <v>161</v>
      </c>
      <c r="G72" t="s">
        <v>574</v>
      </c>
      <c r="H72" t="s">
        <v>575</v>
      </c>
      <c r="I72" t="s">
        <v>576</v>
      </c>
    </row>
    <row r="73" spans="1:9">
      <c r="A73" t="s">
        <v>9</v>
      </c>
      <c r="B73" t="s">
        <v>162</v>
      </c>
      <c r="C73" s="2" t="s">
        <v>122</v>
      </c>
      <c r="D73" s="2" t="s">
        <v>577</v>
      </c>
      <c r="E73" t="s">
        <v>9</v>
      </c>
      <c r="F73" t="s">
        <v>163</v>
      </c>
      <c r="G73" t="s">
        <v>578</v>
      </c>
      <c r="H73" t="s">
        <v>579</v>
      </c>
      <c r="I73" t="s">
        <v>580</v>
      </c>
    </row>
  </sheetData>
  <hyperlinks>
    <hyperlink ref="L11" r:id="rId1" xr:uid="{CFB2A420-7FB2-44A2-8F85-151352479EB5}"/>
    <hyperlink ref="M11:O11" r:id="rId2" display="https://www.worldgovernmentbonds.com/" xr:uid="{394B6CA3-C7DF-4811-BD8D-87E381097E2C}"/>
  </hyperlinks>
  <pageMargins left="0.7" right="0.7" top="0.75" bottom="0.75" header="0.3" footer="0.3"/>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4928E-32E4-4091-959F-C588A896B31F}">
  <dimension ref="B2:C15"/>
  <sheetViews>
    <sheetView showGridLines="0" workbookViewId="0">
      <selection activeCell="D14" sqref="D14"/>
    </sheetView>
  </sheetViews>
  <sheetFormatPr defaultRowHeight="15"/>
  <cols>
    <col min="1" max="1" width="1.85546875" customWidth="1"/>
    <col min="2" max="2" width="35.28515625" customWidth="1"/>
    <col min="3" max="3" width="11.42578125" bestFit="1" customWidth="1"/>
  </cols>
  <sheetData>
    <row r="2" spans="2:3" ht="19.5">
      <c r="B2" s="11" t="s">
        <v>331</v>
      </c>
      <c r="C2" s="54"/>
    </row>
    <row r="4" spans="2:3">
      <c r="B4" t="s">
        <v>15</v>
      </c>
      <c r="C4" s="55" t="s">
        <v>116</v>
      </c>
    </row>
    <row r="6" spans="2:3">
      <c r="B6" t="s">
        <v>332</v>
      </c>
      <c r="C6" s="63" t="str">
        <f>VLOOKUP(C4,AutoGovYield!$B$4:$D$73,3,FALSE)</f>
        <v>6.524%</v>
      </c>
    </row>
    <row r="7" spans="2:3">
      <c r="B7" t="s">
        <v>333</v>
      </c>
      <c r="C7" s="57" t="str">
        <f>IFERROR(VLOOKUP(C4,Ratings!$B$4:$C$160,2,FALSE),VLOOKUP(C4,AutoGovYield!$B$4:$C$73,2,FALSE))</f>
        <v>Baa3</v>
      </c>
    </row>
    <row r="8" spans="2:3">
      <c r="C8" s="2"/>
    </row>
    <row r="9" spans="2:3">
      <c r="B9" t="s">
        <v>581</v>
      </c>
      <c r="C9" s="56">
        <f>VLOOKUP($C$4,RfrCountries!$B$9:$I$78,7,FALSE)</f>
        <v>6.6999999999999994E-3</v>
      </c>
    </row>
    <row r="10" spans="2:3">
      <c r="B10" t="s">
        <v>582</v>
      </c>
      <c r="C10" s="56">
        <f>VLOOKUP($C$4,RfrCountries!$B$9:$I$78,5,FALSE)</f>
        <v>2.1767594429291676E-2</v>
      </c>
    </row>
    <row r="12" spans="2:3">
      <c r="B12" t="s">
        <v>334</v>
      </c>
      <c r="C12" s="60">
        <f>VLOOKUP($C$4,RfrCountries!$B$9:$I$78,6,FALSE)</f>
        <v>4.3472405570708333E-2</v>
      </c>
    </row>
    <row r="13" spans="2:3" ht="5.0999999999999996" customHeight="1">
      <c r="C13" s="61"/>
    </row>
    <row r="14" spans="2:3">
      <c r="B14" s="59" t="s">
        <v>335</v>
      </c>
      <c r="C14" s="62">
        <f>VLOOKUP($C$4,RfrCountries!$B$9:$I$78,8,FALSE)</f>
        <v>5.8540000000000009E-2</v>
      </c>
    </row>
    <row r="15" spans="2:3">
      <c r="C15" s="58"/>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AFCB45B-7E99-4B40-AED1-77B1E6AA1213}">
          <x14:formula1>
            <xm:f>AutoGovYield!$B$4:$B$73</xm:f>
          </x14:formula1>
          <xm:sqref>C4:C5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D9A2C-DFFC-4539-A01B-8EBE52A50980}">
  <dimension ref="B2:M78"/>
  <sheetViews>
    <sheetView showGridLines="0" workbookViewId="0">
      <selection activeCell="N13" sqref="N13"/>
    </sheetView>
  </sheetViews>
  <sheetFormatPr defaultRowHeight="15"/>
  <cols>
    <col min="1" max="1" width="1.85546875" customWidth="1"/>
    <col min="2" max="2" width="18.28515625" customWidth="1"/>
    <col min="3" max="3" width="9.7109375" bestFit="1" customWidth="1"/>
    <col min="4" max="4" width="10" style="28" customWidth="1"/>
    <col min="5" max="5" width="11.140625" style="35" customWidth="1"/>
    <col min="6" max="6" width="14.28515625" bestFit="1" customWidth="1"/>
    <col min="7" max="7" width="13.5703125" bestFit="1" customWidth="1"/>
    <col min="8" max="8" width="13.42578125" bestFit="1" customWidth="1"/>
    <col min="9" max="9" width="13.5703125" bestFit="1" customWidth="1"/>
    <col min="11" max="11" width="11.140625" customWidth="1"/>
    <col min="12" max="12" width="11.5703125" customWidth="1"/>
    <col min="13" max="13" width="14" customWidth="1"/>
  </cols>
  <sheetData>
    <row r="2" spans="2:13" ht="19.5">
      <c r="B2" s="11" t="str">
        <f ca="1">"10YR Bond Yields - "&amp;TEXT(TODAY(),"DD MMMM YYYY")</f>
        <v>10YR Bond Yields - 19 November 2025</v>
      </c>
      <c r="C2" s="12"/>
      <c r="D2" s="13"/>
      <c r="E2" s="14"/>
      <c r="F2" s="12"/>
      <c r="G2" s="12"/>
      <c r="H2" s="12"/>
      <c r="I2" s="12"/>
      <c r="J2" s="12"/>
      <c r="K2" s="15" t="s">
        <v>184</v>
      </c>
      <c r="L2" s="12"/>
      <c r="M2" s="12"/>
    </row>
    <row r="3" spans="2:13" ht="3.95" customHeight="1">
      <c r="B3" s="12"/>
      <c r="C3" s="12"/>
      <c r="D3" s="13"/>
      <c r="E3" s="14"/>
      <c r="F3" s="12"/>
      <c r="G3" s="12"/>
      <c r="H3" s="12"/>
      <c r="I3" s="12"/>
      <c r="J3" s="12"/>
      <c r="K3" s="15"/>
      <c r="L3" s="12"/>
      <c r="M3" s="12"/>
    </row>
    <row r="4" spans="2:13">
      <c r="B4" s="12" t="s">
        <v>15</v>
      </c>
      <c r="C4" s="12" t="s">
        <v>16</v>
      </c>
      <c r="D4" s="13" t="s">
        <v>185</v>
      </c>
      <c r="E4" s="16" t="s">
        <v>186</v>
      </c>
      <c r="F4" s="72" t="s">
        <v>187</v>
      </c>
      <c r="G4" s="72"/>
      <c r="H4" s="73" t="s">
        <v>188</v>
      </c>
      <c r="I4" s="73"/>
      <c r="J4" s="17"/>
      <c r="K4" s="18" t="s">
        <v>16</v>
      </c>
      <c r="L4" s="18" t="s">
        <v>185</v>
      </c>
      <c r="M4" s="18" t="s">
        <v>189</v>
      </c>
    </row>
    <row r="5" spans="2:13">
      <c r="B5" s="12" t="s">
        <v>190</v>
      </c>
      <c r="C5" s="12" t="s">
        <v>191</v>
      </c>
      <c r="D5" s="13" t="s">
        <v>191</v>
      </c>
      <c r="E5" s="16" t="s">
        <v>18</v>
      </c>
      <c r="F5" s="19" t="s">
        <v>192</v>
      </c>
      <c r="G5" s="19" t="s">
        <v>193</v>
      </c>
      <c r="H5" s="19" t="s">
        <v>194</v>
      </c>
      <c r="I5" s="19" t="s">
        <v>193</v>
      </c>
      <c r="J5" s="20"/>
      <c r="K5" s="12" t="s">
        <v>191</v>
      </c>
      <c r="L5" s="12" t="s">
        <v>191</v>
      </c>
      <c r="M5" s="12" t="s">
        <v>192</v>
      </c>
    </row>
    <row r="6" spans="2:13" s="21" customFormat="1" ht="3.95" customHeight="1">
      <c r="D6" s="22"/>
      <c r="E6" s="23"/>
      <c r="K6" s="24"/>
      <c r="L6" s="24"/>
      <c r="M6" s="24"/>
    </row>
    <row r="7" spans="2:13" ht="15.75" customHeight="1">
      <c r="B7" s="25" t="str">
        <f t="shared" ref="B7:I7" si="0">B$58</f>
        <v>India</v>
      </c>
      <c r="C7" s="25" t="str">
        <f t="shared" si="0"/>
        <v>BBB</v>
      </c>
      <c r="D7" s="26" t="str">
        <f t="shared" si="0"/>
        <v>Baa3</v>
      </c>
      <c r="E7" s="64" t="str">
        <f t="shared" si="0"/>
        <v>6.524%</v>
      </c>
      <c r="F7" s="27">
        <f t="shared" si="0"/>
        <v>2.1767594429291676E-2</v>
      </c>
      <c r="G7" s="27">
        <f t="shared" si="0"/>
        <v>4.3472405570708333E-2</v>
      </c>
      <c r="H7" s="27">
        <f t="shared" si="0"/>
        <v>6.6999999999999994E-3</v>
      </c>
      <c r="I7" s="27">
        <f t="shared" si="0"/>
        <v>5.8540000000000009E-2</v>
      </c>
    </row>
    <row r="8" spans="2:13" ht="3.95" customHeight="1">
      <c r="C8" s="2"/>
      <c r="E8" s="65"/>
      <c r="F8" s="2"/>
      <c r="G8" s="2"/>
      <c r="H8" s="2"/>
      <c r="I8" s="2"/>
    </row>
    <row r="9" spans="2:13" ht="17.25" customHeight="1">
      <c r="B9" s="29" t="str">
        <f>[1]AutoGovYield!B4</f>
        <v>Switzerland</v>
      </c>
      <c r="C9" s="29" t="str">
        <f>VLOOKUP($B9,AutoGovYield!$B$4:$D$73,2,FALSE)</f>
        <v>AAA</v>
      </c>
      <c r="D9" s="29" t="str">
        <f>IFERROR(VLOOKUP(B9,Ratings!$B$4:$C$160,2,FALSE),"NA")</f>
        <v>Aaa</v>
      </c>
      <c r="E9" s="66" t="str">
        <f>VLOOKUP($B9,AutoGovYield!$B$4:$D$73,3,FALSE)</f>
        <v>0.161%</v>
      </c>
      <c r="F9" s="30">
        <f t="shared" ref="F9:F40" si="1">IFERROR(VLOOKUP(D9,$L$9:$M$31,2,0)/10000,"NA")</f>
        <v>0</v>
      </c>
      <c r="G9" s="31">
        <f t="shared" ref="G9:G40" si="2">IFERROR(E9-F9,"NA")</f>
        <v>1.6100000000000001E-3</v>
      </c>
      <c r="H9" s="31">
        <f>IFERROR(VLOOKUP(B9,'10yrCDS'!$B$6:$D$95,3,FALSE),"NA")</f>
        <v>0</v>
      </c>
      <c r="I9" s="31">
        <f t="shared" ref="I9:I40" si="3">IFERROR(E9-H9,"NA")</f>
        <v>1.6100000000000001E-3</v>
      </c>
      <c r="J9" s="39"/>
      <c r="K9" s="32" t="str">
        <f>'[1]ERPsCRPs&amp;Spreads'!M8</f>
        <v>AAA</v>
      </c>
      <c r="L9" s="32" t="str">
        <f>'[1]ERPsCRPs&amp;Spreads'!N8</f>
        <v>Aaa</v>
      </c>
      <c r="M9" s="33">
        <f>'[1]ERPsCRPs&amp;Spreads'!O8</f>
        <v>0</v>
      </c>
    </row>
    <row r="10" spans="2:13">
      <c r="B10" s="29" t="str">
        <f>[1]AutoGovYield!B5</f>
        <v>Taiwan</v>
      </c>
      <c r="C10" s="29" t="str">
        <f>VLOOKUP($B10,AutoGovYield!$B$4:$D$73,2,FALSE)</f>
        <v>AA+</v>
      </c>
      <c r="D10" s="29" t="str">
        <f>IFERROR(VLOOKUP(B10,Ratings!$B$4:$C$160,2,FALSE),"NA")</f>
        <v>Aa3</v>
      </c>
      <c r="E10" s="66" t="str">
        <f>VLOOKUP($B10,AutoGovYield!$B$4:$D$73,3,FALSE)</f>
        <v>1.320%</v>
      </c>
      <c r="F10" s="30">
        <f t="shared" si="1"/>
        <v>5.9366166625340932E-3</v>
      </c>
      <c r="G10" s="31">
        <f t="shared" si="2"/>
        <v>7.2633833374659068E-3</v>
      </c>
      <c r="H10" s="31" t="str">
        <f>IFERROR(VLOOKUP(B10,'10yrCDS'!$B$6:$D$95,3,FALSE),"NA")</f>
        <v>NA</v>
      </c>
      <c r="I10" s="31" t="str">
        <f t="shared" si="3"/>
        <v>NA</v>
      </c>
      <c r="J10" s="39"/>
      <c r="K10" s="32" t="str">
        <f>'[1]ERPsCRPs&amp;Spreads'!M9</f>
        <v>AA+</v>
      </c>
      <c r="L10" s="32" t="str">
        <f>'[1]ERPsCRPs&amp;Spreads'!N9</f>
        <v>Aa1</v>
      </c>
      <c r="M10" s="33">
        <f>'[1]ERPsCRPs&amp;Spreads'!O9</f>
        <v>39.577444416893947</v>
      </c>
    </row>
    <row r="11" spans="2:13" ht="15" customHeight="1">
      <c r="B11" s="29" t="str">
        <f>[1]AutoGovYield!B6</f>
        <v>Japan</v>
      </c>
      <c r="C11" s="29" t="str">
        <f>VLOOKUP($B11,AutoGovYield!$B$4:$D$73,2,FALSE)</f>
        <v>A+</v>
      </c>
      <c r="D11" s="29" t="str">
        <f>IFERROR(VLOOKUP(B11,Ratings!$B$4:$C$160,2,FALSE),"NA")</f>
        <v>A1</v>
      </c>
      <c r="E11" s="66" t="str">
        <f>VLOOKUP($B11,AutoGovYield!$B$4:$D$73,3,FALSE)</f>
        <v>1.771%</v>
      </c>
      <c r="F11" s="30">
        <f t="shared" si="1"/>
        <v>6.9842548970989338E-3</v>
      </c>
      <c r="G11" s="31">
        <f t="shared" si="2"/>
        <v>1.0725745102901066E-2</v>
      </c>
      <c r="H11" s="31">
        <f>IFERROR(VLOOKUP(B11,'10yrCDS'!$B$6:$D$95,3,FALSE),"NA")</f>
        <v>1.9E-3</v>
      </c>
      <c r="I11" s="31">
        <f t="shared" si="3"/>
        <v>1.5810000000000001E-2</v>
      </c>
      <c r="J11" s="39"/>
      <c r="K11" s="32" t="str">
        <f>'[1]ERPsCRPs&amp;Spreads'!M10</f>
        <v>AA</v>
      </c>
      <c r="L11" s="32" t="str">
        <f>'[1]ERPsCRPs&amp;Spreads'!N10</f>
        <v>Aa2</v>
      </c>
      <c r="M11" s="33">
        <f>'[1]ERPsCRPs&amp;Spreads'!O10</f>
        <v>48.889784279692527</v>
      </c>
    </row>
    <row r="12" spans="2:13">
      <c r="B12" s="29" t="str">
        <f>[1]AutoGovYield!B7</f>
        <v>Thailand</v>
      </c>
      <c r="C12" s="29" t="str">
        <f>VLOOKUP($B12,AutoGovYield!$B$4:$D$73,2,FALSE)</f>
        <v>BBB+</v>
      </c>
      <c r="D12" s="29" t="str">
        <f>IFERROR(VLOOKUP(B12,Ratings!$B$4:$C$160,2,FALSE),"NA")</f>
        <v>Baa1</v>
      </c>
      <c r="E12" s="66" t="str">
        <f>VLOOKUP($B12,AutoGovYield!$B$4:$D$73,3,FALSE)</f>
        <v>1.662%</v>
      </c>
      <c r="F12" s="30">
        <f t="shared" si="1"/>
        <v>1.5830977766757577E-2</v>
      </c>
      <c r="G12" s="31">
        <f t="shared" si="2"/>
        <v>7.8902223324242224E-4</v>
      </c>
      <c r="H12" s="31">
        <f>IFERROR(VLOOKUP(B12,'10yrCDS'!$B$6:$D$95,3,FALSE),"NA")</f>
        <v>5.4999999999999997E-3</v>
      </c>
      <c r="I12" s="31">
        <f t="shared" si="3"/>
        <v>1.112E-2</v>
      </c>
      <c r="J12" s="39"/>
      <c r="K12" s="32" t="str">
        <f>'[1]ERPsCRPs&amp;Spreads'!M11</f>
        <v>AA-</v>
      </c>
      <c r="L12" s="32" t="str">
        <f>'[1]ERPsCRPs&amp;Spreads'!N11</f>
        <v>Aa3</v>
      </c>
      <c r="M12" s="33">
        <f>'[1]ERPsCRPs&amp;Spreads'!O11</f>
        <v>59.366166625340931</v>
      </c>
    </row>
    <row r="13" spans="2:13">
      <c r="B13" s="29" t="str">
        <f>[1]AutoGovYield!B8</f>
        <v>China</v>
      </c>
      <c r="C13" s="29" t="str">
        <f>VLOOKUP($B13,AutoGovYield!$B$4:$D$73,2,FALSE)</f>
        <v>A+</v>
      </c>
      <c r="D13" s="29" t="str">
        <f>IFERROR(VLOOKUP(B13,Ratings!$B$4:$C$160,2,FALSE),"NA")</f>
        <v>A1</v>
      </c>
      <c r="E13" s="66" t="str">
        <f>VLOOKUP($B13,AutoGovYield!$B$4:$D$73,3,FALSE)</f>
        <v>1.815%</v>
      </c>
      <c r="F13" s="30">
        <f t="shared" si="1"/>
        <v>6.9842548970989338E-3</v>
      </c>
      <c r="G13" s="31">
        <f t="shared" si="2"/>
        <v>1.1165745102901066E-2</v>
      </c>
      <c r="H13" s="31">
        <f>IFERROR(VLOOKUP(B13,'10yrCDS'!$B$6:$D$95,3,FALSE),"NA")</f>
        <v>5.7999999999999996E-3</v>
      </c>
      <c r="I13" s="31">
        <f t="shared" si="3"/>
        <v>1.235E-2</v>
      </c>
      <c r="J13" s="39"/>
      <c r="K13" s="32" t="str">
        <f>'[1]ERPsCRPs&amp;Spreads'!M12</f>
        <v>A+</v>
      </c>
      <c r="L13" s="32" t="str">
        <f>'[1]ERPsCRPs&amp;Spreads'!N12</f>
        <v>A1</v>
      </c>
      <c r="M13" s="33">
        <f>'[1]ERPsCRPs&amp;Spreads'!O12</f>
        <v>69.842548970989341</v>
      </c>
    </row>
    <row r="14" spans="2:13">
      <c r="B14" s="29" t="str">
        <f>[1]AutoGovYield!B9</f>
        <v>Singapore</v>
      </c>
      <c r="C14" s="29" t="str">
        <f>VLOOKUP($B14,AutoGovYield!$B$4:$D$73,2,FALSE)</f>
        <v>AAA</v>
      </c>
      <c r="D14" s="29" t="str">
        <f>IFERROR(VLOOKUP(B14,Ratings!$B$4:$C$160,2,FALSE),"NA")</f>
        <v>Aaa</v>
      </c>
      <c r="E14" s="66" t="str">
        <f>VLOOKUP($B14,AutoGovYield!$B$4:$D$73,3,FALSE)</f>
        <v>1.953%</v>
      </c>
      <c r="F14" s="30">
        <f t="shared" si="1"/>
        <v>0</v>
      </c>
      <c r="G14" s="31">
        <f t="shared" si="2"/>
        <v>1.9529999999999999E-2</v>
      </c>
      <c r="H14" s="31" t="str">
        <f>IFERROR(VLOOKUP(B14,'10yrCDS'!$B$6:$D$95,3,FALSE),"NA")</f>
        <v>NA</v>
      </c>
      <c r="I14" s="31" t="str">
        <f t="shared" si="3"/>
        <v>NA</v>
      </c>
      <c r="J14" s="39"/>
      <c r="K14" s="32" t="str">
        <f>'[1]ERPsCRPs&amp;Spreads'!M13</f>
        <v>A</v>
      </c>
      <c r="L14" s="32" t="str">
        <f>'[1]ERPsCRPs&amp;Spreads'!N13</f>
        <v>A2</v>
      </c>
      <c r="M14" s="33">
        <f>'[1]ERPsCRPs&amp;Spreads'!O13</f>
        <v>83.811058765187198</v>
      </c>
    </row>
    <row r="15" spans="2:13">
      <c r="B15" s="29" t="str">
        <f>[1]AutoGovYield!B10</f>
        <v>Denmark</v>
      </c>
      <c r="C15" s="29" t="str">
        <f>VLOOKUP($B15,AutoGovYield!$B$4:$D$73,2,FALSE)</f>
        <v>AAA</v>
      </c>
      <c r="D15" s="29" t="str">
        <f>IFERROR(VLOOKUP(B15,Ratings!$B$4:$C$160,2,FALSE),"NA")</f>
        <v>Aaa</v>
      </c>
      <c r="E15" s="66" t="str">
        <f>VLOOKUP($B15,AutoGovYield!$B$4:$D$73,3,FALSE)</f>
        <v>2.625%</v>
      </c>
      <c r="F15" s="30">
        <f t="shared" si="1"/>
        <v>0</v>
      </c>
      <c r="G15" s="31">
        <f t="shared" si="2"/>
        <v>2.6249999999999999E-2</v>
      </c>
      <c r="H15" s="31">
        <f>IFERROR(VLOOKUP(B15,'10yrCDS'!$B$6:$D$95,3,FALSE),"NA")</f>
        <v>3.9999999999999996E-4</v>
      </c>
      <c r="I15" s="31">
        <f t="shared" si="3"/>
        <v>2.5849999999999998E-2</v>
      </c>
      <c r="J15" s="39"/>
      <c r="K15" s="32" t="str">
        <f>'[1]ERPsCRPs&amp;Spreads'!M14</f>
        <v>A-</v>
      </c>
      <c r="L15" s="32" t="str">
        <f>'[1]ERPsCRPs&amp;Spreads'!N14</f>
        <v>A3</v>
      </c>
      <c r="M15" s="33">
        <f>'[1]ERPsCRPs&amp;Spreads'!O14</f>
        <v>118.73233325068186</v>
      </c>
    </row>
    <row r="16" spans="2:13">
      <c r="B16" s="29" t="str">
        <f>[1]AutoGovYield!B11</f>
        <v>Sweden</v>
      </c>
      <c r="C16" s="29" t="str">
        <f>VLOOKUP($B16,AutoGovYield!$B$4:$D$73,2,FALSE)</f>
        <v>AAA</v>
      </c>
      <c r="D16" s="29" t="str">
        <f>IFERROR(VLOOKUP(B16,Ratings!$B$4:$C$160,2,FALSE),"NA")</f>
        <v>Aaa</v>
      </c>
      <c r="E16" s="66" t="str">
        <f>VLOOKUP($B16,AutoGovYield!$B$4:$D$73,3,FALSE)</f>
        <v>2.673%</v>
      </c>
      <c r="F16" s="30">
        <f t="shared" si="1"/>
        <v>0</v>
      </c>
      <c r="G16" s="31">
        <f t="shared" si="2"/>
        <v>2.673E-2</v>
      </c>
      <c r="H16" s="31">
        <f>IFERROR(VLOOKUP(B16,'10yrCDS'!$B$6:$D$95,3,FALSE),"NA")</f>
        <v>8.0000000000000015E-4</v>
      </c>
      <c r="I16" s="31">
        <f t="shared" si="3"/>
        <v>2.5930000000000002E-2</v>
      </c>
      <c r="J16" s="39"/>
      <c r="K16" s="32" t="str">
        <f>'[1]ERPsCRPs&amp;Spreads'!M15</f>
        <v>BBB+</v>
      </c>
      <c r="L16" s="32" t="str">
        <f>'[1]ERPsCRPs&amp;Spreads'!N15</f>
        <v>Baa1</v>
      </c>
      <c r="M16" s="33">
        <f>'[1]ERPsCRPs&amp;Spreads'!O15</f>
        <v>158.30977766757579</v>
      </c>
    </row>
    <row r="17" spans="2:13">
      <c r="B17" s="29" t="str">
        <f>[1]AutoGovYield!B12</f>
        <v>Germany</v>
      </c>
      <c r="C17" s="29" t="str">
        <f>VLOOKUP($B17,AutoGovYield!$B$4:$D$73,2,FALSE)</f>
        <v>AAA</v>
      </c>
      <c r="D17" s="29" t="str">
        <f>IFERROR(VLOOKUP(B17,Ratings!$B$4:$C$160,2,FALSE),"NA")</f>
        <v>Aaa</v>
      </c>
      <c r="E17" s="66" t="str">
        <f>VLOOKUP($B17,AutoGovYield!$B$4:$D$73,3,FALSE)</f>
        <v>2.704%</v>
      </c>
      <c r="F17" s="30">
        <f t="shared" si="1"/>
        <v>0</v>
      </c>
      <c r="G17" s="31">
        <f t="shared" si="2"/>
        <v>2.7040000000000002E-2</v>
      </c>
      <c r="H17" s="31">
        <f>IFERROR(VLOOKUP(B17,'10yrCDS'!$B$6:$D$95,3,FALSE),"NA")</f>
        <v>6.9999999999999988E-4</v>
      </c>
      <c r="I17" s="31">
        <f t="shared" si="3"/>
        <v>2.6340000000000002E-2</v>
      </c>
      <c r="J17" s="39"/>
      <c r="K17" s="32" t="str">
        <f>'[1]ERPsCRPs&amp;Spreads'!M16</f>
        <v>BBB</v>
      </c>
      <c r="L17" s="32" t="str">
        <f>'[1]ERPsCRPs&amp;Spreads'!N16</f>
        <v>Baa2</v>
      </c>
      <c r="M17" s="33">
        <f>'[1]ERPsCRPs&amp;Spreads'!O16</f>
        <v>188.5748822216712</v>
      </c>
    </row>
    <row r="18" spans="2:13">
      <c r="B18" s="29" t="str">
        <f>[1]AutoGovYield!B13</f>
        <v>Netherlands</v>
      </c>
      <c r="C18" s="29" t="str">
        <f>VLOOKUP($B18,AutoGovYield!$B$4:$D$73,2,FALSE)</f>
        <v>AAA</v>
      </c>
      <c r="D18" s="29" t="str">
        <f>IFERROR(VLOOKUP(B18,Ratings!$B$4:$C$160,2,FALSE),"NA")</f>
        <v>Aaa</v>
      </c>
      <c r="E18" s="66" t="str">
        <f>VLOOKUP($B18,AutoGovYield!$B$4:$D$73,3,FALSE)</f>
        <v>2.859%</v>
      </c>
      <c r="F18" s="30">
        <f t="shared" si="1"/>
        <v>0</v>
      </c>
      <c r="G18" s="31">
        <f t="shared" si="2"/>
        <v>2.8590000000000001E-2</v>
      </c>
      <c r="H18" s="31">
        <f>IFERROR(VLOOKUP(B18,'10yrCDS'!$B$6:$D$95,3,FALSE),"NA")</f>
        <v>8.0000000000000015E-4</v>
      </c>
      <c r="I18" s="31">
        <f t="shared" si="3"/>
        <v>2.7790000000000002E-2</v>
      </c>
      <c r="J18" s="39"/>
      <c r="K18" s="32" t="str">
        <f>'[1]ERPsCRPs&amp;Spreads'!M17</f>
        <v>BBB-</v>
      </c>
      <c r="L18" s="32" t="str">
        <f>'[1]ERPsCRPs&amp;Spreads'!N17</f>
        <v>Baa3</v>
      </c>
      <c r="M18" s="33">
        <f>'[1]ERPsCRPs&amp;Spreads'!O17</f>
        <v>217.67594429291677</v>
      </c>
    </row>
    <row r="19" spans="2:13">
      <c r="B19" s="29" t="str">
        <f>[1]AutoGovYield!B14</f>
        <v>Ireland</v>
      </c>
      <c r="C19" s="29" t="str">
        <f>VLOOKUP($B19,AutoGovYield!$B$4:$D$73,2,FALSE)</f>
        <v>AA</v>
      </c>
      <c r="D19" s="29" t="str">
        <f>IFERROR(VLOOKUP(B19,Ratings!$B$4:$C$160,2,FALSE),"NA")</f>
        <v>Aa3</v>
      </c>
      <c r="E19" s="66" t="str">
        <f>VLOOKUP($B19,AutoGovYield!$B$4:$D$73,3,FALSE)</f>
        <v>2.926%</v>
      </c>
      <c r="F19" s="30">
        <f t="shared" si="1"/>
        <v>5.9366166625340932E-3</v>
      </c>
      <c r="G19" s="31">
        <f t="shared" si="2"/>
        <v>2.3323383337465909E-2</v>
      </c>
      <c r="H19" s="31">
        <f>IFERROR(VLOOKUP(B19,'10yrCDS'!$B$6:$D$95,3,FALSE),"NA")</f>
        <v>2.1000000000000003E-3</v>
      </c>
      <c r="I19" s="31">
        <f t="shared" si="3"/>
        <v>2.716E-2</v>
      </c>
      <c r="J19" s="39"/>
      <c r="K19" s="32" t="str">
        <f>'[1]ERPsCRPs&amp;Spreads'!M18</f>
        <v>BB+</v>
      </c>
      <c r="L19" s="32" t="str">
        <f>'[1]ERPsCRPs&amp;Spreads'!N18</f>
        <v>Ba1</v>
      </c>
      <c r="M19" s="33">
        <f>'[1]ERPsCRPs&amp;Spreads'!O18</f>
        <v>247.94104884701215</v>
      </c>
    </row>
    <row r="20" spans="2:13">
      <c r="B20" s="29" t="str">
        <f>[1]AutoGovYield!B15</f>
        <v>Morocco</v>
      </c>
      <c r="C20" s="29" t="str">
        <f>VLOOKUP($B20,AutoGovYield!$B$4:$D$73,2,FALSE)</f>
        <v>BBB-</v>
      </c>
      <c r="D20" s="29" t="str">
        <f>IFERROR(VLOOKUP(B20,Ratings!$B$4:$C$160,2,FALSE),"NA")</f>
        <v>Ba1</v>
      </c>
      <c r="E20" s="66" t="str">
        <f>VLOOKUP($B20,AutoGovYield!$B$4:$D$73,3,FALSE)</f>
        <v>2.946%</v>
      </c>
      <c r="F20" s="30">
        <f t="shared" si="1"/>
        <v>2.4794104884701216E-2</v>
      </c>
      <c r="G20" s="31">
        <f t="shared" si="2"/>
        <v>4.6658951152987842E-3</v>
      </c>
      <c r="H20" s="31">
        <f>IFERROR(VLOOKUP(B20,'10yrCDS'!$B$6:$D$95,3,FALSE),"NA")</f>
        <v>1.43E-2</v>
      </c>
      <c r="I20" s="31">
        <f t="shared" si="3"/>
        <v>1.516E-2</v>
      </c>
      <c r="J20" s="39"/>
      <c r="K20" s="32" t="str">
        <f>'[1]ERPsCRPs&amp;Spreads'!M19</f>
        <v>BB</v>
      </c>
      <c r="L20" s="32" t="str">
        <f>'[1]ERPsCRPs&amp;Spreads'!N19</f>
        <v>Ba2</v>
      </c>
      <c r="M20" s="33">
        <f>'[1]ERPsCRPs&amp;Spreads'!O19</f>
        <v>297.99487560955447</v>
      </c>
    </row>
    <row r="21" spans="2:13">
      <c r="B21" s="29" t="str">
        <f>[1]AutoGovYield!B16</f>
        <v>Austria</v>
      </c>
      <c r="C21" s="29" t="str">
        <f>VLOOKUP($B21,AutoGovYield!$B$4:$D$73,2,FALSE)</f>
        <v>AA+</v>
      </c>
      <c r="D21" s="29" t="str">
        <f>IFERROR(VLOOKUP(B21,Ratings!$B$4:$C$160,2,FALSE),"NA")</f>
        <v>Aa1</v>
      </c>
      <c r="E21" s="66" t="str">
        <f>VLOOKUP($B21,AutoGovYield!$B$4:$D$73,3,FALSE)</f>
        <v>2.987%</v>
      </c>
      <c r="F21" s="30">
        <f t="shared" si="1"/>
        <v>3.9577444416893943E-3</v>
      </c>
      <c r="G21" s="31">
        <f t="shared" si="2"/>
        <v>2.5912255558310608E-2</v>
      </c>
      <c r="H21" s="31">
        <f>IFERROR(VLOOKUP(B21,'10yrCDS'!$B$6:$D$95,3,FALSE),"NA")</f>
        <v>1.5000000000000002E-3</v>
      </c>
      <c r="I21" s="31">
        <f t="shared" si="3"/>
        <v>2.8369999999999999E-2</v>
      </c>
      <c r="J21" s="39"/>
      <c r="K21" s="32" t="str">
        <f>'[1]ERPsCRPs&amp;Spreads'!M20</f>
        <v>BB-</v>
      </c>
      <c r="L21" s="32" t="str">
        <f>'[1]ERPsCRPs&amp;Spreads'!N20</f>
        <v>Ba3</v>
      </c>
      <c r="M21" s="33">
        <f>'[1]ERPsCRPs&amp;Spreads'!O20</f>
        <v>356.19699975204554</v>
      </c>
    </row>
    <row r="22" spans="2:13">
      <c r="B22" s="29" t="str">
        <f>[1]AutoGovYield!B17</f>
        <v>Hong Kong</v>
      </c>
      <c r="C22" s="29" t="str">
        <f>VLOOKUP($B22,AutoGovYield!$B$4:$D$73,2,FALSE)</f>
        <v>AA+</v>
      </c>
      <c r="D22" s="29" t="str">
        <f>IFERROR(VLOOKUP(B22,Ratings!$B$4:$C$160,2,FALSE),"NA")</f>
        <v>Aa3</v>
      </c>
      <c r="E22" s="66" t="str">
        <f>VLOOKUP($B22,AutoGovYield!$B$4:$D$73,3,FALSE)</f>
        <v>2.946%</v>
      </c>
      <c r="F22" s="30">
        <f t="shared" si="1"/>
        <v>5.9366166625340932E-3</v>
      </c>
      <c r="G22" s="31">
        <f t="shared" si="2"/>
        <v>2.3523383337465908E-2</v>
      </c>
      <c r="H22" s="31">
        <f>IFERROR(VLOOKUP(B22,'10yrCDS'!$B$6:$D$95,3,FALSE),"NA")</f>
        <v>4.1999999999999997E-3</v>
      </c>
      <c r="I22" s="31">
        <f t="shared" si="3"/>
        <v>2.5260000000000001E-2</v>
      </c>
      <c r="J22" s="39"/>
      <c r="K22" s="32" t="str">
        <f>'[1]ERPsCRPs&amp;Spreads'!M21</f>
        <v>B+</v>
      </c>
      <c r="L22" s="32" t="str">
        <f>'[1]ERPsCRPs&amp;Spreads'!N21</f>
        <v>B1</v>
      </c>
      <c r="M22" s="33">
        <f>'[1]ERPsCRPs&amp;Spreads'!O21</f>
        <v>445.82827093148182</v>
      </c>
    </row>
    <row r="23" spans="2:13">
      <c r="B23" s="29" t="str">
        <f>[1]AutoGovYield!B18</f>
        <v>Slovenia</v>
      </c>
      <c r="C23" s="29" t="str">
        <f>VLOOKUP($B23,AutoGovYield!$B$4:$D$73,2,FALSE)</f>
        <v>AA</v>
      </c>
      <c r="D23" s="29" t="str">
        <f>IFERROR(VLOOKUP(B23,Ratings!$B$4:$C$160,2,FALSE),"NA")</f>
        <v>A3</v>
      </c>
      <c r="E23" s="66" t="str">
        <f>VLOOKUP($B23,AutoGovYield!$B$4:$D$73,3,FALSE)</f>
        <v>2.988%</v>
      </c>
      <c r="F23" s="30">
        <f t="shared" si="1"/>
        <v>1.1873233325068186E-2</v>
      </c>
      <c r="G23" s="31">
        <f t="shared" si="2"/>
        <v>1.8006766674931812E-2</v>
      </c>
      <c r="H23" s="31">
        <f>IFERROR(VLOOKUP(B23,'10yrCDS'!$B$6:$D$95,3,FALSE),"NA")</f>
        <v>5.3E-3</v>
      </c>
      <c r="I23" s="31">
        <f t="shared" si="3"/>
        <v>2.4580000000000001E-2</v>
      </c>
      <c r="J23" s="39"/>
      <c r="K23" s="32" t="str">
        <f>'[1]ERPsCRPs&amp;Spreads'!M22</f>
        <v>B</v>
      </c>
      <c r="L23" s="32" t="str">
        <f>'[1]ERPsCRPs&amp;Spreads'!N22</f>
        <v>B2</v>
      </c>
      <c r="M23" s="33">
        <f>'[1]ERPsCRPs&amp;Spreads'!O22</f>
        <v>544.77188197371675</v>
      </c>
    </row>
    <row r="24" spans="2:13">
      <c r="B24" s="29" t="str">
        <f>[1]AutoGovYield!B19</f>
        <v>Cyprus</v>
      </c>
      <c r="C24" s="29" t="str">
        <f>VLOOKUP($B24,AutoGovYield!$B$4:$D$73,2,FALSE)</f>
        <v>A-</v>
      </c>
      <c r="D24" s="29" t="str">
        <f>IFERROR(VLOOKUP(B24,Ratings!$B$4:$C$160,2,FALSE),"NA")</f>
        <v>A3</v>
      </c>
      <c r="E24" s="66" t="str">
        <f>VLOOKUP($B24,AutoGovYield!$B$4:$D$73,3,FALSE)</f>
        <v>3.012%</v>
      </c>
      <c r="F24" s="30">
        <f t="shared" si="1"/>
        <v>1.1873233325068186E-2</v>
      </c>
      <c r="G24" s="31">
        <f t="shared" si="2"/>
        <v>1.8246766674931816E-2</v>
      </c>
      <c r="H24" s="31">
        <f>IFERROR(VLOOKUP(B24,'10yrCDS'!$B$6:$D$95,3,FALSE),"NA")</f>
        <v>6.5000000000000006E-3</v>
      </c>
      <c r="I24" s="31">
        <f t="shared" si="3"/>
        <v>2.3620000000000002E-2</v>
      </c>
      <c r="J24" s="39"/>
      <c r="K24" s="32" t="str">
        <f>'[1]ERPsCRPs&amp;Spreads'!M23</f>
        <v>B-</v>
      </c>
      <c r="L24" s="32" t="str">
        <f>'[1]ERPsCRPs&amp;Spreads'!N23</f>
        <v>B3</v>
      </c>
      <c r="M24" s="33">
        <f>'[1]ERPsCRPs&amp;Spreads'!O23</f>
        <v>643.71549301595155</v>
      </c>
    </row>
    <row r="25" spans="2:13">
      <c r="B25" s="29" t="str">
        <f>[1]AutoGovYield!B20</f>
        <v>Portugal</v>
      </c>
      <c r="C25" s="29" t="str">
        <f>VLOOKUP($B25,AutoGovYield!$B$4:$D$73,2,FALSE)</f>
        <v>A+</v>
      </c>
      <c r="D25" s="29" t="str">
        <f>IFERROR(VLOOKUP(B25,Ratings!$B$4:$C$160,2,FALSE),"NA")</f>
        <v>A3</v>
      </c>
      <c r="E25" s="66" t="str">
        <f>VLOOKUP($B25,AutoGovYield!$B$4:$D$73,3,FALSE)</f>
        <v>3.042%</v>
      </c>
      <c r="F25" s="30">
        <f t="shared" si="1"/>
        <v>1.1873233325068186E-2</v>
      </c>
      <c r="G25" s="31">
        <f t="shared" si="2"/>
        <v>1.8546766674931811E-2</v>
      </c>
      <c r="H25" s="31">
        <f>IFERROR(VLOOKUP(B25,'10yrCDS'!$B$6:$D$95,3,FALSE),"NA")</f>
        <v>3.7999999999999996E-3</v>
      </c>
      <c r="I25" s="31">
        <f t="shared" si="3"/>
        <v>2.6619999999999998E-2</v>
      </c>
      <c r="J25" s="39"/>
      <c r="K25" s="32" t="str">
        <f>'[1]ERPsCRPs&amp;Spreads'!M24</f>
        <v>CCC+</v>
      </c>
      <c r="L25" s="32" t="str">
        <f>'[1]ERPsCRPs&amp;Spreads'!N24</f>
        <v>Caa1</v>
      </c>
      <c r="M25" s="33">
        <f>'[1]ERPsCRPs&amp;Spreads'!O24</f>
        <v>742.65910405818647</v>
      </c>
    </row>
    <row r="26" spans="2:13">
      <c r="B26" s="29" t="str">
        <f>[1]AutoGovYield!B21</f>
        <v>Finland</v>
      </c>
      <c r="C26" s="29" t="str">
        <f>VLOOKUP($B26,AutoGovYield!$B$4:$D$73,2,FALSE)</f>
        <v>AA+</v>
      </c>
      <c r="D26" s="29" t="str">
        <f>IFERROR(VLOOKUP(B26,Ratings!$B$4:$C$160,2,FALSE),"NA")</f>
        <v>Aa1</v>
      </c>
      <c r="E26" s="66" t="str">
        <f>VLOOKUP($B26,AutoGovYield!$B$4:$D$73,3,FALSE)</f>
        <v>3.058%</v>
      </c>
      <c r="F26" s="30">
        <f t="shared" si="1"/>
        <v>3.9577444416893943E-3</v>
      </c>
      <c r="G26" s="31">
        <f t="shared" si="2"/>
        <v>2.6622255558310604E-2</v>
      </c>
      <c r="H26" s="31">
        <f>IFERROR(VLOOKUP(B26,'10yrCDS'!$B$6:$D$95,3,FALSE),"NA")</f>
        <v>1.5000000000000002E-3</v>
      </c>
      <c r="I26" s="31">
        <f t="shared" si="3"/>
        <v>2.9079999999999998E-2</v>
      </c>
      <c r="J26" s="39"/>
      <c r="K26" s="32" t="str">
        <f>'[1]ERPsCRPs&amp;Spreads'!M25</f>
        <v>CCC</v>
      </c>
      <c r="L26" s="32" t="str">
        <f>'[1]ERPsCRPs&amp;Spreads'!N25</f>
        <v>Caa2</v>
      </c>
      <c r="M26" s="33">
        <f>'[1]ERPsCRPs&amp;Spreads'!O25</f>
        <v>891.65654186296365</v>
      </c>
    </row>
    <row r="27" spans="2:13">
      <c r="B27" s="29" t="str">
        <f>[1]AutoGovYield!B22</f>
        <v>Croatia</v>
      </c>
      <c r="C27" s="29" t="str">
        <f>VLOOKUP($B27,AutoGovYield!$B$4:$D$73,2,FALSE)</f>
        <v>A-</v>
      </c>
      <c r="D27" s="29" t="str">
        <f>IFERROR(VLOOKUP(B27,Ratings!$B$4:$C$160,2,FALSE),"NA")</f>
        <v>A3</v>
      </c>
      <c r="E27" s="66" t="str">
        <f>VLOOKUP($B27,AutoGovYield!$B$4:$D$73,3,FALSE)</f>
        <v>3.060%</v>
      </c>
      <c r="F27" s="30">
        <f t="shared" si="1"/>
        <v>1.1873233325068186E-2</v>
      </c>
      <c r="G27" s="31">
        <f t="shared" si="2"/>
        <v>1.8726766674931811E-2</v>
      </c>
      <c r="H27" s="31">
        <f>IFERROR(VLOOKUP(B27,'10yrCDS'!$B$6:$D$95,3,FALSE),"NA")</f>
        <v>1.0699999999999999E-2</v>
      </c>
      <c r="I27" s="31">
        <f t="shared" si="3"/>
        <v>1.9900000000000001E-2</v>
      </c>
      <c r="J27" s="39"/>
      <c r="K27" s="32" t="str">
        <f>'[1]ERPsCRPs&amp;Spreads'!M26</f>
        <v>CCC-</v>
      </c>
      <c r="L27" s="32" t="str">
        <f>'[1]ERPsCRPs&amp;Spreads'!N26</f>
        <v>Caa3</v>
      </c>
      <c r="M27" s="33">
        <f>'[1]ERPsCRPs&amp;Spreads'!O26</f>
        <v>990.60015290519868</v>
      </c>
    </row>
    <row r="28" spans="2:13">
      <c r="B28" s="29" t="str">
        <f>[1]AutoGovYield!B23</f>
        <v>Spain</v>
      </c>
      <c r="C28" s="29" t="str">
        <f>VLOOKUP($B28,AutoGovYield!$B$4:$D$73,2,FALSE)</f>
        <v>A+</v>
      </c>
      <c r="D28" s="29" t="str">
        <f>IFERROR(VLOOKUP(B28,Ratings!$B$4:$C$160,2,FALSE),"NA")</f>
        <v>Baa1</v>
      </c>
      <c r="E28" s="66" t="str">
        <f>VLOOKUP($B28,AutoGovYield!$B$4:$D$73,3,FALSE)</f>
        <v>3.202%</v>
      </c>
      <c r="F28" s="30">
        <f t="shared" si="1"/>
        <v>1.5830977766757577E-2</v>
      </c>
      <c r="G28" s="31">
        <f t="shared" si="2"/>
        <v>1.6189022233242423E-2</v>
      </c>
      <c r="H28" s="31">
        <f>IFERROR(VLOOKUP(B28,'10yrCDS'!$B$6:$D$95,3,FALSE),"NA")</f>
        <v>4.7000000000000002E-3</v>
      </c>
      <c r="I28" s="31">
        <f t="shared" si="3"/>
        <v>2.7320000000000001E-2</v>
      </c>
      <c r="J28" s="39"/>
      <c r="K28" s="32" t="str">
        <f>'[1]ERPsCRPs&amp;Spreads'!M27</f>
        <v>CC</v>
      </c>
      <c r="L28" s="32" t="str">
        <f>'[1]ERPsCRPs&amp;Spreads'!N27</f>
        <v>Ca</v>
      </c>
      <c r="M28" s="33">
        <f>'[1]ERPsCRPs&amp;Spreads'!O27</f>
        <v>1188.4873749896685</v>
      </c>
    </row>
    <row r="29" spans="2:13">
      <c r="B29" s="29" t="str">
        <f>[1]AutoGovYield!B24</f>
        <v>Canada</v>
      </c>
      <c r="C29" s="29" t="str">
        <f>VLOOKUP($B29,AutoGovYield!$B$4:$D$73,2,FALSE)</f>
        <v>AAA</v>
      </c>
      <c r="D29" s="29" t="str">
        <f>IFERROR(VLOOKUP(B29,Ratings!$B$4:$C$160,2,FALSE),"NA")</f>
        <v>Aaa</v>
      </c>
      <c r="E29" s="66" t="str">
        <f>VLOOKUP($B29,AutoGovYield!$B$4:$D$73,3,FALSE)</f>
        <v>3.257%</v>
      </c>
      <c r="F29" s="30">
        <f t="shared" si="1"/>
        <v>0</v>
      </c>
      <c r="G29" s="31">
        <f t="shared" si="2"/>
        <v>3.2570000000000002E-2</v>
      </c>
      <c r="H29" s="31">
        <f>IFERROR(VLOOKUP(B29,'10yrCDS'!$B$6:$D$95,3,FALSE),"NA")</f>
        <v>2E-3</v>
      </c>
      <c r="I29" s="31">
        <f t="shared" si="3"/>
        <v>3.057E-2</v>
      </c>
      <c r="J29" s="39"/>
      <c r="K29" s="32" t="str">
        <f>'[1]ERPsCRPs&amp;Spreads'!M28</f>
        <v>C</v>
      </c>
      <c r="L29" s="32" t="str">
        <f>'[1]ERPsCRPs&amp;Spreads'!N28</f>
        <v>Ca</v>
      </c>
      <c r="M29" s="33">
        <f>'[1]ERPsCRPs&amp;Spreads'!O28</f>
        <v>1188.4873749896685</v>
      </c>
    </row>
    <row r="30" spans="2:13">
      <c r="B30" s="29" t="str">
        <f>[1]AutoGovYield!B25</f>
        <v>Belgium</v>
      </c>
      <c r="C30" s="29" t="str">
        <f>VLOOKUP($B30,AutoGovYield!$B$4:$D$73,2,FALSE)</f>
        <v>AA</v>
      </c>
      <c r="D30" s="29" t="str">
        <f>IFERROR(VLOOKUP(B30,Ratings!$B$4:$C$160,2,FALSE),"NA")</f>
        <v>Aa3</v>
      </c>
      <c r="E30" s="66" t="str">
        <f>VLOOKUP($B30,AutoGovYield!$B$4:$D$73,3,FALSE)</f>
        <v>3.234%</v>
      </c>
      <c r="F30" s="30">
        <f t="shared" si="1"/>
        <v>5.9366166625340932E-3</v>
      </c>
      <c r="G30" s="31">
        <f t="shared" si="2"/>
        <v>2.6403383337465908E-2</v>
      </c>
      <c r="H30" s="31">
        <f>IFERROR(VLOOKUP(B30,'10yrCDS'!$B$6:$D$95,3,FALSE),"NA")</f>
        <v>3.3E-3</v>
      </c>
      <c r="I30" s="31">
        <f t="shared" si="3"/>
        <v>2.904E-2</v>
      </c>
      <c r="J30" s="39"/>
      <c r="K30" s="32" t="str">
        <f>'[1]ERPsCRPs&amp;Spreads'!M29</f>
        <v>D</v>
      </c>
      <c r="L30" s="32" t="str">
        <f>'[1]ERPsCRPs&amp;Spreads'!N29</f>
        <v>C</v>
      </c>
      <c r="M30" s="33">
        <f>'[1]ERPsCRPs&amp;Spreads'!O29</f>
        <v>1750</v>
      </c>
    </row>
    <row r="31" spans="2:13">
      <c r="B31" s="29" t="str">
        <f>[1]AutoGovYield!B26</f>
        <v>South Korea</v>
      </c>
      <c r="C31" s="29" t="str">
        <f>VLOOKUP($B31,AutoGovYield!$B$4:$D$73,2,FALSE)</f>
        <v>AA</v>
      </c>
      <c r="D31" s="29" t="str">
        <f>IFERROR(VLOOKUP(B31,Ratings!$B$4:$C$160,2,FALSE),"NA")</f>
        <v>NA</v>
      </c>
      <c r="E31" s="66" t="str">
        <f>VLOOKUP($B31,AutoGovYield!$B$4:$D$73,3,FALSE)</f>
        <v>3.285%</v>
      </c>
      <c r="F31" s="30" t="str">
        <f t="shared" si="1"/>
        <v>NA</v>
      </c>
      <c r="G31" s="31" t="str">
        <f t="shared" si="2"/>
        <v>NA</v>
      </c>
      <c r="H31" s="31" t="str">
        <f>IFERROR(VLOOKUP(B31,'10yrCDS'!$B$6:$D$95,3,FALSE),"NA")</f>
        <v>NA</v>
      </c>
      <c r="I31" s="31" t="str">
        <f t="shared" si="3"/>
        <v>NA</v>
      </c>
      <c r="J31" s="39"/>
      <c r="K31" s="32" t="str">
        <f>'[1]ERPsCRPs&amp;Spreads'!M30</f>
        <v>NR</v>
      </c>
      <c r="L31" s="32" t="str">
        <f>'[1]ERPsCRPs&amp;Spreads'!N30</f>
        <v>NR</v>
      </c>
      <c r="M31" s="33" t="str">
        <f>'[1]ERPsCRPs&amp;Spreads'!O30</f>
        <v>NA</v>
      </c>
    </row>
    <row r="32" spans="2:13">
      <c r="B32" s="29" t="str">
        <f>[1]AutoGovYield!B27</f>
        <v>Malta</v>
      </c>
      <c r="C32" s="29" t="str">
        <f>VLOOKUP($B32,AutoGovYield!$B$4:$D$73,2,FALSE)</f>
        <v>A-</v>
      </c>
      <c r="D32" s="29" t="str">
        <f>IFERROR(VLOOKUP(B32,Ratings!$B$4:$C$160,2,FALSE),"NA")</f>
        <v>A2</v>
      </c>
      <c r="E32" s="66" t="str">
        <f>VLOOKUP($B32,AutoGovYield!$B$4:$D$73,3,FALSE)</f>
        <v>3.245%</v>
      </c>
      <c r="F32" s="30">
        <f t="shared" si="1"/>
        <v>8.3811058765187203E-3</v>
      </c>
      <c r="G32" s="31">
        <f t="shared" si="2"/>
        <v>2.4068894123481281E-2</v>
      </c>
      <c r="H32" s="31" t="str">
        <f>IFERROR(VLOOKUP(B32,'10yrCDS'!$B$6:$D$95,3,FALSE),"NA")</f>
        <v>NA</v>
      </c>
      <c r="I32" s="31" t="str">
        <f t="shared" si="3"/>
        <v>NA</v>
      </c>
      <c r="J32" s="39"/>
    </row>
    <row r="33" spans="2:10">
      <c r="B33" s="29" t="str">
        <f>[1]AutoGovYield!B28</f>
        <v>Greece</v>
      </c>
      <c r="C33" s="29" t="str">
        <f>VLOOKUP($B33,AutoGovYield!$B$4:$D$73,2,FALSE)</f>
        <v>BBB</v>
      </c>
      <c r="D33" s="29" t="str">
        <f>IFERROR(VLOOKUP(B33,Ratings!$B$4:$C$160,2,FALSE),"NA")</f>
        <v>Ba1</v>
      </c>
      <c r="E33" s="66" t="str">
        <f>VLOOKUP($B33,AutoGovYield!$B$4:$D$73,3,FALSE)</f>
        <v>3.337%</v>
      </c>
      <c r="F33" s="30">
        <f t="shared" si="1"/>
        <v>2.4794104884701216E-2</v>
      </c>
      <c r="G33" s="31">
        <f t="shared" si="2"/>
        <v>8.575895115298781E-3</v>
      </c>
      <c r="H33" s="31">
        <f>IFERROR(VLOOKUP(B33,'10yrCDS'!$B$6:$D$95,3,FALSE),"NA")</f>
        <v>8.6999999999999994E-3</v>
      </c>
      <c r="I33" s="31">
        <f t="shared" si="3"/>
        <v>2.4669999999999997E-2</v>
      </c>
      <c r="J33" s="39"/>
    </row>
    <row r="34" spans="2:10">
      <c r="B34" s="29" t="str">
        <f>[1]AutoGovYield!B29</f>
        <v>Slovakia</v>
      </c>
      <c r="C34" s="29" t="str">
        <f>VLOOKUP($B34,AutoGovYield!$B$4:$D$73,2,FALSE)</f>
        <v>A+</v>
      </c>
      <c r="D34" s="29" t="str">
        <f>IFERROR(VLOOKUP(B34,Ratings!$B$4:$C$160,2,FALSE),"NA")</f>
        <v>A3</v>
      </c>
      <c r="E34" s="66" t="str">
        <f>VLOOKUP($B34,AutoGovYield!$B$4:$D$73,3,FALSE)</f>
        <v>3.414%</v>
      </c>
      <c r="F34" s="30">
        <f t="shared" si="1"/>
        <v>1.1873233325068186E-2</v>
      </c>
      <c r="G34" s="31">
        <f t="shared" si="2"/>
        <v>2.2266766674931812E-2</v>
      </c>
      <c r="H34" s="31">
        <f>IFERROR(VLOOKUP(B34,'10yrCDS'!$B$6:$D$95,3,FALSE),"NA")</f>
        <v>4.4000000000000003E-3</v>
      </c>
      <c r="I34" s="31">
        <f t="shared" si="3"/>
        <v>2.9739999999999996E-2</v>
      </c>
      <c r="J34" s="39"/>
    </row>
    <row r="35" spans="2:10">
      <c r="B35" s="29" t="str">
        <f>[1]AutoGovYield!B30</f>
        <v>Italy</v>
      </c>
      <c r="C35" s="29" t="str">
        <f>VLOOKUP($B35,AutoGovYield!$B$4:$D$73,2,FALSE)</f>
        <v>BBB+</v>
      </c>
      <c r="D35" s="29" t="str">
        <f>IFERROR(VLOOKUP(B35,Ratings!$B$4:$C$160,2,FALSE),"NA")</f>
        <v>Baa3</v>
      </c>
      <c r="E35" s="66" t="str">
        <f>VLOOKUP($B35,AutoGovYield!$B$4:$D$73,3,FALSE)</f>
        <v>3.447%</v>
      </c>
      <c r="F35" s="30">
        <f t="shared" si="1"/>
        <v>2.1767594429291676E-2</v>
      </c>
      <c r="G35" s="31">
        <f t="shared" si="2"/>
        <v>1.2702405570708324E-2</v>
      </c>
      <c r="H35" s="31">
        <f>IFERROR(VLOOKUP(B35,'10yrCDS'!$B$6:$D$95,3,FALSE),"NA")</f>
        <v>8.0999999999999996E-3</v>
      </c>
      <c r="I35" s="31">
        <f t="shared" si="3"/>
        <v>2.6370000000000001E-2</v>
      </c>
      <c r="J35" s="39"/>
    </row>
    <row r="36" spans="2:10">
      <c r="B36" s="29" t="str">
        <f>[1]AutoGovYield!B31</f>
        <v>France</v>
      </c>
      <c r="C36" s="29" t="str">
        <f>VLOOKUP($B36,AutoGovYield!$B$4:$D$73,2,FALSE)</f>
        <v>A+</v>
      </c>
      <c r="D36" s="29" t="str">
        <f>IFERROR(VLOOKUP(B36,Ratings!$B$4:$C$160,2,FALSE),"NA")</f>
        <v>Aa3</v>
      </c>
      <c r="E36" s="66" t="str">
        <f>VLOOKUP($B36,AutoGovYield!$B$4:$D$73,3,FALSE)</f>
        <v>3.453%</v>
      </c>
      <c r="F36" s="30">
        <f t="shared" si="1"/>
        <v>5.9366166625340932E-3</v>
      </c>
      <c r="G36" s="31">
        <f t="shared" si="2"/>
        <v>2.8593383337465906E-2</v>
      </c>
      <c r="H36" s="31">
        <f>IFERROR(VLOOKUP(B36,'10yrCDS'!$B$6:$D$95,3,FALSE),"NA")</f>
        <v>5.0999999999999995E-3</v>
      </c>
      <c r="I36" s="31">
        <f t="shared" si="3"/>
        <v>2.9429999999999998E-2</v>
      </c>
      <c r="J36" s="39"/>
    </row>
    <row r="37" spans="2:10">
      <c r="B37" s="29" t="str">
        <f>[1]AutoGovYield!B32</f>
        <v>Lithuania</v>
      </c>
      <c r="C37" s="29" t="str">
        <f>VLOOKUP($B37,AutoGovYield!$B$4:$D$73,2,FALSE)</f>
        <v>A</v>
      </c>
      <c r="D37" s="29" t="str">
        <f>IFERROR(VLOOKUP(B37,Ratings!$B$4:$C$160,2,FALSE),"NA")</f>
        <v>A2</v>
      </c>
      <c r="E37" s="66" t="str">
        <f>VLOOKUP($B37,AutoGovYield!$B$4:$D$73,3,FALSE)</f>
        <v>3.530%</v>
      </c>
      <c r="F37" s="30">
        <f t="shared" si="1"/>
        <v>8.3811058765187203E-3</v>
      </c>
      <c r="G37" s="31">
        <f t="shared" si="2"/>
        <v>2.691889412348128E-2</v>
      </c>
      <c r="H37" s="31">
        <f>IFERROR(VLOOKUP(B37,'10yrCDS'!$B$6:$D$95,3,FALSE),"NA")</f>
        <v>7.2999999999999992E-3</v>
      </c>
      <c r="I37" s="31">
        <f t="shared" si="3"/>
        <v>2.7999999999999997E-2</v>
      </c>
      <c r="J37" s="39"/>
    </row>
    <row r="38" spans="2:10">
      <c r="B38" s="29" t="str">
        <f>[1]AutoGovYield!B33</f>
        <v>Malaysia</v>
      </c>
      <c r="C38" s="29" t="str">
        <f>VLOOKUP($B38,AutoGovYield!$B$4:$D$73,2,FALSE)</f>
        <v>A-</v>
      </c>
      <c r="D38" s="29" t="str">
        <f>IFERROR(VLOOKUP(B38,Ratings!$B$4:$C$160,2,FALSE),"NA")</f>
        <v>A3</v>
      </c>
      <c r="E38" s="66" t="str">
        <f>VLOOKUP($B38,AutoGovYield!$B$4:$D$73,3,FALSE)</f>
        <v>3.447%</v>
      </c>
      <c r="F38" s="30">
        <f t="shared" si="1"/>
        <v>1.1873233325068186E-2</v>
      </c>
      <c r="G38" s="31">
        <f t="shared" si="2"/>
        <v>2.2596766674931816E-2</v>
      </c>
      <c r="H38" s="31">
        <f>IFERROR(VLOOKUP(B38,'10yrCDS'!$B$6:$D$95,3,FALSE),"NA")</f>
        <v>6.3999999999999994E-3</v>
      </c>
      <c r="I38" s="31">
        <f t="shared" si="3"/>
        <v>2.8070000000000001E-2</v>
      </c>
      <c r="J38" s="39"/>
    </row>
    <row r="39" spans="2:10">
      <c r="B39" s="29" t="str">
        <f>[1]AutoGovYield!B34</f>
        <v>Bulgaria</v>
      </c>
      <c r="C39" s="29" t="str">
        <f>VLOOKUP($B39,AutoGovYield!$B$4:$D$73,2,FALSE)</f>
        <v>BBB+</v>
      </c>
      <c r="D39" s="29" t="str">
        <f>IFERROR(VLOOKUP(B39,Ratings!$B$4:$C$160,2,FALSE),"NA")</f>
        <v>Baa1</v>
      </c>
      <c r="E39" s="66" t="str">
        <f>VLOOKUP($B39,AutoGovYield!$B$4:$D$73,3,FALSE)</f>
        <v>3.908%</v>
      </c>
      <c r="F39" s="30">
        <f t="shared" si="1"/>
        <v>1.5830977766757577E-2</v>
      </c>
      <c r="G39" s="31">
        <f t="shared" si="2"/>
        <v>2.324902223324242E-2</v>
      </c>
      <c r="H39" s="31">
        <f>IFERROR(VLOOKUP(B39,'10yrCDS'!$B$6:$D$95,3,FALSE),"NA")</f>
        <v>9.4999999999999998E-3</v>
      </c>
      <c r="I39" s="31">
        <f t="shared" si="3"/>
        <v>2.9579999999999995E-2</v>
      </c>
      <c r="J39" s="39"/>
    </row>
    <row r="40" spans="2:10">
      <c r="B40" s="29" t="str">
        <f>[1]AutoGovYield!B35</f>
        <v>Israel</v>
      </c>
      <c r="C40" s="29" t="str">
        <f>VLOOKUP($B40,AutoGovYield!$B$4:$D$73,2,FALSE)</f>
        <v>A</v>
      </c>
      <c r="D40" s="29" t="str">
        <f>IFERROR(VLOOKUP(B40,Ratings!$B$4:$C$160,2,FALSE),"NA")</f>
        <v>Baa1</v>
      </c>
      <c r="E40" s="66" t="str">
        <f>VLOOKUP($B40,AutoGovYield!$B$4:$D$73,3,FALSE)</f>
        <v>3.905%</v>
      </c>
      <c r="F40" s="30">
        <f t="shared" si="1"/>
        <v>1.5830977766757577E-2</v>
      </c>
      <c r="G40" s="31">
        <f t="shared" si="2"/>
        <v>2.3219022233242424E-2</v>
      </c>
      <c r="H40" s="31">
        <f>IFERROR(VLOOKUP(B40,'10yrCDS'!$B$6:$D$95,3,FALSE),"NA")</f>
        <v>1.2199999999999999E-2</v>
      </c>
      <c r="I40" s="31">
        <f t="shared" si="3"/>
        <v>2.6850000000000002E-2</v>
      </c>
      <c r="J40" s="39"/>
    </row>
    <row r="41" spans="2:10">
      <c r="B41" s="29" t="str">
        <f>[1]AutoGovYield!B36</f>
        <v>Vietnam</v>
      </c>
      <c r="C41" s="29" t="str">
        <f>VLOOKUP($B41,AutoGovYield!$B$4:$D$73,2,FALSE)</f>
        <v>BB+</v>
      </c>
      <c r="D41" s="29" t="str">
        <f>IFERROR(VLOOKUP(B41,Ratings!$B$4:$C$160,2,FALSE),"NA")</f>
        <v>Ba2</v>
      </c>
      <c r="E41" s="66" t="str">
        <f>VLOOKUP($B41,AutoGovYield!$B$4:$D$73,3,FALSE)</f>
        <v>4.000%</v>
      </c>
      <c r="F41" s="30">
        <f t="shared" ref="F41:F72" si="4">IFERROR(VLOOKUP(D41,$L$9:$M$31,2,0)/10000,"NA")</f>
        <v>2.9799487560955448E-2</v>
      </c>
      <c r="G41" s="31">
        <f t="shared" ref="G41:G72" si="5">IFERROR(E41-F41,"NA")</f>
        <v>1.0200512439044553E-2</v>
      </c>
      <c r="H41" s="31">
        <f>IFERROR(VLOOKUP(B41,'10yrCDS'!$B$6:$D$95,3,FALSE),"NA")</f>
        <v>1.3999999999999999E-2</v>
      </c>
      <c r="I41" s="31">
        <f t="shared" ref="I41:I72" si="6">IFERROR(E41-H41,"NA")</f>
        <v>2.6000000000000002E-2</v>
      </c>
      <c r="J41" s="39"/>
    </row>
    <row r="42" spans="2:10">
      <c r="B42" s="29" t="str">
        <f>[1]AutoGovYield!B37</f>
        <v>United States</v>
      </c>
      <c r="C42" s="29" t="str">
        <f>VLOOKUP($B42,AutoGovYield!$B$4:$D$73,2,FALSE)</f>
        <v>AA+</v>
      </c>
      <c r="D42" s="29" t="str">
        <f>IFERROR(VLOOKUP(B42,Ratings!$B$4:$C$160,2,FALSE),"NA")</f>
        <v>Aaa</v>
      </c>
      <c r="E42" s="66" t="str">
        <f>VLOOKUP($B42,AutoGovYield!$B$4:$D$73,3,FALSE)</f>
        <v>4.122%</v>
      </c>
      <c r="F42" s="30">
        <f t="shared" si="4"/>
        <v>0</v>
      </c>
      <c r="G42" s="31">
        <f t="shared" si="5"/>
        <v>4.122E-2</v>
      </c>
      <c r="H42" s="31">
        <f>IFERROR(VLOOKUP(B42,'10yrCDS'!$B$6:$D$95,3,FALSE),"NA")</f>
        <v>3.3E-3</v>
      </c>
      <c r="I42" s="31">
        <f t="shared" si="6"/>
        <v>3.7920000000000002E-2</v>
      </c>
      <c r="J42" s="39"/>
    </row>
    <row r="43" spans="2:10">
      <c r="B43" s="29" t="str">
        <f>[1]AutoGovYield!B38</f>
        <v>Norway</v>
      </c>
      <c r="C43" s="29" t="str">
        <f>VLOOKUP($B43,AutoGovYield!$B$4:$D$73,2,FALSE)</f>
        <v>AAA</v>
      </c>
      <c r="D43" s="29" t="str">
        <f>IFERROR(VLOOKUP(B43,Ratings!$B$4:$C$160,2,FALSE),"NA")</f>
        <v>Aaa</v>
      </c>
      <c r="E43" s="66" t="str">
        <f>VLOOKUP($B43,AutoGovYield!$B$4:$D$73,3,FALSE)</f>
        <v>4.145%</v>
      </c>
      <c r="F43" s="30">
        <f t="shared" si="4"/>
        <v>0</v>
      </c>
      <c r="G43" s="31">
        <f t="shared" si="5"/>
        <v>4.1450000000000001E-2</v>
      </c>
      <c r="H43" s="31">
        <f>IFERROR(VLOOKUP(B43,'10yrCDS'!$B$6:$D$95,3,FALSE),"NA")</f>
        <v>5.0000000000000023E-4</v>
      </c>
      <c r="I43" s="31">
        <f t="shared" si="6"/>
        <v>4.095E-2</v>
      </c>
      <c r="J43" s="39"/>
    </row>
    <row r="44" spans="2:10">
      <c r="B44" s="29" t="str">
        <f>[1]AutoGovYield!B39</f>
        <v>New Zealand</v>
      </c>
      <c r="C44" s="29" t="str">
        <f>VLOOKUP($B44,AutoGovYield!$B$4:$D$73,2,FALSE)</f>
        <v>AA+</v>
      </c>
      <c r="D44" s="29" t="str">
        <f>IFERROR(VLOOKUP(B44,Ratings!$B$4:$C$160,2,FALSE),"NA")</f>
        <v>Aaa</v>
      </c>
      <c r="E44" s="66" t="str">
        <f>VLOOKUP($B44,AutoGovYield!$B$4:$D$73,3,FALSE)</f>
        <v>4.245%</v>
      </c>
      <c r="F44" s="30">
        <f t="shared" si="4"/>
        <v>0</v>
      </c>
      <c r="G44" s="31">
        <f t="shared" si="5"/>
        <v>4.2450000000000002E-2</v>
      </c>
      <c r="H44" s="31">
        <f>IFERROR(VLOOKUP(B44,'10yrCDS'!$B$6:$D$95,3,FALSE),"NA")</f>
        <v>6.0000000000000006E-4</v>
      </c>
      <c r="I44" s="31">
        <f t="shared" si="6"/>
        <v>4.1849999999999998E-2</v>
      </c>
      <c r="J44" s="39"/>
    </row>
    <row r="45" spans="2:10">
      <c r="B45" s="29" t="str">
        <f>[1]AutoGovYield!B40</f>
        <v>Qatar</v>
      </c>
      <c r="C45" s="29" t="str">
        <f>VLOOKUP($B45,AutoGovYield!$B$4:$D$73,2,FALSE)</f>
        <v>AA</v>
      </c>
      <c r="D45" s="29" t="str">
        <f>IFERROR(VLOOKUP(B45,Ratings!$B$4:$C$160,2,FALSE),"NA")</f>
        <v>Aa2</v>
      </c>
      <c r="E45" s="66" t="str">
        <f>VLOOKUP($B45,AutoGovYield!$B$4:$D$73,3,FALSE)</f>
        <v>4.300%</v>
      </c>
      <c r="F45" s="30">
        <f t="shared" si="4"/>
        <v>4.8889784279692525E-3</v>
      </c>
      <c r="G45" s="31">
        <f t="shared" si="5"/>
        <v>3.8111021572030744E-2</v>
      </c>
      <c r="H45" s="31">
        <f>IFERROR(VLOOKUP(B45,'10yrCDS'!$B$6:$D$95,3,FALSE),"NA")</f>
        <v>5.0999999999999995E-3</v>
      </c>
      <c r="I45" s="31">
        <f t="shared" si="6"/>
        <v>3.7899999999999996E-2</v>
      </c>
      <c r="J45" s="39"/>
    </row>
    <row r="46" spans="2:10">
      <c r="B46" s="29" t="str">
        <f>[1]AutoGovYield!B41</f>
        <v>Australia</v>
      </c>
      <c r="C46" s="29" t="str">
        <f>VLOOKUP($B46,AutoGovYield!$B$4:$D$73,2,FALSE)</f>
        <v>AAA</v>
      </c>
      <c r="D46" s="29" t="str">
        <f>IFERROR(VLOOKUP(B46,Ratings!$B$4:$C$160,2,FALSE),"NA")</f>
        <v>Aaa</v>
      </c>
      <c r="E46" s="66" t="str">
        <f>VLOOKUP($B46,AutoGovYield!$B$4:$D$73,3,FALSE)</f>
        <v>4.425%</v>
      </c>
      <c r="F46" s="30">
        <f t="shared" si="4"/>
        <v>0</v>
      </c>
      <c r="G46" s="31">
        <f t="shared" si="5"/>
        <v>4.4249999999999998E-2</v>
      </c>
      <c r="H46" s="31">
        <f>IFERROR(VLOOKUP(B46,'10yrCDS'!$B$6:$D$95,3,FALSE),"NA")</f>
        <v>1.0000000000000005E-4</v>
      </c>
      <c r="I46" s="31">
        <f t="shared" si="6"/>
        <v>4.4149999999999995E-2</v>
      </c>
      <c r="J46" s="39"/>
    </row>
    <row r="47" spans="2:10">
      <c r="B47" s="29" t="str">
        <f>[1]AutoGovYield!B42</f>
        <v>United Kingdom</v>
      </c>
      <c r="C47" s="29" t="str">
        <f>VLOOKUP($B47,AutoGovYield!$B$4:$D$73,2,FALSE)</f>
        <v>AA</v>
      </c>
      <c r="D47" s="29" t="str">
        <f>IFERROR(VLOOKUP(B47,Ratings!$B$4:$C$160,2,FALSE),"NA")</f>
        <v>Aa3</v>
      </c>
      <c r="E47" s="66" t="str">
        <f>VLOOKUP($B47,AutoGovYield!$B$4:$D$73,3,FALSE)</f>
        <v>4.549%</v>
      </c>
      <c r="F47" s="30">
        <f t="shared" si="4"/>
        <v>5.9366166625340932E-3</v>
      </c>
      <c r="G47" s="31">
        <f t="shared" si="5"/>
        <v>3.9553383337465907E-2</v>
      </c>
      <c r="H47" s="31">
        <f>IFERROR(VLOOKUP(B47,'10yrCDS'!$B$6:$D$95,3,FALSE),"NA")</f>
        <v>2E-3</v>
      </c>
      <c r="I47" s="31">
        <f t="shared" si="6"/>
        <v>4.3490000000000001E-2</v>
      </c>
      <c r="J47" s="39"/>
    </row>
    <row r="48" spans="2:10">
      <c r="B48" s="29" t="str">
        <f>[1]AutoGovYield!B43</f>
        <v>Czech Republic</v>
      </c>
      <c r="C48" s="29" t="str">
        <f>VLOOKUP($B48,AutoGovYield!$B$4:$D$73,2,FALSE)</f>
        <v>AA-</v>
      </c>
      <c r="D48" s="29" t="str">
        <f>IFERROR(VLOOKUP(B48,Ratings!$B$4:$C$160,2,FALSE),"NA")</f>
        <v>Aa3</v>
      </c>
      <c r="E48" s="66" t="str">
        <f>VLOOKUP($B48,AutoGovYield!$B$4:$D$73,3,FALSE)</f>
        <v>4.603%</v>
      </c>
      <c r="F48" s="30">
        <f t="shared" si="4"/>
        <v>5.9366166625340932E-3</v>
      </c>
      <c r="G48" s="31">
        <f t="shared" si="5"/>
        <v>4.0093383337465906E-2</v>
      </c>
      <c r="H48" s="31">
        <f>IFERROR(VLOOKUP(B48,'10yrCDS'!$B$6:$D$95,3,FALSE),"NA")</f>
        <v>3.7000000000000002E-3</v>
      </c>
      <c r="I48" s="31">
        <f t="shared" si="6"/>
        <v>4.233E-2</v>
      </c>
      <c r="J48" s="39"/>
    </row>
    <row r="49" spans="2:10">
      <c r="B49" s="29" t="str">
        <f>[1]AutoGovYield!B44</f>
        <v>Serbia</v>
      </c>
      <c r="C49" s="29" t="str">
        <f>VLOOKUP($B49,AutoGovYield!$B$4:$D$73,2,FALSE)</f>
        <v>BBB-</v>
      </c>
      <c r="D49" s="29" t="str">
        <f>IFERROR(VLOOKUP(B49,Ratings!$B$4:$C$160,2,FALSE),"NA")</f>
        <v>Ba2</v>
      </c>
      <c r="E49" s="66" t="str">
        <f>VLOOKUP($B49,AutoGovYield!$B$4:$D$73,3,FALSE)</f>
        <v>5.050%</v>
      </c>
      <c r="F49" s="30">
        <f t="shared" si="4"/>
        <v>2.9799487560955448E-2</v>
      </c>
      <c r="G49" s="31">
        <f t="shared" si="5"/>
        <v>2.0700512439044555E-2</v>
      </c>
      <c r="H49" s="31">
        <f>IFERROR(VLOOKUP(B49,'10yrCDS'!$B$6:$D$95,3,FALSE),"NA")</f>
        <v>2.1299999999999999E-2</v>
      </c>
      <c r="I49" s="31">
        <f t="shared" si="6"/>
        <v>2.9200000000000004E-2</v>
      </c>
      <c r="J49" s="39"/>
    </row>
    <row r="50" spans="2:10">
      <c r="B50" s="29" t="str">
        <f>[1]AutoGovYield!B45</f>
        <v>Peru</v>
      </c>
      <c r="C50" s="29" t="str">
        <f>VLOOKUP($B50,AutoGovYield!$B$4:$D$73,2,FALSE)</f>
        <v>BBB-</v>
      </c>
      <c r="D50" s="29" t="str">
        <f>IFERROR(VLOOKUP(B50,Ratings!$B$4:$C$160,2,FALSE),"NA")</f>
        <v>Baa1</v>
      </c>
      <c r="E50" s="66" t="str">
        <f>VLOOKUP($B50,AutoGovYield!$B$4:$D$73,3,FALSE)</f>
        <v>5.288%</v>
      </c>
      <c r="F50" s="30">
        <f t="shared" si="4"/>
        <v>1.5830977766757577E-2</v>
      </c>
      <c r="G50" s="31">
        <f t="shared" si="5"/>
        <v>3.7049022233242426E-2</v>
      </c>
      <c r="H50" s="31">
        <f>IFERROR(VLOOKUP(B50,'10yrCDS'!$B$6:$D$95,3,FALSE),"NA")</f>
        <v>1.2199999999999999E-2</v>
      </c>
      <c r="I50" s="31">
        <f t="shared" si="6"/>
        <v>4.0680000000000008E-2</v>
      </c>
      <c r="J50" s="39"/>
    </row>
    <row r="51" spans="2:10">
      <c r="B51" s="29" t="str">
        <f>[1]AutoGovYield!B46</f>
        <v>Poland</v>
      </c>
      <c r="C51" s="29" t="str">
        <f>VLOOKUP($B51,AutoGovYield!$B$4:$D$73,2,FALSE)</f>
        <v>A-</v>
      </c>
      <c r="D51" s="29" t="str">
        <f>IFERROR(VLOOKUP(B51,Ratings!$B$4:$C$160,2,FALSE),"NA")</f>
        <v>A2</v>
      </c>
      <c r="E51" s="66" t="str">
        <f>VLOOKUP($B51,AutoGovYield!$B$4:$D$73,3,FALSE)</f>
        <v>5.321%</v>
      </c>
      <c r="F51" s="30">
        <f t="shared" si="4"/>
        <v>8.3811058765187203E-3</v>
      </c>
      <c r="G51" s="31">
        <f t="shared" si="5"/>
        <v>4.4828894123481282E-2</v>
      </c>
      <c r="H51" s="31">
        <f>IFERROR(VLOOKUP(B51,'10yrCDS'!$B$6:$D$95,3,FALSE),"NA")</f>
        <v>9.2999999999999992E-3</v>
      </c>
      <c r="I51" s="31">
        <f t="shared" si="6"/>
        <v>4.3910000000000005E-2</v>
      </c>
      <c r="J51" s="39"/>
    </row>
    <row r="52" spans="2:10">
      <c r="B52" s="29" t="str">
        <f>[1]AutoGovYield!B47</f>
        <v>Chile</v>
      </c>
      <c r="C52" s="29" t="str">
        <f>VLOOKUP($B52,AutoGovYield!$B$4:$D$73,2,FALSE)</f>
        <v>A</v>
      </c>
      <c r="D52" s="29" t="str">
        <f>IFERROR(VLOOKUP(B52,Ratings!$B$4:$C$160,2,FALSE),"NA")</f>
        <v>A2</v>
      </c>
      <c r="E52" s="66" t="str">
        <f>VLOOKUP($B52,AutoGovYield!$B$4:$D$73,3,FALSE)</f>
        <v>5.370%</v>
      </c>
      <c r="F52" s="30">
        <f t="shared" si="4"/>
        <v>8.3811058765187203E-3</v>
      </c>
      <c r="G52" s="31">
        <f t="shared" si="5"/>
        <v>4.5318894123481279E-2</v>
      </c>
      <c r="H52" s="31">
        <f>IFERROR(VLOOKUP(B52,'10yrCDS'!$B$6:$D$95,3,FALSE),"NA")</f>
        <v>8.6999999999999994E-3</v>
      </c>
      <c r="I52" s="31">
        <f t="shared" si="6"/>
        <v>4.4999999999999998E-2</v>
      </c>
      <c r="J52" s="39"/>
    </row>
    <row r="53" spans="2:10">
      <c r="B53" s="29" t="str">
        <f>[1]AutoGovYield!B48</f>
        <v>Mauritius</v>
      </c>
      <c r="C53" s="29" t="str">
        <f>VLOOKUP($B53,AutoGovYield!$B$4:$D$73,2,FALSE)</f>
        <v>BBB-</v>
      </c>
      <c r="D53" s="29" t="str">
        <f>IFERROR(VLOOKUP(B53,Ratings!$B$4:$C$160,2,FALSE),"NA")</f>
        <v>Baa3</v>
      </c>
      <c r="E53" s="66" t="str">
        <f>VLOOKUP($B53,AutoGovYield!$B$4:$D$73,3,FALSE)</f>
        <v>5.630%</v>
      </c>
      <c r="F53" s="30">
        <f t="shared" si="4"/>
        <v>2.1767594429291676E-2</v>
      </c>
      <c r="G53" s="31">
        <f t="shared" si="5"/>
        <v>3.453240557070833E-2</v>
      </c>
      <c r="H53" s="31" t="str">
        <f>IFERROR(VLOOKUP(B53,'10yrCDS'!$B$6:$D$95,3,FALSE),"NA")</f>
        <v>NA</v>
      </c>
      <c r="I53" s="31" t="str">
        <f t="shared" si="6"/>
        <v>NA</v>
      </c>
      <c r="J53" s="39"/>
    </row>
    <row r="54" spans="2:10">
      <c r="B54" s="29" t="str">
        <f>[1]AutoGovYield!B49</f>
        <v>Bahrain</v>
      </c>
      <c r="C54" s="29" t="str">
        <f>VLOOKUP($B54,AutoGovYield!$B$4:$D$73,2,FALSE)</f>
        <v>B+</v>
      </c>
      <c r="D54" s="29" t="str">
        <f>IFERROR(VLOOKUP(B54,Ratings!$B$4:$C$160,2,FALSE),"NA")</f>
        <v>B2</v>
      </c>
      <c r="E54" s="66" t="str">
        <f>VLOOKUP($B54,AutoGovYield!$B$4:$D$73,3,FALSE)</f>
        <v>6.312%</v>
      </c>
      <c r="F54" s="30">
        <f t="shared" si="4"/>
        <v>5.4477188197371677E-2</v>
      </c>
      <c r="G54" s="31">
        <f t="shared" si="5"/>
        <v>8.6428118026283182E-3</v>
      </c>
      <c r="H54" s="31">
        <f>IFERROR(VLOOKUP(B54,'10yrCDS'!$B$6:$D$95,3,FALSE),"NA")</f>
        <v>2.6200000000000001E-2</v>
      </c>
      <c r="I54" s="31">
        <f t="shared" si="6"/>
        <v>3.6919999999999994E-2</v>
      </c>
      <c r="J54" s="39"/>
    </row>
    <row r="55" spans="2:10">
      <c r="B55" s="29" t="str">
        <f>[1]AutoGovYield!B50</f>
        <v>Philippines</v>
      </c>
      <c r="C55" s="29" t="str">
        <f>VLOOKUP($B55,AutoGovYield!$B$4:$D$73,2,FALSE)</f>
        <v>BBB+</v>
      </c>
      <c r="D55" s="29" t="str">
        <f>IFERROR(VLOOKUP(B55,Ratings!$B$4:$C$160,2,FALSE),"NA")</f>
        <v>Baa2</v>
      </c>
      <c r="E55" s="66" t="str">
        <f>VLOOKUP($B55,AutoGovYield!$B$4:$D$73,3,FALSE)</f>
        <v>5.854%</v>
      </c>
      <c r="F55" s="30">
        <f t="shared" si="4"/>
        <v>1.885748822216712E-2</v>
      </c>
      <c r="G55" s="31">
        <f t="shared" si="5"/>
        <v>3.9682511777832885E-2</v>
      </c>
      <c r="H55" s="31">
        <f>IFERROR(VLOOKUP(B55,'10yrCDS'!$B$6:$D$95,3,FALSE),"NA")</f>
        <v>9.7999999999999997E-3</v>
      </c>
      <c r="I55" s="31">
        <f t="shared" si="6"/>
        <v>4.8740000000000006E-2</v>
      </c>
      <c r="J55" s="39"/>
    </row>
    <row r="56" spans="2:10">
      <c r="B56" s="29" t="str">
        <f>[1]AutoGovYield!B51</f>
        <v>Indonesia</v>
      </c>
      <c r="C56" s="29" t="str">
        <f>VLOOKUP($B56,AutoGovYield!$B$4:$D$73,2,FALSE)</f>
        <v>BBB</v>
      </c>
      <c r="D56" s="29" t="str">
        <f>IFERROR(VLOOKUP(B56,Ratings!$B$4:$C$160,2,FALSE),"NA")</f>
        <v>Baa2</v>
      </c>
      <c r="E56" s="66" t="str">
        <f>VLOOKUP($B56,AutoGovYield!$B$4:$D$73,3,FALSE)</f>
        <v>6.140%</v>
      </c>
      <c r="F56" s="30">
        <f t="shared" si="4"/>
        <v>1.885748822216712E-2</v>
      </c>
      <c r="G56" s="31">
        <f t="shared" si="5"/>
        <v>4.2542511777832887E-2</v>
      </c>
      <c r="H56" s="31">
        <f>IFERROR(VLOOKUP(B56,'10yrCDS'!$B$6:$D$95,3,FALSE),"NA")</f>
        <v>1.17E-2</v>
      </c>
      <c r="I56" s="31">
        <f t="shared" si="6"/>
        <v>4.9700000000000001E-2</v>
      </c>
      <c r="J56" s="39"/>
    </row>
    <row r="57" spans="2:10">
      <c r="B57" s="29" t="str">
        <f>[1]AutoGovYield!B52</f>
        <v>Iceland</v>
      </c>
      <c r="C57" s="29" t="str">
        <f>VLOOKUP($B57,AutoGovYield!$B$4:$D$73,2,FALSE)</f>
        <v>A+</v>
      </c>
      <c r="D57" s="29" t="str">
        <f>IFERROR(VLOOKUP(B57,Ratings!$B$4:$C$160,2,FALSE),"NA")</f>
        <v>A1</v>
      </c>
      <c r="E57" s="66" t="str">
        <f>VLOOKUP($B57,AutoGovYield!$B$4:$D$73,3,FALSE)</f>
        <v>6.537%</v>
      </c>
      <c r="F57" s="30">
        <f t="shared" si="4"/>
        <v>6.9842548970989338E-3</v>
      </c>
      <c r="G57" s="31">
        <f t="shared" si="5"/>
        <v>5.8385745102901065E-2</v>
      </c>
      <c r="H57" s="31">
        <f>IFERROR(VLOOKUP(B57,'10yrCDS'!$B$6:$D$95,3,FALSE),"NA")</f>
        <v>3.0000000000000001E-3</v>
      </c>
      <c r="I57" s="31">
        <f t="shared" si="6"/>
        <v>6.2369999999999995E-2</v>
      </c>
      <c r="J57" s="39"/>
    </row>
    <row r="58" spans="2:10">
      <c r="B58" s="29" t="str">
        <f>[1]AutoGovYield!B53</f>
        <v>India</v>
      </c>
      <c r="C58" s="29" t="str">
        <f>VLOOKUP($B58,AutoGovYield!$B$4:$D$73,2,FALSE)</f>
        <v>BBB</v>
      </c>
      <c r="D58" s="29" t="str">
        <f>IFERROR(VLOOKUP(B58,Ratings!$B$4:$C$160,2,FALSE),"NA")</f>
        <v>Baa3</v>
      </c>
      <c r="E58" s="66" t="str">
        <f>VLOOKUP($B58,AutoGovYield!$B$4:$D$73,3,FALSE)</f>
        <v>6.524%</v>
      </c>
      <c r="F58" s="34">
        <f t="shared" si="4"/>
        <v>2.1767594429291676E-2</v>
      </c>
      <c r="G58" s="31">
        <f t="shared" si="5"/>
        <v>4.3472405570708333E-2</v>
      </c>
      <c r="H58" s="31">
        <f>IFERROR(VLOOKUP(B58,'10yrCDS'!$B$6:$D$95,3,FALSE),"NA")</f>
        <v>6.6999999999999994E-3</v>
      </c>
      <c r="I58" s="31">
        <f t="shared" si="6"/>
        <v>5.8540000000000009E-2</v>
      </c>
      <c r="J58" s="39"/>
    </row>
    <row r="59" spans="2:10">
      <c r="B59" s="29" t="str">
        <f>[1]AutoGovYield!B54</f>
        <v>Hungary</v>
      </c>
      <c r="C59" s="29" t="str">
        <f>VLOOKUP($B59,AutoGovYield!$B$4:$D$73,2,FALSE)</f>
        <v>BBB-</v>
      </c>
      <c r="D59" s="29" t="str">
        <f>IFERROR(VLOOKUP(B59,Ratings!$B$4:$C$160,2,FALSE),"NA")</f>
        <v>Baa2</v>
      </c>
      <c r="E59" s="66" t="str">
        <f>VLOOKUP($B59,AutoGovYield!$B$4:$D$73,3,FALSE)</f>
        <v>7.180%</v>
      </c>
      <c r="F59" s="30">
        <f t="shared" si="4"/>
        <v>1.885748822216712E-2</v>
      </c>
      <c r="G59" s="31">
        <f t="shared" si="5"/>
        <v>5.2942511777832879E-2</v>
      </c>
      <c r="H59" s="31">
        <f>IFERROR(VLOOKUP(B59,'10yrCDS'!$B$6:$D$95,3,FALSE),"NA")</f>
        <v>1.66E-2</v>
      </c>
      <c r="I59" s="31">
        <f t="shared" si="6"/>
        <v>5.5199999999999999E-2</v>
      </c>
      <c r="J59" s="39"/>
    </row>
    <row r="60" spans="2:10">
      <c r="B60" s="29" t="str">
        <f>[1]AutoGovYield!B55</f>
        <v>Romania</v>
      </c>
      <c r="C60" s="29" t="str">
        <f>VLOOKUP($B60,AutoGovYield!$B$4:$D$73,2,FALSE)</f>
        <v>BBB-</v>
      </c>
      <c r="D60" s="29" t="str">
        <f>IFERROR(VLOOKUP(B60,Ratings!$B$4:$C$160,2,FALSE),"NA")</f>
        <v>Baa3</v>
      </c>
      <c r="E60" s="66" t="str">
        <f>VLOOKUP($B60,AutoGovYield!$B$4:$D$73,3,FALSE)</f>
        <v>7.000%</v>
      </c>
      <c r="F60" s="30">
        <f t="shared" si="4"/>
        <v>2.1767594429291676E-2</v>
      </c>
      <c r="G60" s="31">
        <f t="shared" si="5"/>
        <v>4.8232405570708334E-2</v>
      </c>
      <c r="H60" s="31">
        <f>IFERROR(VLOOKUP(B60,'10yrCDS'!$B$6:$D$95,3,FALSE),"NA")</f>
        <v>2.5000000000000001E-2</v>
      </c>
      <c r="I60" s="31">
        <f t="shared" si="6"/>
        <v>4.5000000000000005E-2</v>
      </c>
      <c r="J60" s="39"/>
    </row>
    <row r="61" spans="2:10">
      <c r="B61" s="29" t="str">
        <f>[1]AutoGovYield!B56</f>
        <v>Jordan</v>
      </c>
      <c r="C61" s="29" t="str">
        <f>VLOOKUP($B61,AutoGovYield!$B$4:$D$73,2,FALSE)</f>
        <v>BB-</v>
      </c>
      <c r="D61" s="29" t="str">
        <f>IFERROR(VLOOKUP(B61,Ratings!$B$4:$C$160,2,FALSE),"NA")</f>
        <v>Ba3</v>
      </c>
      <c r="E61" s="66" t="str">
        <f>VLOOKUP($B61,AutoGovYield!$B$4:$D$73,3,FALSE)</f>
        <v>8.421%</v>
      </c>
      <c r="F61" s="30">
        <f t="shared" si="4"/>
        <v>3.5619699975204554E-2</v>
      </c>
      <c r="G61" s="31">
        <f t="shared" si="5"/>
        <v>4.8590300024795439E-2</v>
      </c>
      <c r="H61" s="31" t="str">
        <f>IFERROR(VLOOKUP(B61,'10yrCDS'!$B$6:$D$95,3,FALSE),"NA")</f>
        <v>NA</v>
      </c>
      <c r="I61" s="31" t="str">
        <f t="shared" si="6"/>
        <v>NA</v>
      </c>
      <c r="J61" s="39"/>
    </row>
    <row r="62" spans="2:10">
      <c r="B62" s="29" t="str">
        <f>[1]AutoGovYield!B57</f>
        <v>South Africa</v>
      </c>
      <c r="C62" s="29" t="str">
        <f>VLOOKUP($B62,AutoGovYield!$B$4:$D$73,2,FALSE)</f>
        <v>BB</v>
      </c>
      <c r="D62" s="29" t="str">
        <f>IFERROR(VLOOKUP(B62,Ratings!$B$4:$C$160,2,FALSE),"NA")</f>
        <v>Ba2</v>
      </c>
      <c r="E62" s="66" t="str">
        <f>VLOOKUP($B62,AutoGovYield!$B$4:$D$73,3,FALSE)</f>
        <v>8.665%</v>
      </c>
      <c r="F62" s="30">
        <f t="shared" si="4"/>
        <v>2.9799487560955448E-2</v>
      </c>
      <c r="G62" s="31">
        <f t="shared" si="5"/>
        <v>5.6850512439044557E-2</v>
      </c>
      <c r="H62" s="31">
        <f>IFERROR(VLOOKUP(B62,'10yrCDS'!$B$6:$D$95,3,FALSE),"NA")</f>
        <v>2.8399999999999998E-2</v>
      </c>
      <c r="I62" s="31">
        <f t="shared" si="6"/>
        <v>5.825000000000001E-2</v>
      </c>
      <c r="J62" s="39"/>
    </row>
    <row r="63" spans="2:10">
      <c r="B63" s="29" t="str">
        <f>[1]AutoGovYield!B58</f>
        <v>Mexico</v>
      </c>
      <c r="C63" s="29" t="str">
        <f>VLOOKUP($B63,AutoGovYield!$B$4:$D$73,2,FALSE)</f>
        <v>BBB</v>
      </c>
      <c r="D63" s="29" t="str">
        <f>IFERROR(VLOOKUP(B63,Ratings!$B$4:$C$160,2,FALSE),"NA")</f>
        <v>Baa2</v>
      </c>
      <c r="E63" s="66" t="str">
        <f>VLOOKUP($B63,AutoGovYield!$B$4:$D$73,3,FALSE)</f>
        <v>8.760%</v>
      </c>
      <c r="F63" s="30">
        <f t="shared" si="4"/>
        <v>1.885748822216712E-2</v>
      </c>
      <c r="G63" s="31">
        <f t="shared" si="5"/>
        <v>6.8742511777832874E-2</v>
      </c>
      <c r="H63" s="31">
        <f>IFERROR(VLOOKUP(B63,'10yrCDS'!$B$6:$D$95,3,FALSE),"NA")</f>
        <v>1.6899999999999998E-2</v>
      </c>
      <c r="I63" s="31">
        <f t="shared" si="6"/>
        <v>7.0699999999999999E-2</v>
      </c>
      <c r="J63" s="39"/>
    </row>
    <row r="64" spans="2:10">
      <c r="B64" s="29" t="str">
        <f>[1]AutoGovYield!B59</f>
        <v>Bangladesh</v>
      </c>
      <c r="C64" s="29" t="str">
        <f>VLOOKUP($B64,AutoGovYield!$B$4:$D$73,2,FALSE)</f>
        <v>B+</v>
      </c>
      <c r="D64" s="29" t="str">
        <f>IFERROR(VLOOKUP(B64,Ratings!$B$4:$C$160,2,FALSE),"NA")</f>
        <v>B2</v>
      </c>
      <c r="E64" s="66" t="str">
        <f>VLOOKUP($B64,AutoGovYield!$B$4:$D$73,3,FALSE)</f>
        <v>10.020%</v>
      </c>
      <c r="F64" s="30">
        <f t="shared" si="4"/>
        <v>5.4477188197371677E-2</v>
      </c>
      <c r="G64" s="31">
        <f t="shared" si="5"/>
        <v>4.572281180262832E-2</v>
      </c>
      <c r="H64" s="31" t="str">
        <f>IFERROR(VLOOKUP(B64,'10yrCDS'!$B$6:$D$95,3,FALSE),"NA")</f>
        <v>NA</v>
      </c>
      <c r="I64" s="31" t="str">
        <f t="shared" si="6"/>
        <v>NA</v>
      </c>
      <c r="J64" s="39"/>
    </row>
    <row r="65" spans="2:10">
      <c r="B65" s="29" t="str">
        <f>[1]AutoGovYield!B60</f>
        <v>Namibia</v>
      </c>
      <c r="C65" s="29" t="str">
        <f>VLOOKUP($B65,AutoGovYield!$B$4:$D$73,2,FALSE)</f>
        <v>NR</v>
      </c>
      <c r="D65" s="29" t="str">
        <f>IFERROR(VLOOKUP(B65,Ratings!$B$4:$C$160,2,FALSE),"NA")</f>
        <v>B1</v>
      </c>
      <c r="E65" s="66" t="str">
        <f>VLOOKUP($B65,AutoGovYield!$B$4:$D$73,3,FALSE)</f>
        <v>10.175%</v>
      </c>
      <c r="F65" s="30">
        <f t="shared" si="4"/>
        <v>4.4582827093148182E-2</v>
      </c>
      <c r="G65" s="31">
        <f t="shared" si="5"/>
        <v>5.7167172906851811E-2</v>
      </c>
      <c r="H65" s="31">
        <f>IFERROR(VLOOKUP(B65,'10yrCDS'!$B$6:$D$95,3,FALSE),"NA")</f>
        <v>3.4799999999999998E-2</v>
      </c>
      <c r="I65" s="31">
        <f t="shared" si="6"/>
        <v>6.6949999999999996E-2</v>
      </c>
      <c r="J65" s="39"/>
    </row>
    <row r="66" spans="2:10">
      <c r="B66" s="29" t="str">
        <f>[1]AutoGovYield!B61</f>
        <v>Botswana</v>
      </c>
      <c r="C66" s="29" t="str">
        <f>VLOOKUP($B66,AutoGovYield!$B$4:$D$73,2,FALSE)</f>
        <v>BBB</v>
      </c>
      <c r="D66" s="29" t="str">
        <f>IFERROR(VLOOKUP(B66,Ratings!$B$4:$C$160,2,FALSE),"NA")</f>
        <v>A3</v>
      </c>
      <c r="E66" s="66" t="str">
        <f>VLOOKUP($B66,AutoGovYield!$B$4:$D$73,3,FALSE)</f>
        <v>11.112%</v>
      </c>
      <c r="F66" s="30">
        <f t="shared" si="4"/>
        <v>1.1873233325068186E-2</v>
      </c>
      <c r="G66" s="31">
        <f t="shared" si="5"/>
        <v>9.9246766674931805E-2</v>
      </c>
      <c r="H66" s="31" t="str">
        <f>IFERROR(VLOOKUP(B66,'10yrCDS'!$B$6:$D$95,3,FALSE),"NA")</f>
        <v>NA</v>
      </c>
      <c r="I66" s="31" t="str">
        <f t="shared" si="6"/>
        <v>NA</v>
      </c>
      <c r="J66" s="39"/>
    </row>
    <row r="67" spans="2:10">
      <c r="B67" s="29" t="str">
        <f>[1]AutoGovYield!B62</f>
        <v>Sri Lanka</v>
      </c>
      <c r="C67" s="29" t="str">
        <f>VLOOKUP($B67,AutoGovYield!$B$4:$D$73,2,FALSE)</f>
        <v>CCC+</v>
      </c>
      <c r="D67" s="29" t="str">
        <f>IFERROR(VLOOKUP(B67,Ratings!$B$4:$C$160,2,FALSE),"NA")</f>
        <v>Ca</v>
      </c>
      <c r="E67" s="66" t="str">
        <f>VLOOKUP($B67,AutoGovYield!$B$4:$D$73,3,FALSE)</f>
        <v>10.830%</v>
      </c>
      <c r="F67" s="30">
        <f t="shared" si="4"/>
        <v>0.11884873749896685</v>
      </c>
      <c r="G67" s="31">
        <f t="shared" si="5"/>
        <v>-1.0548737498966856E-2</v>
      </c>
      <c r="H67" s="31">
        <f>IFERROR(VLOOKUP(B67,'10yrCDS'!$B$6:$D$95,3,FALSE),"NA")</f>
        <v>4.6899999999999997E-2</v>
      </c>
      <c r="I67" s="31">
        <f t="shared" si="6"/>
        <v>6.1399999999999996E-2</v>
      </c>
      <c r="J67" s="39"/>
    </row>
    <row r="68" spans="2:10">
      <c r="B68" s="29" t="str">
        <f>[1]AutoGovYield!B63</f>
        <v>Colombia</v>
      </c>
      <c r="C68" s="29" t="str">
        <f>VLOOKUP($B68,AutoGovYield!$B$4:$D$73,2,FALSE)</f>
        <v>BB</v>
      </c>
      <c r="D68" s="29" t="str">
        <f>IFERROR(VLOOKUP(B68,Ratings!$B$4:$C$160,2,FALSE),"NA")</f>
        <v>Baa2</v>
      </c>
      <c r="E68" s="66" t="str">
        <f>VLOOKUP($B68,AutoGovYield!$B$4:$D$73,3,FALSE)</f>
        <v>12.181%</v>
      </c>
      <c r="F68" s="30">
        <f t="shared" si="4"/>
        <v>1.885748822216712E-2</v>
      </c>
      <c r="G68" s="31">
        <f t="shared" si="5"/>
        <v>0.10295251177783288</v>
      </c>
      <c r="H68" s="31">
        <f>IFERROR(VLOOKUP(B68,'10yrCDS'!$B$6:$D$95,3,FALSE),"NA")</f>
        <v>3.3099999999999997E-2</v>
      </c>
      <c r="I68" s="31">
        <f t="shared" si="6"/>
        <v>8.8710000000000011E-2</v>
      </c>
      <c r="J68" s="39"/>
    </row>
    <row r="69" spans="2:10">
      <c r="B69" s="29" t="str">
        <f>[1]AutoGovYield!B64</f>
        <v>Pakistan</v>
      </c>
      <c r="C69" s="29" t="str">
        <f>VLOOKUP($B69,AutoGovYield!$B$4:$D$73,2,FALSE)</f>
        <v>B-</v>
      </c>
      <c r="D69" s="29" t="str">
        <f>IFERROR(VLOOKUP(B69,Ratings!$B$4:$C$160,2,FALSE),"NA")</f>
        <v>Caa2</v>
      </c>
      <c r="E69" s="66" t="str">
        <f>VLOOKUP($B69,AutoGovYield!$B$4:$D$73,3,FALSE)</f>
        <v>11.949%</v>
      </c>
      <c r="F69" s="30">
        <f t="shared" si="4"/>
        <v>8.9165654186296364E-2</v>
      </c>
      <c r="G69" s="31">
        <f t="shared" si="5"/>
        <v>3.0324345813703635E-2</v>
      </c>
      <c r="H69" s="31">
        <f>IFERROR(VLOOKUP(B69,'10yrCDS'!$B$6:$D$95,3,FALSE),"NA")</f>
        <v>7.4700000000000003E-2</v>
      </c>
      <c r="I69" s="31">
        <f t="shared" si="6"/>
        <v>4.4789999999999996E-2</v>
      </c>
      <c r="J69" s="39"/>
    </row>
    <row r="70" spans="2:10">
      <c r="B70" s="29" t="str">
        <f>[1]AutoGovYield!B65</f>
        <v>Kenya</v>
      </c>
      <c r="C70" s="29" t="str">
        <f>VLOOKUP($B70,AutoGovYield!$B$4:$D$73,2,FALSE)</f>
        <v>B</v>
      </c>
      <c r="D70" s="29" t="str">
        <f>IFERROR(VLOOKUP(B70,Ratings!$B$4:$C$160,2,FALSE),"NA")</f>
        <v>Caa1</v>
      </c>
      <c r="E70" s="66" t="str">
        <f>VLOOKUP($B70,AutoGovYield!$B$4:$D$73,3,FALSE)</f>
        <v>13.130%</v>
      </c>
      <c r="F70" s="30">
        <f t="shared" si="4"/>
        <v>7.4265910405818647E-2</v>
      </c>
      <c r="G70" s="31">
        <f t="shared" si="5"/>
        <v>5.7034089594181353E-2</v>
      </c>
      <c r="H70" s="31">
        <f>IFERROR(VLOOKUP(B70,'10yrCDS'!$B$6:$D$95,3,FALSE),"NA")</f>
        <v>6.1699999999999998E-2</v>
      </c>
      <c r="I70" s="31">
        <f t="shared" si="6"/>
        <v>6.9599999999999995E-2</v>
      </c>
      <c r="J70" s="39"/>
    </row>
    <row r="71" spans="2:10">
      <c r="B71" s="29" t="str">
        <f>[1]AutoGovYield!B66</f>
        <v>Brazil</v>
      </c>
      <c r="C71" s="29" t="str">
        <f>VLOOKUP($B71,AutoGovYield!$B$4:$D$73,2,FALSE)</f>
        <v>BB</v>
      </c>
      <c r="D71" s="29" t="str">
        <f>IFERROR(VLOOKUP(B71,Ratings!$B$4:$C$160,2,FALSE),"NA")</f>
        <v>Ba1</v>
      </c>
      <c r="E71" s="66" t="str">
        <f>VLOOKUP($B71,AutoGovYield!$B$4:$D$73,3,FALSE)</f>
        <v>13.685%</v>
      </c>
      <c r="F71" s="30">
        <f t="shared" si="4"/>
        <v>2.4794104884701216E-2</v>
      </c>
      <c r="G71" s="31">
        <f t="shared" si="5"/>
        <v>0.11205589511529879</v>
      </c>
      <c r="H71" s="31">
        <f>IFERROR(VLOOKUP(B71,'10yrCDS'!$B$6:$D$95,3,FALSE),"NA")</f>
        <v>2.3799999999999998E-2</v>
      </c>
      <c r="I71" s="31">
        <f t="shared" si="6"/>
        <v>0.11305</v>
      </c>
      <c r="J71" s="39"/>
    </row>
    <row r="72" spans="2:10">
      <c r="B72" s="29" t="str">
        <f>[1]AutoGovYield!B67</f>
        <v>Nigeria</v>
      </c>
      <c r="C72" s="29" t="str">
        <f>VLOOKUP($B72,AutoGovYield!$B$4:$D$73,2,FALSE)</f>
        <v>B-</v>
      </c>
      <c r="D72" s="29" t="str">
        <f>IFERROR(VLOOKUP(B72,Ratings!$B$4:$C$160,2,FALSE),"NA")</f>
        <v>Caa1</v>
      </c>
      <c r="E72" s="66" t="str">
        <f>VLOOKUP($B72,AutoGovYield!$B$4:$D$73,3,FALSE)</f>
        <v>15.300%</v>
      </c>
      <c r="F72" s="30">
        <f t="shared" si="4"/>
        <v>7.4265910405818647E-2</v>
      </c>
      <c r="G72" s="31">
        <f t="shared" si="5"/>
        <v>7.873408959418135E-2</v>
      </c>
      <c r="H72" s="31">
        <f>IFERROR(VLOOKUP(B72,'10yrCDS'!$B$6:$D$95,3,FALSE),"NA")</f>
        <v>5.8799999999999998E-2</v>
      </c>
      <c r="I72" s="31">
        <f t="shared" si="6"/>
        <v>9.4200000000000006E-2</v>
      </c>
      <c r="J72" s="39"/>
    </row>
    <row r="73" spans="2:10">
      <c r="B73" s="29" t="str">
        <f>[1]AutoGovYield!B68</f>
        <v>Uganda</v>
      </c>
      <c r="C73" s="29" t="str">
        <f>VLOOKUP($B73,AutoGovYield!$B$4:$D$73,2,FALSE)</f>
        <v>B-</v>
      </c>
      <c r="D73" s="29" t="str">
        <f>IFERROR(VLOOKUP(B73,Ratings!$B$4:$C$160,2,FALSE),"NA")</f>
        <v>B3</v>
      </c>
      <c r="E73" s="66" t="str">
        <f>VLOOKUP($B73,AutoGovYield!$B$4:$D$73,3,FALSE)</f>
        <v>16.907%</v>
      </c>
      <c r="F73" s="30">
        <f t="shared" ref="F73:F78" si="7">IFERROR(VLOOKUP(D73,$L$9:$M$31,2,0)/10000,"NA")</f>
        <v>6.4371549301595152E-2</v>
      </c>
      <c r="G73" s="31">
        <f t="shared" ref="G73:G78" si="8">IFERROR(E73-F73,"NA")</f>
        <v>0.10469845069840485</v>
      </c>
      <c r="H73" s="31" t="str">
        <f>IFERROR(VLOOKUP(B73,'10yrCDS'!$B$6:$D$95,3,FALSE),"NA")</f>
        <v>NA</v>
      </c>
      <c r="I73" s="31" t="str">
        <f t="shared" ref="I73:I78" si="9">IFERROR(E73-H73,"NA")</f>
        <v>NA</v>
      </c>
      <c r="J73" s="39"/>
    </row>
    <row r="74" spans="2:10">
      <c r="B74" s="29" t="str">
        <f>[1]AutoGovYield!B69</f>
        <v>Kazakhstan</v>
      </c>
      <c r="C74" s="29" t="str">
        <f>VLOOKUP($B74,AutoGovYield!$B$4:$D$73,2,FALSE)</f>
        <v>BBB-</v>
      </c>
      <c r="D74" s="29" t="str">
        <f>IFERROR(VLOOKUP(B74,Ratings!$B$4:$C$160,2,FALSE),"NA")</f>
        <v>Baa1</v>
      </c>
      <c r="E74" s="66" t="str">
        <f>VLOOKUP($B74,AutoGovYield!$B$4:$D$73,3,FALSE)</f>
        <v>16.961%</v>
      </c>
      <c r="F74" s="30">
        <f t="shared" si="7"/>
        <v>1.5830977766757577E-2</v>
      </c>
      <c r="G74" s="31">
        <f t="shared" si="8"/>
        <v>0.15377902223324244</v>
      </c>
      <c r="H74" s="31">
        <f>IFERROR(VLOOKUP(B74,'10yrCDS'!$B$6:$D$95,3,FALSE),"NA")</f>
        <v>1.29E-2</v>
      </c>
      <c r="I74" s="31">
        <f t="shared" si="9"/>
        <v>0.15671000000000002</v>
      </c>
      <c r="J74" s="39"/>
    </row>
    <row r="75" spans="2:10">
      <c r="B75" s="29" t="str">
        <f>[1]AutoGovYield!B70</f>
        <v>Zambia</v>
      </c>
      <c r="C75" s="29" t="str">
        <f>VLOOKUP($B75,AutoGovYield!$B$4:$D$73,2,FALSE)</f>
        <v>SD</v>
      </c>
      <c r="D75" s="29" t="str">
        <f>IFERROR(VLOOKUP(B75,Ratings!$B$4:$C$160,2,FALSE),"NA")</f>
        <v>Caa2</v>
      </c>
      <c r="E75" s="66" t="str">
        <f>VLOOKUP($B75,AutoGovYield!$B$4:$D$73,3,FALSE)</f>
        <v>18.210%</v>
      </c>
      <c r="F75" s="30">
        <f t="shared" si="7"/>
        <v>8.9165654186296364E-2</v>
      </c>
      <c r="G75" s="31">
        <f t="shared" si="8"/>
        <v>9.2934345813703648E-2</v>
      </c>
      <c r="H75" s="31" t="str">
        <f>IFERROR(VLOOKUP(B75,'10yrCDS'!$B$6:$D$95,3,FALSE),"NA")</f>
        <v>NA</v>
      </c>
      <c r="I75" s="31" t="str">
        <f t="shared" si="9"/>
        <v>NA</v>
      </c>
      <c r="J75" s="39"/>
    </row>
    <row r="76" spans="2:10">
      <c r="B76" s="29" t="str">
        <f>[1]AutoGovYield!B71</f>
        <v>Ukraine</v>
      </c>
      <c r="C76" s="29" t="str">
        <f>VLOOKUP($B76,AutoGovYield!$B$4:$D$73,2,FALSE)</f>
        <v>SD</v>
      </c>
      <c r="D76" s="29" t="str">
        <f>IFERROR(VLOOKUP(B76,Ratings!$B$4:$C$160,2,FALSE),"NA")</f>
        <v>Ca</v>
      </c>
      <c r="E76" s="66" t="str">
        <f>VLOOKUP($B76,AutoGovYield!$B$4:$D$73,3,FALSE)</f>
        <v>19.280%</v>
      </c>
      <c r="F76" s="30">
        <f t="shared" si="7"/>
        <v>0.11884873749896685</v>
      </c>
      <c r="G76" s="31">
        <f t="shared" si="8"/>
        <v>7.3951262501033149E-2</v>
      </c>
      <c r="H76" s="31" t="str">
        <f>IFERROR(VLOOKUP(B76,'10yrCDS'!$B$6:$D$95,3,FALSE),"NA")</f>
        <v>NA</v>
      </c>
      <c r="I76" s="31" t="str">
        <f t="shared" si="9"/>
        <v>NA</v>
      </c>
      <c r="J76" s="39"/>
    </row>
    <row r="77" spans="2:10">
      <c r="B77" s="29" t="str">
        <f>[1]AutoGovYield!B72</f>
        <v>Egypt</v>
      </c>
      <c r="C77" s="29" t="str">
        <f>VLOOKUP($B77,AutoGovYield!$B$4:$D$73,2,FALSE)</f>
        <v>B</v>
      </c>
      <c r="D77" s="29" t="str">
        <f>IFERROR(VLOOKUP(B77,Ratings!$B$4:$C$160,2,FALSE),"NA")</f>
        <v>Caa1</v>
      </c>
      <c r="E77" s="66" t="str">
        <f>VLOOKUP($B77,AutoGovYield!$B$4:$D$73,3,FALSE)</f>
        <v>19.910%</v>
      </c>
      <c r="F77" s="30">
        <f t="shared" si="7"/>
        <v>7.4265910405818647E-2</v>
      </c>
      <c r="G77" s="31">
        <f t="shared" si="8"/>
        <v>0.12483408959418135</v>
      </c>
      <c r="H77" s="31">
        <f>IFERROR(VLOOKUP(B77,'10yrCDS'!$B$6:$D$95,3,FALSE),"NA")</f>
        <v>6.4400000000000013E-2</v>
      </c>
      <c r="I77" s="31">
        <f t="shared" si="9"/>
        <v>0.13469999999999999</v>
      </c>
      <c r="J77" s="39"/>
    </row>
    <row r="78" spans="2:10">
      <c r="B78" s="29" t="str">
        <f>[1]AutoGovYield!B73</f>
        <v>Turkey</v>
      </c>
      <c r="C78" s="29" t="str">
        <f>VLOOKUP($B78,AutoGovYield!$B$4:$D$73,2,FALSE)</f>
        <v>BB-</v>
      </c>
      <c r="D78" s="29" t="str">
        <f>IFERROR(VLOOKUP(B78,Ratings!$B$4:$C$160,2,FALSE),"NA")</f>
        <v>B1</v>
      </c>
      <c r="E78" s="66" t="str">
        <f>VLOOKUP($B78,AutoGovYield!$B$4:$D$73,3,FALSE)</f>
        <v>32.760%</v>
      </c>
      <c r="F78" s="30">
        <f t="shared" si="7"/>
        <v>4.4582827093148182E-2</v>
      </c>
      <c r="G78" s="31">
        <f t="shared" si="8"/>
        <v>0.2830171729068518</v>
      </c>
      <c r="H78" s="31">
        <f>IFERROR(VLOOKUP(B78,'10yrCDS'!$B$6:$D$95,3,FALSE),"NA")</f>
        <v>3.6299999999999999E-2</v>
      </c>
      <c r="I78" s="31">
        <f t="shared" si="9"/>
        <v>0.2913</v>
      </c>
      <c r="J78" s="39"/>
    </row>
  </sheetData>
  <mergeCells count="2">
    <mergeCell ref="F4:G4"/>
    <mergeCell ref="H4:I4"/>
  </mergeCells>
  <conditionalFormatting sqref="C9:D78">
    <cfRule type="containsText" dxfId="4" priority="1" operator="containsText" text=" ">
      <formula>NOT(ISERROR(SEARCH(" ",C9)))</formula>
    </cfRule>
    <cfRule type="containsText" dxfId="3" priority="2" operator="containsText" text="NA">
      <formula>NOT(ISERROR(SEARCH("NA",C9)))</formula>
    </cfRule>
    <cfRule type="containsText" dxfId="2" priority="5" operator="containsText" text="NR">
      <formula>NOT(ISERROR(SEARCH("NR",C9)))</formula>
    </cfRule>
  </conditionalFormatting>
  <conditionalFormatting sqref="D9:D78">
    <cfRule type="containsText" dxfId="1" priority="7" operator="containsText" text="na">
      <formula>NOT(ISERROR(SEARCH("na",D9)))</formula>
    </cfRule>
  </conditionalFormatting>
  <conditionalFormatting sqref="F9:I78">
    <cfRule type="containsText" dxfId="0" priority="3" operator="containsText" text="NA">
      <formula>NOT(ISERROR(SEARCH("NA",F9)))</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0B473-387B-409F-BA1B-7AC752898253}">
  <dimension ref="B3:D95"/>
  <sheetViews>
    <sheetView workbookViewId="0">
      <selection activeCell="D5" sqref="D5"/>
    </sheetView>
  </sheetViews>
  <sheetFormatPr defaultRowHeight="15"/>
  <cols>
    <col min="2" max="2" width="15.85546875" bestFit="1" customWidth="1"/>
    <col min="3" max="3" width="11.5703125" bestFit="1" customWidth="1"/>
    <col min="4" max="4" width="31.28515625" bestFit="1" customWidth="1"/>
  </cols>
  <sheetData>
    <row r="3" spans="2:4" ht="15.75">
      <c r="B3" s="43" t="s">
        <v>22</v>
      </c>
      <c r="C3" s="53">
        <v>1.6999999999999999E-3</v>
      </c>
      <c r="D3" s="51"/>
    </row>
    <row r="4" spans="2:4" ht="15.75">
      <c r="B4" s="50"/>
      <c r="C4" s="44"/>
      <c r="D4" s="52"/>
    </row>
    <row r="5" spans="2:4" ht="15.75">
      <c r="B5" s="40" t="s">
        <v>15</v>
      </c>
      <c r="C5" s="41">
        <v>44377</v>
      </c>
      <c r="D5" s="42" t="s">
        <v>326</v>
      </c>
    </row>
    <row r="6" spans="2:4" ht="15.75">
      <c r="B6" s="43" t="s">
        <v>198</v>
      </c>
      <c r="C6" s="44">
        <v>6.7999999999999996E-3</v>
      </c>
      <c r="D6" s="45">
        <f>IF(C6="NA","NA",IF(C6&lt;$C$3,0,C6-$C$3))</f>
        <v>5.0999999999999995E-3</v>
      </c>
    </row>
    <row r="7" spans="2:4" ht="15.75">
      <c r="B7" s="43" t="s">
        <v>327</v>
      </c>
      <c r="C7" s="44">
        <v>1.4E-2</v>
      </c>
      <c r="D7" s="45">
        <f t="shared" ref="D7:D70" si="0">IF(C7="NA","NA",IF(C7&lt;$C$3,0,C7-$C$3))</f>
        <v>1.23E-2</v>
      </c>
    </row>
    <row r="8" spans="2:4" ht="15.75">
      <c r="B8" s="43" t="s">
        <v>205</v>
      </c>
      <c r="C8" s="44">
        <v>7.1599999999999997E-2</v>
      </c>
      <c r="D8" s="45">
        <f t="shared" si="0"/>
        <v>6.9900000000000004E-2</v>
      </c>
    </row>
    <row r="9" spans="2:4" ht="15.75">
      <c r="B9" s="43" t="s">
        <v>207</v>
      </c>
      <c r="C9" s="46">
        <v>8.3699999999999997E-2</v>
      </c>
      <c r="D9" s="45">
        <f t="shared" si="0"/>
        <v>8.2000000000000003E-2</v>
      </c>
    </row>
    <row r="10" spans="2:4" ht="15.75">
      <c r="B10" s="43" t="s">
        <v>96</v>
      </c>
      <c r="C10" s="44">
        <v>1.8E-3</v>
      </c>
      <c r="D10" s="45">
        <f t="shared" si="0"/>
        <v>1.0000000000000005E-4</v>
      </c>
    </row>
    <row r="11" spans="2:4" ht="15.75">
      <c r="B11" s="43" t="s">
        <v>59</v>
      </c>
      <c r="C11" s="44">
        <v>3.2000000000000002E-3</v>
      </c>
      <c r="D11" s="45">
        <f t="shared" si="0"/>
        <v>1.5000000000000002E-3</v>
      </c>
    </row>
    <row r="12" spans="2:4" ht="15.75">
      <c r="B12" s="43" t="s">
        <v>111</v>
      </c>
      <c r="C12" s="44">
        <v>2.7900000000000001E-2</v>
      </c>
      <c r="D12" s="45">
        <f t="shared" si="0"/>
        <v>2.6200000000000001E-2</v>
      </c>
    </row>
    <row r="13" spans="2:4" ht="15.75">
      <c r="B13" s="43" t="s">
        <v>70</v>
      </c>
      <c r="C13" s="44">
        <v>5.0000000000000001E-3</v>
      </c>
      <c r="D13" s="45">
        <f t="shared" si="0"/>
        <v>3.3E-3</v>
      </c>
    </row>
    <row r="14" spans="2:4" ht="15.75">
      <c r="B14" s="43" t="s">
        <v>148</v>
      </c>
      <c r="C14" s="44">
        <v>2.5499999999999998E-2</v>
      </c>
      <c r="D14" s="45">
        <f t="shared" si="0"/>
        <v>2.3799999999999998E-2</v>
      </c>
    </row>
    <row r="15" spans="2:4" ht="15.75">
      <c r="B15" s="43" t="s">
        <v>84</v>
      </c>
      <c r="C15" s="44">
        <v>1.12E-2</v>
      </c>
      <c r="D15" s="45">
        <f t="shared" si="0"/>
        <v>9.4999999999999998E-3</v>
      </c>
    </row>
    <row r="16" spans="2:4" ht="15.75">
      <c r="B16" s="43" t="s">
        <v>240</v>
      </c>
      <c r="C16" s="44">
        <v>8.0299999999999996E-2</v>
      </c>
      <c r="D16" s="45">
        <f t="shared" si="0"/>
        <v>7.8600000000000003E-2</v>
      </c>
    </row>
    <row r="17" spans="2:4" ht="15.75">
      <c r="B17" s="43" t="s">
        <v>69</v>
      </c>
      <c r="C17" s="44">
        <v>3.7000000000000002E-3</v>
      </c>
      <c r="D17" s="45">
        <f t="shared" si="0"/>
        <v>2E-3</v>
      </c>
    </row>
    <row r="18" spans="2:4" ht="15.75">
      <c r="B18" s="43" t="s">
        <v>106</v>
      </c>
      <c r="C18" s="44">
        <v>1.04E-2</v>
      </c>
      <c r="D18" s="45">
        <f t="shared" si="0"/>
        <v>8.6999999999999994E-3</v>
      </c>
    </row>
    <row r="19" spans="2:4" ht="15.75">
      <c r="B19" s="43" t="s">
        <v>37</v>
      </c>
      <c r="C19" s="44">
        <v>7.4999999999999997E-3</v>
      </c>
      <c r="D19" s="45">
        <f t="shared" si="0"/>
        <v>5.7999999999999996E-3</v>
      </c>
    </row>
    <row r="20" spans="2:4" ht="15.75">
      <c r="B20" s="43" t="s">
        <v>138</v>
      </c>
      <c r="C20" s="44">
        <v>3.4799999999999998E-2</v>
      </c>
      <c r="D20" s="45">
        <f t="shared" si="0"/>
        <v>3.3099999999999997E-2</v>
      </c>
    </row>
    <row r="21" spans="2:4" ht="15.75">
      <c r="B21" s="43" t="s">
        <v>250</v>
      </c>
      <c r="C21" s="44">
        <v>2.5000000000000001E-2</v>
      </c>
      <c r="D21" s="45">
        <f t="shared" si="0"/>
        <v>2.3300000000000001E-2</v>
      </c>
    </row>
    <row r="22" spans="2:4" ht="15.75">
      <c r="B22" s="43" t="s">
        <v>67</v>
      </c>
      <c r="C22" s="44">
        <v>1.24E-2</v>
      </c>
      <c r="D22" s="45">
        <f t="shared" si="0"/>
        <v>1.0699999999999999E-2</v>
      </c>
    </row>
    <row r="23" spans="2:4" ht="15.75">
      <c r="B23" s="43" t="s">
        <v>63</v>
      </c>
      <c r="C23" s="44">
        <v>8.2000000000000007E-3</v>
      </c>
      <c r="D23" s="45">
        <f t="shared" si="0"/>
        <v>6.5000000000000006E-3</v>
      </c>
    </row>
    <row r="24" spans="2:4" ht="15.75">
      <c r="B24" s="43" t="s">
        <v>99</v>
      </c>
      <c r="C24" s="44">
        <v>5.4000000000000003E-3</v>
      </c>
      <c r="D24" s="45">
        <f t="shared" si="0"/>
        <v>3.7000000000000002E-3</v>
      </c>
    </row>
    <row r="25" spans="2:4" ht="15.75">
      <c r="B25" s="43" t="s">
        <v>43</v>
      </c>
      <c r="C25" s="44">
        <v>2.0999999999999999E-3</v>
      </c>
      <c r="D25" s="45">
        <f t="shared" si="0"/>
        <v>3.9999999999999996E-4</v>
      </c>
    </row>
    <row r="26" spans="2:4" ht="15.75">
      <c r="B26" s="43" t="s">
        <v>328</v>
      </c>
      <c r="C26" s="44">
        <v>9.7999999999999997E-3</v>
      </c>
      <c r="D26" s="45">
        <f t="shared" si="0"/>
        <v>8.0999999999999996E-3</v>
      </c>
    </row>
    <row r="27" spans="2:4" ht="15.75">
      <c r="B27" s="47" t="s">
        <v>256</v>
      </c>
      <c r="C27" s="46">
        <v>0.1242</v>
      </c>
      <c r="D27" s="45">
        <f t="shared" si="0"/>
        <v>0.12250000000000001</v>
      </c>
    </row>
    <row r="28" spans="2:4" ht="15.75">
      <c r="B28" s="47" t="s">
        <v>160</v>
      </c>
      <c r="C28" s="44">
        <v>6.6100000000000006E-2</v>
      </c>
      <c r="D28" s="45">
        <f t="shared" si="0"/>
        <v>6.4400000000000013E-2</v>
      </c>
    </row>
    <row r="29" spans="2:4" ht="15.75">
      <c r="B29" s="43" t="s">
        <v>258</v>
      </c>
      <c r="C29" s="44">
        <v>4.4699999999999997E-2</v>
      </c>
      <c r="D29" s="45">
        <f t="shared" si="0"/>
        <v>4.2999999999999997E-2</v>
      </c>
    </row>
    <row r="30" spans="2:4" ht="15.75">
      <c r="B30" s="43" t="s">
        <v>260</v>
      </c>
      <c r="C30" s="44">
        <v>9.2999999999999992E-3</v>
      </c>
      <c r="D30" s="45">
        <f t="shared" si="0"/>
        <v>7.5999999999999991E-3</v>
      </c>
    </row>
    <row r="31" spans="2:4" ht="15.75">
      <c r="B31" s="43" t="s">
        <v>261</v>
      </c>
      <c r="C31" s="46" t="s">
        <v>329</v>
      </c>
      <c r="D31" s="45" t="str">
        <f t="shared" si="0"/>
        <v>NA</v>
      </c>
    </row>
    <row r="32" spans="2:4" ht="15.75">
      <c r="B32" s="43" t="s">
        <v>66</v>
      </c>
      <c r="C32" s="44">
        <v>3.2000000000000002E-3</v>
      </c>
      <c r="D32" s="45">
        <f t="shared" si="0"/>
        <v>1.5000000000000002E-3</v>
      </c>
    </row>
    <row r="33" spans="2:4" ht="15.75">
      <c r="B33" s="43" t="s">
        <v>78</v>
      </c>
      <c r="C33" s="44">
        <v>6.7999999999999996E-3</v>
      </c>
      <c r="D33" s="45">
        <f t="shared" si="0"/>
        <v>5.0999999999999995E-3</v>
      </c>
    </row>
    <row r="34" spans="2:4" ht="15.75">
      <c r="B34" s="43" t="s">
        <v>263</v>
      </c>
      <c r="C34" s="44">
        <v>7.8600000000000003E-2</v>
      </c>
      <c r="D34" s="45">
        <f t="shared" si="0"/>
        <v>7.690000000000001E-2</v>
      </c>
    </row>
    <row r="35" spans="2:4" ht="15.75">
      <c r="B35" s="43" t="s">
        <v>50</v>
      </c>
      <c r="C35" s="44">
        <v>2.3999999999999998E-3</v>
      </c>
      <c r="D35" s="45">
        <f t="shared" si="0"/>
        <v>6.9999999999999988E-4</v>
      </c>
    </row>
    <row r="36" spans="2:4" ht="15.75">
      <c r="B36" s="43" t="s">
        <v>74</v>
      </c>
      <c r="C36" s="44">
        <v>1.04E-2</v>
      </c>
      <c r="D36" s="45">
        <f t="shared" si="0"/>
        <v>8.6999999999999994E-3</v>
      </c>
    </row>
    <row r="37" spans="2:4" ht="15.75">
      <c r="B37" s="43" t="s">
        <v>267</v>
      </c>
      <c r="C37" s="44">
        <v>2.2100000000000002E-2</v>
      </c>
      <c r="D37" s="45">
        <f t="shared" si="0"/>
        <v>2.0400000000000001E-2</v>
      </c>
    </row>
    <row r="38" spans="2:4" ht="15.75">
      <c r="B38" s="43" t="s">
        <v>60</v>
      </c>
      <c r="C38" s="44">
        <v>5.8999999999999999E-3</v>
      </c>
      <c r="D38" s="45">
        <f t="shared" si="0"/>
        <v>4.1999999999999997E-3</v>
      </c>
    </row>
    <row r="39" spans="2:4" ht="15.75">
      <c r="B39" s="43" t="s">
        <v>118</v>
      </c>
      <c r="C39" s="44">
        <v>1.83E-2</v>
      </c>
      <c r="D39" s="45">
        <f t="shared" si="0"/>
        <v>1.66E-2</v>
      </c>
    </row>
    <row r="40" spans="2:4" ht="15.75">
      <c r="B40" s="43" t="s">
        <v>115</v>
      </c>
      <c r="C40" s="44">
        <v>4.7000000000000002E-3</v>
      </c>
      <c r="D40" s="45">
        <f t="shared" si="0"/>
        <v>3.0000000000000001E-3</v>
      </c>
    </row>
    <row r="41" spans="2:4" ht="15.75">
      <c r="B41" s="43" t="s">
        <v>116</v>
      </c>
      <c r="C41" s="44">
        <v>8.3999999999999995E-3</v>
      </c>
      <c r="D41" s="45">
        <f t="shared" si="0"/>
        <v>6.6999999999999994E-3</v>
      </c>
    </row>
    <row r="42" spans="2:4" ht="15.75">
      <c r="B42" s="43" t="s">
        <v>114</v>
      </c>
      <c r="C42" s="44">
        <v>1.34E-2</v>
      </c>
      <c r="D42" s="45">
        <f t="shared" si="0"/>
        <v>1.17E-2</v>
      </c>
    </row>
    <row r="43" spans="2:4" ht="15.75">
      <c r="B43" s="43" t="s">
        <v>271</v>
      </c>
      <c r="C43" s="44">
        <v>4.0500000000000001E-2</v>
      </c>
      <c r="D43" s="45">
        <f t="shared" si="0"/>
        <v>3.8800000000000001E-2</v>
      </c>
    </row>
    <row r="44" spans="2:4" ht="15.75">
      <c r="B44" s="43" t="s">
        <v>54</v>
      </c>
      <c r="C44" s="44">
        <v>3.8E-3</v>
      </c>
      <c r="D44" s="45">
        <f t="shared" si="0"/>
        <v>2.1000000000000003E-3</v>
      </c>
    </row>
    <row r="45" spans="2:4" ht="15.75">
      <c r="B45" s="43" t="s">
        <v>86</v>
      </c>
      <c r="C45" s="44">
        <v>1.3899999999999999E-2</v>
      </c>
      <c r="D45" s="45">
        <f t="shared" si="0"/>
        <v>1.2199999999999999E-2</v>
      </c>
    </row>
    <row r="46" spans="2:4" ht="15.75">
      <c r="B46" s="43" t="s">
        <v>77</v>
      </c>
      <c r="C46" s="44">
        <v>9.7999999999999997E-3</v>
      </c>
      <c r="D46" s="45">
        <f t="shared" si="0"/>
        <v>8.0999999999999996E-3</v>
      </c>
    </row>
    <row r="47" spans="2:4" ht="15.75">
      <c r="B47" s="43" t="s">
        <v>30</v>
      </c>
      <c r="C47" s="44">
        <v>3.5999999999999999E-3</v>
      </c>
      <c r="D47" s="45">
        <f t="shared" si="0"/>
        <v>1.9E-3</v>
      </c>
    </row>
    <row r="48" spans="2:4" ht="15.75">
      <c r="B48" s="43" t="s">
        <v>154</v>
      </c>
      <c r="C48" s="44">
        <v>1.46E-2</v>
      </c>
      <c r="D48" s="45">
        <f t="shared" si="0"/>
        <v>1.29E-2</v>
      </c>
    </row>
    <row r="49" spans="2:4" ht="15.75">
      <c r="B49" s="43" t="s">
        <v>144</v>
      </c>
      <c r="C49" s="44">
        <v>6.3399999999999998E-2</v>
      </c>
      <c r="D49" s="45">
        <f t="shared" si="0"/>
        <v>6.1699999999999998E-2</v>
      </c>
    </row>
    <row r="50" spans="2:4" ht="15.75">
      <c r="B50" s="43" t="s">
        <v>277</v>
      </c>
      <c r="C50" s="44">
        <v>3.7000000000000002E-3</v>
      </c>
      <c r="D50" s="45">
        <f t="shared" si="0"/>
        <v>2E-3</v>
      </c>
    </row>
    <row r="51" spans="2:4" ht="15.75">
      <c r="B51" s="43" t="s">
        <v>278</v>
      </c>
      <c r="C51" s="44">
        <v>8.6999999999999994E-3</v>
      </c>
      <c r="D51" s="45">
        <f t="shared" si="0"/>
        <v>6.9999999999999993E-3</v>
      </c>
    </row>
    <row r="52" spans="2:4" ht="15.75">
      <c r="B52" s="43" t="s">
        <v>282</v>
      </c>
      <c r="C52" s="44">
        <v>9.7999999999999997E-3</v>
      </c>
      <c r="D52" s="45">
        <f t="shared" si="0"/>
        <v>8.0999999999999996E-3</v>
      </c>
    </row>
    <row r="53" spans="2:4" ht="15.75">
      <c r="B53" s="43" t="s">
        <v>283</v>
      </c>
      <c r="C53" s="44" t="s">
        <v>329</v>
      </c>
      <c r="D53" s="45" t="str">
        <f t="shared" si="0"/>
        <v>NA</v>
      </c>
    </row>
    <row r="54" spans="2:4" ht="15.75">
      <c r="B54" s="43" t="s">
        <v>79</v>
      </c>
      <c r="C54" s="44">
        <v>8.9999999999999993E-3</v>
      </c>
      <c r="D54" s="45">
        <f t="shared" si="0"/>
        <v>7.2999999999999992E-3</v>
      </c>
    </row>
    <row r="55" spans="2:4" ht="15.75">
      <c r="B55" s="43" t="s">
        <v>81</v>
      </c>
      <c r="C55" s="44">
        <v>8.0999999999999996E-3</v>
      </c>
      <c r="D55" s="45">
        <f t="shared" si="0"/>
        <v>6.3999999999999994E-3</v>
      </c>
    </row>
    <row r="56" spans="2:4" ht="15.75">
      <c r="B56" s="43" t="s">
        <v>126</v>
      </c>
      <c r="C56" s="44">
        <v>1.8599999999999998E-2</v>
      </c>
      <c r="D56" s="45">
        <f t="shared" si="0"/>
        <v>1.6899999999999998E-2</v>
      </c>
    </row>
    <row r="57" spans="2:4" ht="15.75">
      <c r="B57" s="43" t="s">
        <v>292</v>
      </c>
      <c r="C57" s="44">
        <v>4.3799999999999999E-2</v>
      </c>
      <c r="D57" s="45">
        <f t="shared" si="0"/>
        <v>4.2099999999999999E-2</v>
      </c>
    </row>
    <row r="58" spans="2:4" ht="15.75">
      <c r="B58" s="43" t="s">
        <v>56</v>
      </c>
      <c r="C58" s="44">
        <v>1.6E-2</v>
      </c>
      <c r="D58" s="45">
        <f t="shared" si="0"/>
        <v>1.43E-2</v>
      </c>
    </row>
    <row r="59" spans="2:4" ht="15.75">
      <c r="B59" s="43" t="s">
        <v>132</v>
      </c>
      <c r="C59" s="44">
        <v>3.6499999999999998E-2</v>
      </c>
      <c r="D59" s="45">
        <f t="shared" si="0"/>
        <v>3.4799999999999998E-2</v>
      </c>
    </row>
    <row r="60" spans="2:4" ht="15.75">
      <c r="B60" s="47" t="s">
        <v>53</v>
      </c>
      <c r="C60" s="46">
        <v>2.5000000000000001E-3</v>
      </c>
      <c r="D60" s="45">
        <f t="shared" si="0"/>
        <v>8.0000000000000015E-4</v>
      </c>
    </row>
    <row r="61" spans="2:4" ht="15.75">
      <c r="B61" s="43" t="s">
        <v>93</v>
      </c>
      <c r="C61" s="44">
        <v>2.3E-3</v>
      </c>
      <c r="D61" s="45">
        <f t="shared" si="0"/>
        <v>6.0000000000000006E-4</v>
      </c>
    </row>
    <row r="62" spans="2:4" ht="15.75">
      <c r="B62" s="43" t="s">
        <v>298</v>
      </c>
      <c r="C62" s="44">
        <v>6.3700000000000007E-2</v>
      </c>
      <c r="D62" s="45">
        <f t="shared" si="0"/>
        <v>6.2000000000000006E-2</v>
      </c>
    </row>
    <row r="63" spans="2:4" ht="15.75">
      <c r="B63" s="43" t="s">
        <v>150</v>
      </c>
      <c r="C63" s="44">
        <v>6.0499999999999998E-2</v>
      </c>
      <c r="D63" s="45">
        <f t="shared" si="0"/>
        <v>5.8799999999999998E-2</v>
      </c>
    </row>
    <row r="64" spans="2:4" ht="15.75">
      <c r="B64" s="43" t="s">
        <v>92</v>
      </c>
      <c r="C64" s="44">
        <v>2.2000000000000001E-3</v>
      </c>
      <c r="D64" s="45">
        <f t="shared" si="0"/>
        <v>5.0000000000000023E-4</v>
      </c>
    </row>
    <row r="65" spans="2:4" ht="15.75">
      <c r="B65" s="43" t="s">
        <v>300</v>
      </c>
      <c r="C65" s="44">
        <v>1.66E-2</v>
      </c>
      <c r="D65" s="45">
        <f t="shared" si="0"/>
        <v>1.49E-2</v>
      </c>
    </row>
    <row r="66" spans="2:4" ht="15.75">
      <c r="B66" s="43" t="s">
        <v>141</v>
      </c>
      <c r="C66" s="48">
        <v>7.6399999999999996E-2</v>
      </c>
      <c r="D66" s="45">
        <f t="shared" si="0"/>
        <v>7.4700000000000003E-2</v>
      </c>
    </row>
    <row r="67" spans="2:4" ht="15.75">
      <c r="B67" s="43" t="s">
        <v>301</v>
      </c>
      <c r="C67" s="44">
        <v>2.9600000000000001E-2</v>
      </c>
      <c r="D67" s="45">
        <f t="shared" si="0"/>
        <v>2.7900000000000001E-2</v>
      </c>
    </row>
    <row r="68" spans="2:4" ht="15.75">
      <c r="B68" s="43" t="s">
        <v>104</v>
      </c>
      <c r="C68" s="44">
        <v>1.3899999999999999E-2</v>
      </c>
      <c r="D68" s="45">
        <f t="shared" si="0"/>
        <v>1.2199999999999999E-2</v>
      </c>
    </row>
    <row r="69" spans="2:4" ht="15.75">
      <c r="B69" s="43" t="s">
        <v>113</v>
      </c>
      <c r="C69" s="44">
        <v>1.15E-2</v>
      </c>
      <c r="D69" s="45">
        <f t="shared" si="0"/>
        <v>9.7999999999999997E-3</v>
      </c>
    </row>
    <row r="70" spans="2:4" ht="15.75">
      <c r="B70" s="43" t="s">
        <v>105</v>
      </c>
      <c r="C70" s="44">
        <v>1.0999999999999999E-2</v>
      </c>
      <c r="D70" s="45">
        <f t="shared" si="0"/>
        <v>9.2999999999999992E-3</v>
      </c>
    </row>
    <row r="71" spans="2:4" ht="15.75">
      <c r="B71" s="43" t="s">
        <v>65</v>
      </c>
      <c r="C71" s="44">
        <v>5.4999999999999997E-3</v>
      </c>
      <c r="D71" s="45">
        <f t="shared" ref="D71:D95" si="1">IF(C71="NA","NA",IF(C71&lt;$C$3,0,C71-$C$3))</f>
        <v>3.7999999999999996E-3</v>
      </c>
    </row>
    <row r="72" spans="2:4" ht="15.75">
      <c r="B72" s="43" t="s">
        <v>94</v>
      </c>
      <c r="C72" s="44">
        <v>6.7999999999999996E-3</v>
      </c>
      <c r="D72" s="45">
        <f t="shared" si="1"/>
        <v>5.0999999999999995E-3</v>
      </c>
    </row>
    <row r="73" spans="2:4" ht="15.75">
      <c r="B73" s="43" t="s">
        <v>120</v>
      </c>
      <c r="C73" s="44">
        <v>2.6700000000000002E-2</v>
      </c>
      <c r="D73" s="45">
        <f t="shared" si="1"/>
        <v>2.5000000000000001E-2</v>
      </c>
    </row>
    <row r="74" spans="2:4" ht="15.75">
      <c r="B74" s="43" t="s">
        <v>330</v>
      </c>
      <c r="C74" s="44" t="s">
        <v>329</v>
      </c>
      <c r="D74" s="45" t="str">
        <f t="shared" si="1"/>
        <v>NA</v>
      </c>
    </row>
    <row r="75" spans="2:4" ht="15.75">
      <c r="B75" s="43" t="s">
        <v>306</v>
      </c>
      <c r="C75" s="44">
        <v>5.4300000000000001E-2</v>
      </c>
      <c r="D75" s="45">
        <f t="shared" si="1"/>
        <v>5.2600000000000001E-2</v>
      </c>
    </row>
    <row r="76" spans="2:4" ht="15.75">
      <c r="B76" s="43" t="s">
        <v>307</v>
      </c>
      <c r="C76" s="44">
        <v>1.12E-2</v>
      </c>
      <c r="D76" s="45">
        <f t="shared" si="1"/>
        <v>9.4999999999999998E-3</v>
      </c>
    </row>
    <row r="77" spans="2:4" ht="15.75">
      <c r="B77" s="43" t="s">
        <v>308</v>
      </c>
      <c r="C77" s="44">
        <v>7.8299999999999995E-2</v>
      </c>
      <c r="D77" s="45">
        <f t="shared" si="1"/>
        <v>7.6600000000000001E-2</v>
      </c>
    </row>
    <row r="78" spans="2:4" ht="15.75">
      <c r="B78" s="43" t="s">
        <v>102</v>
      </c>
      <c r="C78" s="44">
        <v>2.3E-2</v>
      </c>
      <c r="D78" s="45">
        <f t="shared" si="1"/>
        <v>2.1299999999999999E-2</v>
      </c>
    </row>
    <row r="79" spans="2:4" ht="15.75">
      <c r="B79" s="43" t="s">
        <v>76</v>
      </c>
      <c r="C79" s="44">
        <v>6.1000000000000004E-3</v>
      </c>
      <c r="D79" s="45">
        <f t="shared" si="1"/>
        <v>4.4000000000000003E-3</v>
      </c>
    </row>
    <row r="80" spans="2:4" ht="15.75">
      <c r="B80" s="43" t="s">
        <v>62</v>
      </c>
      <c r="C80" s="44">
        <v>7.0000000000000001E-3</v>
      </c>
      <c r="D80" s="45">
        <f t="shared" si="1"/>
        <v>5.3E-3</v>
      </c>
    </row>
    <row r="81" spans="2:4" ht="15.75">
      <c r="B81" s="43" t="s">
        <v>124</v>
      </c>
      <c r="C81" s="44">
        <v>3.0099999999999998E-2</v>
      </c>
      <c r="D81" s="45">
        <f t="shared" si="1"/>
        <v>2.8399999999999998E-2</v>
      </c>
    </row>
    <row r="82" spans="2:4" ht="15.75">
      <c r="B82" s="43" t="s">
        <v>68</v>
      </c>
      <c r="C82" s="44">
        <v>6.4000000000000003E-3</v>
      </c>
      <c r="D82" s="45">
        <f t="shared" si="1"/>
        <v>4.7000000000000002E-3</v>
      </c>
    </row>
    <row r="83" spans="2:4" ht="15.75">
      <c r="B83" s="43" t="s">
        <v>135</v>
      </c>
      <c r="C83" s="44">
        <v>4.8599999999999997E-2</v>
      </c>
      <c r="D83" s="45">
        <f t="shared" si="1"/>
        <v>4.6899999999999997E-2</v>
      </c>
    </row>
    <row r="84" spans="2:4" ht="15.75">
      <c r="B84" s="43" t="s">
        <v>46</v>
      </c>
      <c r="C84" s="44">
        <v>2.5000000000000001E-3</v>
      </c>
      <c r="D84" s="45">
        <f t="shared" si="1"/>
        <v>8.0000000000000015E-4</v>
      </c>
    </row>
    <row r="85" spans="2:4" ht="15.75">
      <c r="B85" s="43" t="s">
        <v>22</v>
      </c>
      <c r="C85" s="44">
        <v>1.6999999999999999E-3</v>
      </c>
      <c r="D85" s="45">
        <f t="shared" si="1"/>
        <v>0</v>
      </c>
    </row>
    <row r="86" spans="2:4" ht="15.75">
      <c r="B86" s="43" t="s">
        <v>34</v>
      </c>
      <c r="C86" s="44">
        <v>7.1999999999999998E-3</v>
      </c>
      <c r="D86" s="45">
        <f t="shared" si="1"/>
        <v>5.4999999999999997E-3</v>
      </c>
    </row>
    <row r="87" spans="2:4" ht="15.75">
      <c r="B87" s="43" t="s">
        <v>320</v>
      </c>
      <c r="C87" s="44">
        <v>7.4200000000000002E-2</v>
      </c>
      <c r="D87" s="45">
        <f t="shared" si="1"/>
        <v>7.2500000000000009E-2</v>
      </c>
    </row>
    <row r="88" spans="2:4" ht="15.75">
      <c r="B88" s="43" t="s">
        <v>162</v>
      </c>
      <c r="C88" s="44">
        <v>3.7999999999999999E-2</v>
      </c>
      <c r="D88" s="45">
        <f t="shared" si="1"/>
        <v>3.6299999999999999E-2</v>
      </c>
    </row>
    <row r="89" spans="2:4" ht="15.75">
      <c r="B89" s="43" t="s">
        <v>158</v>
      </c>
      <c r="C89" s="44" t="s">
        <v>329</v>
      </c>
      <c r="D89" s="45" t="str">
        <f t="shared" si="1"/>
        <v>NA</v>
      </c>
    </row>
    <row r="90" spans="2:4" ht="15.75">
      <c r="B90" s="43" t="s">
        <v>98</v>
      </c>
      <c r="C90" s="44">
        <v>3.7000000000000002E-3</v>
      </c>
      <c r="D90" s="45">
        <f t="shared" si="1"/>
        <v>2E-3</v>
      </c>
    </row>
    <row r="91" spans="2:4" ht="15.75">
      <c r="B91" s="43" t="s">
        <v>90</v>
      </c>
      <c r="C91" s="44">
        <v>5.0000000000000001E-3</v>
      </c>
      <c r="D91" s="45">
        <f t="shared" si="1"/>
        <v>3.3E-3</v>
      </c>
    </row>
    <row r="92" spans="2:4" ht="15.75">
      <c r="B92" s="43" t="s">
        <v>323</v>
      </c>
      <c r="C92" s="44">
        <v>1.1900000000000001E-2</v>
      </c>
      <c r="D92" s="45">
        <f t="shared" si="1"/>
        <v>1.0200000000000001E-2</v>
      </c>
    </row>
    <row r="93" spans="2:4" ht="15.75">
      <c r="B93" s="43" t="s">
        <v>325</v>
      </c>
      <c r="C93" s="44" t="s">
        <v>329</v>
      </c>
      <c r="D93" s="45" t="str">
        <f t="shared" si="1"/>
        <v>NA</v>
      </c>
    </row>
    <row r="94" spans="2:4" ht="15.75">
      <c r="B94" t="s">
        <v>88</v>
      </c>
      <c r="C94" s="49">
        <v>1.5699999999999999E-2</v>
      </c>
      <c r="D94" s="45">
        <f t="shared" si="1"/>
        <v>1.3999999999999999E-2</v>
      </c>
    </row>
    <row r="95" spans="2:4" ht="15.75">
      <c r="B95" t="s">
        <v>156</v>
      </c>
      <c r="C95" s="49" t="s">
        <v>329</v>
      </c>
      <c r="D95" s="45" t="str">
        <f t="shared" si="1"/>
        <v>NA</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6DDEF-905B-4491-A655-9F8F5819C0E8}">
  <dimension ref="B2:E160"/>
  <sheetViews>
    <sheetView showGridLines="0" workbookViewId="0">
      <selection activeCell="H13" sqref="H13"/>
    </sheetView>
  </sheetViews>
  <sheetFormatPr defaultRowHeight="15"/>
  <cols>
    <col min="1" max="1" width="1.85546875" customWidth="1"/>
    <col min="2" max="2" width="29.42578125" bestFit="1" customWidth="1"/>
    <col min="3" max="3" width="14.85546875" bestFit="1" customWidth="1"/>
    <col min="4" max="4" width="10.7109375" bestFit="1" customWidth="1"/>
    <col min="5" max="5" width="12" bestFit="1" customWidth="1"/>
  </cols>
  <sheetData>
    <row r="2" spans="2:5">
      <c r="B2" s="12" t="s">
        <v>15</v>
      </c>
      <c r="C2" s="17" t="s">
        <v>195</v>
      </c>
      <c r="D2" s="17" t="s">
        <v>196</v>
      </c>
      <c r="E2" s="17" t="s">
        <v>197</v>
      </c>
    </row>
    <row r="3" spans="2:5" ht="3.95" customHeight="1">
      <c r="C3" s="36"/>
      <c r="D3" s="36"/>
      <c r="E3" s="36"/>
    </row>
    <row r="4" spans="2:5">
      <c r="B4" s="37" t="s">
        <v>198</v>
      </c>
      <c r="C4" s="38" t="s">
        <v>199</v>
      </c>
      <c r="D4" s="38" t="s">
        <v>133</v>
      </c>
      <c r="E4" s="38" t="s">
        <v>133</v>
      </c>
    </row>
    <row r="5" spans="2:5">
      <c r="B5" s="37" t="s">
        <v>200</v>
      </c>
      <c r="C5" s="38" t="s">
        <v>201</v>
      </c>
      <c r="D5" s="38" t="s">
        <v>122</v>
      </c>
      <c r="E5" s="38" t="s">
        <v>133</v>
      </c>
    </row>
    <row r="6" spans="2:5">
      <c r="B6" s="37" t="s">
        <v>202</v>
      </c>
      <c r="C6" s="38" t="s">
        <v>203</v>
      </c>
      <c r="D6" s="38" t="s">
        <v>204</v>
      </c>
      <c r="E6" s="38" t="s">
        <v>64</v>
      </c>
    </row>
    <row r="7" spans="2:5">
      <c r="B7" s="37" t="s">
        <v>205</v>
      </c>
      <c r="C7" s="38" t="s">
        <v>206</v>
      </c>
      <c r="D7" s="38" t="s">
        <v>142</v>
      </c>
      <c r="E7" s="38" t="s">
        <v>142</v>
      </c>
    </row>
    <row r="8" spans="2:5">
      <c r="B8" s="37" t="s">
        <v>207</v>
      </c>
      <c r="C8" s="38" t="s">
        <v>208</v>
      </c>
      <c r="D8" s="38" t="s">
        <v>209</v>
      </c>
      <c r="E8" s="38" t="s">
        <v>209</v>
      </c>
    </row>
    <row r="9" spans="2:5">
      <c r="B9" s="37" t="s">
        <v>210</v>
      </c>
      <c r="C9" s="38" t="s">
        <v>201</v>
      </c>
      <c r="D9" s="38" t="s">
        <v>122</v>
      </c>
      <c r="E9" s="38" t="s">
        <v>112</v>
      </c>
    </row>
    <row r="10" spans="2:5">
      <c r="B10" s="37" t="s">
        <v>211</v>
      </c>
      <c r="C10" s="38" t="s">
        <v>212</v>
      </c>
      <c r="D10" s="38" t="s">
        <v>213</v>
      </c>
      <c r="E10" s="38" t="s">
        <v>133</v>
      </c>
    </row>
    <row r="11" spans="2:5">
      <c r="B11" s="37" t="s">
        <v>96</v>
      </c>
      <c r="C11" s="38" t="s">
        <v>214</v>
      </c>
      <c r="D11" s="38" t="s">
        <v>23</v>
      </c>
      <c r="E11" s="38" t="s">
        <v>23</v>
      </c>
    </row>
    <row r="12" spans="2:5">
      <c r="B12" s="37" t="s">
        <v>59</v>
      </c>
      <c r="C12" s="38" t="s">
        <v>215</v>
      </c>
      <c r="D12" s="38" t="s">
        <v>216</v>
      </c>
      <c r="E12" s="38" t="s">
        <v>27</v>
      </c>
    </row>
    <row r="13" spans="2:5">
      <c r="B13" s="37" t="s">
        <v>217</v>
      </c>
      <c r="C13" s="38" t="s">
        <v>218</v>
      </c>
      <c r="D13" s="38" t="s">
        <v>89</v>
      </c>
      <c r="E13" s="38" t="s">
        <v>89</v>
      </c>
    </row>
    <row r="14" spans="2:5">
      <c r="B14" s="37" t="s">
        <v>219</v>
      </c>
      <c r="C14" s="38" t="s">
        <v>220</v>
      </c>
      <c r="D14" s="38" t="s">
        <v>112</v>
      </c>
      <c r="E14" s="38" t="s">
        <v>133</v>
      </c>
    </row>
    <row r="15" spans="2:5">
      <c r="B15" s="37" t="s">
        <v>111</v>
      </c>
      <c r="C15" s="38" t="s">
        <v>221</v>
      </c>
      <c r="D15" s="38" t="s">
        <v>112</v>
      </c>
      <c r="E15" s="38" t="s">
        <v>112</v>
      </c>
    </row>
    <row r="16" spans="2:5">
      <c r="B16" s="37" t="s">
        <v>128</v>
      </c>
      <c r="C16" s="38" t="s">
        <v>221</v>
      </c>
      <c r="D16" s="38" t="s">
        <v>112</v>
      </c>
      <c r="E16" s="38" t="s">
        <v>112</v>
      </c>
    </row>
    <row r="17" spans="2:5">
      <c r="B17" s="37" t="s">
        <v>222</v>
      </c>
      <c r="C17" s="38" t="s">
        <v>206</v>
      </c>
      <c r="D17" s="38" t="s">
        <v>223</v>
      </c>
      <c r="E17" s="38" t="s">
        <v>112</v>
      </c>
    </row>
    <row r="18" spans="2:5">
      <c r="B18" s="37" t="s">
        <v>224</v>
      </c>
      <c r="C18" s="38" t="s">
        <v>225</v>
      </c>
      <c r="D18" s="38" t="s">
        <v>133</v>
      </c>
      <c r="E18" s="38" t="s">
        <v>133</v>
      </c>
    </row>
    <row r="19" spans="2:5">
      <c r="B19" s="37" t="s">
        <v>70</v>
      </c>
      <c r="C19" s="38" t="s">
        <v>226</v>
      </c>
      <c r="D19" s="38" t="s">
        <v>55</v>
      </c>
      <c r="E19" s="38" t="s">
        <v>100</v>
      </c>
    </row>
    <row r="20" spans="2:5">
      <c r="B20" s="37" t="s">
        <v>227</v>
      </c>
      <c r="C20" s="38" t="s">
        <v>228</v>
      </c>
      <c r="D20" s="38" t="s">
        <v>142</v>
      </c>
      <c r="E20" s="38" t="s">
        <v>133</v>
      </c>
    </row>
    <row r="21" spans="2:5">
      <c r="B21" s="37" t="s">
        <v>229</v>
      </c>
      <c r="C21" s="38" t="s">
        <v>220</v>
      </c>
      <c r="D21" s="38" t="s">
        <v>230</v>
      </c>
      <c r="E21" s="38" t="s">
        <v>112</v>
      </c>
    </row>
    <row r="22" spans="2:5">
      <c r="B22" s="37" t="s">
        <v>231</v>
      </c>
      <c r="C22" s="38" t="s">
        <v>232</v>
      </c>
      <c r="D22" s="38" t="s">
        <v>31</v>
      </c>
      <c r="E22" s="38" t="s">
        <v>133</v>
      </c>
    </row>
    <row r="23" spans="2:5">
      <c r="B23" s="37" t="s">
        <v>233</v>
      </c>
      <c r="C23" s="38" t="s">
        <v>234</v>
      </c>
      <c r="D23" s="38" t="s">
        <v>235</v>
      </c>
      <c r="E23" s="38" t="s">
        <v>209</v>
      </c>
    </row>
    <row r="24" spans="2:5">
      <c r="B24" s="37" t="s">
        <v>236</v>
      </c>
      <c r="C24" s="38" t="s">
        <v>206</v>
      </c>
      <c r="D24" s="38" t="s">
        <v>112</v>
      </c>
      <c r="E24" s="38" t="s">
        <v>133</v>
      </c>
    </row>
    <row r="25" spans="2:5">
      <c r="B25" s="37" t="s">
        <v>134</v>
      </c>
      <c r="C25" s="38" t="s">
        <v>237</v>
      </c>
      <c r="D25" s="38" t="s">
        <v>35</v>
      </c>
      <c r="E25" s="38" t="s">
        <v>133</v>
      </c>
    </row>
    <row r="26" spans="2:5">
      <c r="B26" s="37" t="s">
        <v>148</v>
      </c>
      <c r="C26" s="38" t="s">
        <v>218</v>
      </c>
      <c r="D26" s="38" t="s">
        <v>139</v>
      </c>
      <c r="E26" s="38" t="s">
        <v>139</v>
      </c>
    </row>
    <row r="27" spans="2:5">
      <c r="B27" s="37" t="s">
        <v>84</v>
      </c>
      <c r="C27" s="38" t="s">
        <v>203</v>
      </c>
      <c r="D27" s="38" t="s">
        <v>213</v>
      </c>
      <c r="E27" s="38" t="s">
        <v>75</v>
      </c>
    </row>
    <row r="28" spans="2:5">
      <c r="B28" s="37" t="s">
        <v>238</v>
      </c>
      <c r="C28" s="38" t="s">
        <v>228</v>
      </c>
      <c r="D28" s="38" t="s">
        <v>136</v>
      </c>
      <c r="E28" s="38" t="s">
        <v>133</v>
      </c>
    </row>
    <row r="29" spans="2:5">
      <c r="B29" s="37" t="s">
        <v>239</v>
      </c>
      <c r="C29" s="38" t="s">
        <v>221</v>
      </c>
      <c r="D29" s="38" t="s">
        <v>133</v>
      </c>
      <c r="E29" s="38" t="s">
        <v>133</v>
      </c>
    </row>
    <row r="30" spans="2:5">
      <c r="B30" s="37" t="s">
        <v>240</v>
      </c>
      <c r="C30" s="38" t="s">
        <v>228</v>
      </c>
      <c r="D30" s="38" t="s">
        <v>142</v>
      </c>
      <c r="E30" s="38" t="s">
        <v>145</v>
      </c>
    </row>
    <row r="31" spans="2:5">
      <c r="B31" s="37" t="s">
        <v>69</v>
      </c>
      <c r="C31" s="38" t="s">
        <v>214</v>
      </c>
      <c r="D31" s="38" t="s">
        <v>23</v>
      </c>
      <c r="E31" s="38" t="s">
        <v>27</v>
      </c>
    </row>
    <row r="32" spans="2:5">
      <c r="B32" s="37" t="s">
        <v>241</v>
      </c>
      <c r="C32" s="38" t="s">
        <v>221</v>
      </c>
      <c r="D32" s="38" t="s">
        <v>145</v>
      </c>
      <c r="E32" s="38" t="s">
        <v>145</v>
      </c>
    </row>
    <row r="33" spans="2:5">
      <c r="B33" s="37" t="s">
        <v>242</v>
      </c>
      <c r="C33" s="38" t="s">
        <v>226</v>
      </c>
      <c r="D33" s="38" t="s">
        <v>133</v>
      </c>
      <c r="E33" s="38" t="s">
        <v>133</v>
      </c>
    </row>
    <row r="34" spans="2:5">
      <c r="B34" s="37" t="s">
        <v>106</v>
      </c>
      <c r="C34" s="38" t="s">
        <v>232</v>
      </c>
      <c r="D34" s="38" t="s">
        <v>80</v>
      </c>
      <c r="E34" s="38" t="s">
        <v>64</v>
      </c>
    </row>
    <row r="35" spans="2:5">
      <c r="B35" s="37" t="s">
        <v>37</v>
      </c>
      <c r="C35" s="38" t="s">
        <v>243</v>
      </c>
      <c r="D35" s="38" t="s">
        <v>31</v>
      </c>
      <c r="E35" s="38" t="s">
        <v>133</v>
      </c>
    </row>
    <row r="36" spans="2:5">
      <c r="B36" s="37" t="s">
        <v>138</v>
      </c>
      <c r="C36" s="38" t="s">
        <v>244</v>
      </c>
      <c r="D36" s="38" t="s">
        <v>245</v>
      </c>
      <c r="E36" s="38" t="s">
        <v>89</v>
      </c>
    </row>
    <row r="37" spans="2:5">
      <c r="B37" s="37" t="s">
        <v>246</v>
      </c>
      <c r="C37" s="38" t="s">
        <v>206</v>
      </c>
      <c r="D37" s="38" t="s">
        <v>142</v>
      </c>
      <c r="E37" s="38" t="s">
        <v>133</v>
      </c>
    </row>
    <row r="38" spans="2:5">
      <c r="B38" s="37" t="s">
        <v>247</v>
      </c>
      <c r="C38" s="38" t="s">
        <v>248</v>
      </c>
      <c r="D38" s="38" t="s">
        <v>136</v>
      </c>
      <c r="E38" s="38" t="s">
        <v>133</v>
      </c>
    </row>
    <row r="39" spans="2:5">
      <c r="B39" s="37" t="s">
        <v>249</v>
      </c>
      <c r="C39" s="38" t="s">
        <v>220</v>
      </c>
      <c r="D39" s="38" t="s">
        <v>112</v>
      </c>
      <c r="E39" s="38" t="s">
        <v>133</v>
      </c>
    </row>
    <row r="40" spans="2:5">
      <c r="B40" s="37" t="s">
        <v>250</v>
      </c>
      <c r="C40" s="38" t="s">
        <v>201</v>
      </c>
      <c r="D40" s="38" t="s">
        <v>230</v>
      </c>
      <c r="E40" s="38" t="s">
        <v>139</v>
      </c>
    </row>
    <row r="41" spans="2:5">
      <c r="B41" s="37" t="s">
        <v>251</v>
      </c>
      <c r="C41" s="38" t="s">
        <v>252</v>
      </c>
      <c r="D41" s="38" t="s">
        <v>133</v>
      </c>
      <c r="E41" s="38" t="s">
        <v>133</v>
      </c>
    </row>
    <row r="42" spans="2:5">
      <c r="B42" s="37" t="s">
        <v>67</v>
      </c>
      <c r="C42" s="38" t="s">
        <v>237</v>
      </c>
      <c r="D42" s="38" t="s">
        <v>204</v>
      </c>
      <c r="E42" s="38" t="s">
        <v>35</v>
      </c>
    </row>
    <row r="43" spans="2:5">
      <c r="B43" s="37" t="s">
        <v>253</v>
      </c>
      <c r="C43" s="38" t="s">
        <v>208</v>
      </c>
      <c r="D43" s="38">
        <v>0</v>
      </c>
      <c r="E43" s="38" t="s">
        <v>133</v>
      </c>
    </row>
    <row r="44" spans="2:5">
      <c r="B44" s="37" t="s">
        <v>254</v>
      </c>
      <c r="C44" s="38" t="s">
        <v>212</v>
      </c>
      <c r="D44" s="38" t="s">
        <v>57</v>
      </c>
      <c r="E44" s="38" t="s">
        <v>133</v>
      </c>
    </row>
    <row r="45" spans="2:5">
      <c r="B45" s="37" t="s">
        <v>63</v>
      </c>
      <c r="C45" s="38" t="s">
        <v>237</v>
      </c>
      <c r="D45" s="38" t="s">
        <v>64</v>
      </c>
      <c r="E45" s="38" t="s">
        <v>64</v>
      </c>
    </row>
    <row r="46" spans="2:5">
      <c r="B46" s="37" t="s">
        <v>99</v>
      </c>
      <c r="C46" s="38" t="s">
        <v>226</v>
      </c>
      <c r="D46" s="38" t="s">
        <v>100</v>
      </c>
      <c r="E46" s="38" t="s">
        <v>100</v>
      </c>
    </row>
    <row r="47" spans="2:5">
      <c r="B47" s="37" t="s">
        <v>43</v>
      </c>
      <c r="C47" s="38" t="s">
        <v>214</v>
      </c>
      <c r="D47" s="38" t="s">
        <v>23</v>
      </c>
      <c r="E47" s="38" t="s">
        <v>23</v>
      </c>
    </row>
    <row r="48" spans="2:5">
      <c r="B48" s="37" t="s">
        <v>255</v>
      </c>
      <c r="C48" s="38" t="s">
        <v>201</v>
      </c>
      <c r="D48" s="38" t="s">
        <v>139</v>
      </c>
      <c r="E48" s="38" t="s">
        <v>122</v>
      </c>
    </row>
    <row r="49" spans="2:5">
      <c r="B49" s="37" t="s">
        <v>256</v>
      </c>
      <c r="C49" s="38" t="s">
        <v>234</v>
      </c>
      <c r="D49" s="38" t="s">
        <v>257</v>
      </c>
      <c r="E49" s="38" t="s">
        <v>136</v>
      </c>
    </row>
    <row r="50" spans="2:5">
      <c r="B50" s="37" t="s">
        <v>160</v>
      </c>
      <c r="C50" s="38" t="s">
        <v>228</v>
      </c>
      <c r="D50" s="38" t="s">
        <v>257</v>
      </c>
      <c r="E50" s="38" t="s">
        <v>142</v>
      </c>
    </row>
    <row r="51" spans="2:5">
      <c r="B51" s="37" t="s">
        <v>258</v>
      </c>
      <c r="C51" s="38" t="s">
        <v>206</v>
      </c>
      <c r="D51" s="38" t="s">
        <v>142</v>
      </c>
      <c r="E51" s="38" t="s">
        <v>259</v>
      </c>
    </row>
    <row r="52" spans="2:5">
      <c r="B52" s="37" t="s">
        <v>260</v>
      </c>
      <c r="C52" s="38" t="s">
        <v>243</v>
      </c>
      <c r="D52" s="38" t="s">
        <v>133</v>
      </c>
      <c r="E52" s="38" t="s">
        <v>100</v>
      </c>
    </row>
    <row r="53" spans="2:5">
      <c r="B53" s="37" t="s">
        <v>261</v>
      </c>
      <c r="C53" s="38" t="s">
        <v>248</v>
      </c>
      <c r="D53" s="38" t="s">
        <v>157</v>
      </c>
      <c r="E53" s="38" t="s">
        <v>133</v>
      </c>
    </row>
    <row r="54" spans="2:5">
      <c r="B54" s="37" t="s">
        <v>262</v>
      </c>
      <c r="C54" s="38" t="s">
        <v>220</v>
      </c>
      <c r="D54" s="38" t="s">
        <v>112</v>
      </c>
      <c r="E54" s="38" t="s">
        <v>133</v>
      </c>
    </row>
    <row r="55" spans="2:5">
      <c r="B55" s="37" t="s">
        <v>66</v>
      </c>
      <c r="C55" s="38" t="s">
        <v>215</v>
      </c>
      <c r="D55" s="38" t="s">
        <v>27</v>
      </c>
      <c r="E55" s="38" t="s">
        <v>27</v>
      </c>
    </row>
    <row r="56" spans="2:5">
      <c r="B56" s="37" t="s">
        <v>78</v>
      </c>
      <c r="C56" s="38" t="s">
        <v>226</v>
      </c>
      <c r="D56" s="38" t="s">
        <v>100</v>
      </c>
      <c r="E56" s="38" t="s">
        <v>100</v>
      </c>
    </row>
    <row r="57" spans="2:5">
      <c r="B57" s="37" t="s">
        <v>263</v>
      </c>
      <c r="C57" s="38" t="s">
        <v>248</v>
      </c>
      <c r="D57" s="38" t="s">
        <v>133</v>
      </c>
      <c r="E57" s="38" t="s">
        <v>142</v>
      </c>
    </row>
    <row r="58" spans="2:5">
      <c r="B58" s="37" t="s">
        <v>264</v>
      </c>
      <c r="C58" s="38" t="s">
        <v>252</v>
      </c>
      <c r="D58" s="38" t="s">
        <v>139</v>
      </c>
      <c r="E58" s="38" t="s">
        <v>139</v>
      </c>
    </row>
    <row r="59" spans="2:5">
      <c r="B59" s="37" t="s">
        <v>50</v>
      </c>
      <c r="C59" s="38" t="s">
        <v>214</v>
      </c>
      <c r="D59" s="38" t="s">
        <v>23</v>
      </c>
      <c r="E59" s="38" t="s">
        <v>23</v>
      </c>
    </row>
    <row r="60" spans="2:5">
      <c r="B60" s="37" t="s">
        <v>265</v>
      </c>
      <c r="C60" s="38" t="s">
        <v>248</v>
      </c>
      <c r="D60" s="38" t="s">
        <v>157</v>
      </c>
      <c r="E60" s="38" t="s">
        <v>133</v>
      </c>
    </row>
    <row r="61" spans="2:5">
      <c r="B61" s="37" t="s">
        <v>74</v>
      </c>
      <c r="C61" s="38" t="s">
        <v>218</v>
      </c>
      <c r="D61" s="38" t="s">
        <v>266</v>
      </c>
      <c r="E61" s="38" t="s">
        <v>57</v>
      </c>
    </row>
    <row r="62" spans="2:5">
      <c r="B62" s="37" t="s">
        <v>267</v>
      </c>
      <c r="C62" s="38" t="s">
        <v>218</v>
      </c>
      <c r="D62" s="38" t="s">
        <v>268</v>
      </c>
      <c r="E62" s="38" t="s">
        <v>139</v>
      </c>
    </row>
    <row r="63" spans="2:5">
      <c r="B63" s="37" t="s">
        <v>269</v>
      </c>
      <c r="C63" s="38" t="s">
        <v>243</v>
      </c>
      <c r="D63" s="38" t="s">
        <v>133</v>
      </c>
      <c r="E63" s="38" t="s">
        <v>133</v>
      </c>
    </row>
    <row r="64" spans="2:5">
      <c r="B64" s="37" t="s">
        <v>270</v>
      </c>
      <c r="C64" s="38" t="s">
        <v>220</v>
      </c>
      <c r="D64" s="38" t="s">
        <v>230</v>
      </c>
      <c r="E64" s="38" t="s">
        <v>133</v>
      </c>
    </row>
    <row r="65" spans="2:5">
      <c r="B65" s="37" t="s">
        <v>60</v>
      </c>
      <c r="C65" s="38" t="s">
        <v>226</v>
      </c>
      <c r="D65" s="38" t="s">
        <v>27</v>
      </c>
      <c r="E65" s="38" t="s">
        <v>100</v>
      </c>
    </row>
    <row r="66" spans="2:5">
      <c r="B66" s="37" t="s">
        <v>118</v>
      </c>
      <c r="C66" s="38" t="s">
        <v>244</v>
      </c>
      <c r="D66" s="38" t="s">
        <v>57</v>
      </c>
      <c r="E66" s="38" t="s">
        <v>75</v>
      </c>
    </row>
    <row r="67" spans="2:5">
      <c r="B67" s="37" t="s">
        <v>115</v>
      </c>
      <c r="C67" s="38" t="s">
        <v>243</v>
      </c>
      <c r="D67" s="38" t="s">
        <v>31</v>
      </c>
      <c r="E67" s="38" t="s">
        <v>80</v>
      </c>
    </row>
    <row r="68" spans="2:5">
      <c r="B68" s="37" t="s">
        <v>116</v>
      </c>
      <c r="C68" s="38" t="s">
        <v>212</v>
      </c>
      <c r="D68" s="38" t="s">
        <v>266</v>
      </c>
      <c r="E68" s="38" t="s">
        <v>57</v>
      </c>
    </row>
    <row r="69" spans="2:5">
      <c r="B69" s="37" t="s">
        <v>114</v>
      </c>
      <c r="C69" s="38" t="s">
        <v>244</v>
      </c>
      <c r="D69" s="38" t="s">
        <v>75</v>
      </c>
      <c r="E69" s="38" t="s">
        <v>75</v>
      </c>
    </row>
    <row r="70" spans="2:5">
      <c r="B70" s="37" t="s">
        <v>271</v>
      </c>
      <c r="C70" s="38" t="s">
        <v>228</v>
      </c>
      <c r="D70" s="38" t="s">
        <v>142</v>
      </c>
      <c r="E70" s="38" t="s">
        <v>142</v>
      </c>
    </row>
    <row r="71" spans="2:5">
      <c r="B71" s="37" t="s">
        <v>54</v>
      </c>
      <c r="C71" s="38" t="s">
        <v>226</v>
      </c>
      <c r="D71" s="38" t="s">
        <v>272</v>
      </c>
      <c r="E71" s="38" t="s">
        <v>100</v>
      </c>
    </row>
    <row r="72" spans="2:5">
      <c r="B72" s="37" t="s">
        <v>273</v>
      </c>
      <c r="C72" s="38" t="s">
        <v>226</v>
      </c>
      <c r="D72" s="38" t="s">
        <v>133</v>
      </c>
      <c r="E72" s="38" t="s">
        <v>133</v>
      </c>
    </row>
    <row r="73" spans="2:5">
      <c r="B73" s="37" t="s">
        <v>86</v>
      </c>
      <c r="C73" s="38" t="s">
        <v>203</v>
      </c>
      <c r="D73" s="38" t="s">
        <v>274</v>
      </c>
      <c r="E73" s="38" t="s">
        <v>80</v>
      </c>
    </row>
    <row r="74" spans="2:5">
      <c r="B74" s="37" t="s">
        <v>77</v>
      </c>
      <c r="C74" s="38" t="s">
        <v>212</v>
      </c>
      <c r="D74" s="38" t="s">
        <v>75</v>
      </c>
      <c r="E74" s="38" t="s">
        <v>75</v>
      </c>
    </row>
    <row r="75" spans="2:5">
      <c r="B75" s="37" t="s">
        <v>275</v>
      </c>
      <c r="C75" s="38" t="s">
        <v>220</v>
      </c>
      <c r="D75" s="38" t="s">
        <v>230</v>
      </c>
      <c r="E75" s="38" t="s">
        <v>122</v>
      </c>
    </row>
    <row r="76" spans="2:5">
      <c r="B76" s="37" t="s">
        <v>30</v>
      </c>
      <c r="C76" s="38" t="s">
        <v>243</v>
      </c>
      <c r="D76" s="38" t="s">
        <v>31</v>
      </c>
      <c r="E76" s="38" t="s">
        <v>80</v>
      </c>
    </row>
    <row r="77" spans="2:5">
      <c r="B77" s="37" t="s">
        <v>276</v>
      </c>
      <c r="C77" s="38" t="s">
        <v>199</v>
      </c>
      <c r="D77" s="38" t="s">
        <v>55</v>
      </c>
      <c r="E77" s="38" t="s">
        <v>133</v>
      </c>
    </row>
    <row r="78" spans="2:5">
      <c r="B78" s="37" t="s">
        <v>121</v>
      </c>
      <c r="C78" s="38" t="s">
        <v>201</v>
      </c>
      <c r="D78" s="38" t="s">
        <v>122</v>
      </c>
      <c r="E78" s="38" t="s">
        <v>122</v>
      </c>
    </row>
    <row r="79" spans="2:5">
      <c r="B79" s="37" t="s">
        <v>154</v>
      </c>
      <c r="C79" s="38" t="s">
        <v>203</v>
      </c>
      <c r="D79" s="38" t="s">
        <v>57</v>
      </c>
      <c r="E79" s="38" t="s">
        <v>75</v>
      </c>
    </row>
    <row r="80" spans="2:5">
      <c r="B80" s="37" t="s">
        <v>144</v>
      </c>
      <c r="C80" s="38" t="s">
        <v>228</v>
      </c>
      <c r="D80" s="38" t="s">
        <v>142</v>
      </c>
      <c r="E80" s="38" t="s">
        <v>142</v>
      </c>
    </row>
    <row r="81" spans="2:5">
      <c r="B81" s="37" t="s">
        <v>277</v>
      </c>
      <c r="C81" s="38" t="s">
        <v>199</v>
      </c>
      <c r="D81" s="38" t="s">
        <v>133</v>
      </c>
      <c r="E81" s="38" t="s">
        <v>133</v>
      </c>
    </row>
    <row r="82" spans="2:5">
      <c r="B82" s="37" t="s">
        <v>278</v>
      </c>
      <c r="C82" s="38" t="s">
        <v>243</v>
      </c>
      <c r="D82" s="38" t="s">
        <v>31</v>
      </c>
      <c r="E82" s="38" t="s">
        <v>100</v>
      </c>
    </row>
    <row r="83" spans="2:5">
      <c r="B83" s="37" t="s">
        <v>279</v>
      </c>
      <c r="C83" s="38" t="s">
        <v>206</v>
      </c>
      <c r="D83" s="38" t="s">
        <v>133</v>
      </c>
      <c r="E83" s="38" t="s">
        <v>133</v>
      </c>
    </row>
    <row r="84" spans="2:5">
      <c r="B84" s="37" t="s">
        <v>280</v>
      </c>
      <c r="C84" s="38" t="s">
        <v>234</v>
      </c>
      <c r="D84" s="38">
        <v>0</v>
      </c>
      <c r="E84" s="38" t="s">
        <v>281</v>
      </c>
    </row>
    <row r="85" spans="2:5">
      <c r="B85" s="37" t="s">
        <v>282</v>
      </c>
      <c r="C85" s="38" t="s">
        <v>237</v>
      </c>
      <c r="D85" s="38" t="s">
        <v>80</v>
      </c>
      <c r="E85" s="38" t="s">
        <v>64</v>
      </c>
    </row>
    <row r="86" spans="2:5">
      <c r="B86" s="37" t="s">
        <v>283</v>
      </c>
      <c r="C86" s="38" t="s">
        <v>225</v>
      </c>
      <c r="D86" s="38" t="s">
        <v>284</v>
      </c>
      <c r="E86" s="38" t="s">
        <v>133</v>
      </c>
    </row>
    <row r="87" spans="2:5">
      <c r="B87" s="37" t="s">
        <v>285</v>
      </c>
      <c r="C87" s="38" t="s">
        <v>214</v>
      </c>
      <c r="D87" s="38" t="s">
        <v>23</v>
      </c>
      <c r="E87" s="38" t="s">
        <v>133</v>
      </c>
    </row>
    <row r="88" spans="2:5">
      <c r="B88" s="37" t="s">
        <v>79</v>
      </c>
      <c r="C88" s="38" t="s">
        <v>232</v>
      </c>
      <c r="D88" s="38" t="s">
        <v>80</v>
      </c>
      <c r="E88" s="38" t="s">
        <v>80</v>
      </c>
    </row>
    <row r="89" spans="2:5">
      <c r="B89" s="37" t="s">
        <v>286</v>
      </c>
      <c r="C89" s="38" t="s">
        <v>214</v>
      </c>
      <c r="D89" s="38" t="s">
        <v>23</v>
      </c>
      <c r="E89" s="38" t="s">
        <v>23</v>
      </c>
    </row>
    <row r="90" spans="2:5">
      <c r="B90" s="37" t="s">
        <v>287</v>
      </c>
      <c r="C90" s="38" t="s">
        <v>226</v>
      </c>
      <c r="D90" s="38" t="s">
        <v>133</v>
      </c>
      <c r="E90" s="38" t="s">
        <v>133</v>
      </c>
    </row>
    <row r="91" spans="2:5">
      <c r="B91" s="37" t="s">
        <v>288</v>
      </c>
      <c r="C91" s="38" t="s">
        <v>201</v>
      </c>
      <c r="D91" s="38" t="s">
        <v>122</v>
      </c>
      <c r="E91" s="38" t="s">
        <v>133</v>
      </c>
    </row>
    <row r="92" spans="2:5">
      <c r="B92" s="37" t="s">
        <v>81</v>
      </c>
      <c r="C92" s="38" t="s">
        <v>237</v>
      </c>
      <c r="D92" s="38" t="s">
        <v>64</v>
      </c>
      <c r="E92" s="38" t="s">
        <v>35</v>
      </c>
    </row>
    <row r="93" spans="2:5">
      <c r="B93" s="37" t="s">
        <v>289</v>
      </c>
      <c r="C93" s="38" t="s">
        <v>248</v>
      </c>
      <c r="D93" s="38">
        <v>0</v>
      </c>
      <c r="E93" s="38" t="s">
        <v>259</v>
      </c>
    </row>
    <row r="94" spans="2:5">
      <c r="B94" s="37" t="s">
        <v>290</v>
      </c>
      <c r="C94" s="38" t="s">
        <v>248</v>
      </c>
      <c r="D94" s="38">
        <v>0</v>
      </c>
      <c r="E94" s="38" t="s">
        <v>133</v>
      </c>
    </row>
    <row r="95" spans="2:5">
      <c r="B95" s="37" t="s">
        <v>73</v>
      </c>
      <c r="C95" s="38" t="s">
        <v>232</v>
      </c>
      <c r="D95" s="38" t="s">
        <v>64</v>
      </c>
      <c r="E95" s="38" t="s">
        <v>31</v>
      </c>
    </row>
    <row r="96" spans="2:5">
      <c r="B96" s="37" t="s">
        <v>108</v>
      </c>
      <c r="C96" s="38" t="s">
        <v>212</v>
      </c>
      <c r="D96" s="38" t="s">
        <v>57</v>
      </c>
      <c r="E96" s="38" t="s">
        <v>133</v>
      </c>
    </row>
    <row r="97" spans="2:5">
      <c r="B97" s="37" t="s">
        <v>126</v>
      </c>
      <c r="C97" s="38" t="s">
        <v>244</v>
      </c>
      <c r="D97" s="38" t="s">
        <v>75</v>
      </c>
      <c r="E97" s="38" t="s">
        <v>57</v>
      </c>
    </row>
    <row r="98" spans="2:5">
      <c r="B98" s="37" t="s">
        <v>291</v>
      </c>
      <c r="C98" s="38" t="s">
        <v>206</v>
      </c>
      <c r="D98" s="38">
        <v>0</v>
      </c>
      <c r="E98" s="38" t="s">
        <v>112</v>
      </c>
    </row>
    <row r="99" spans="2:5">
      <c r="B99" s="37" t="s">
        <v>292</v>
      </c>
      <c r="C99" s="38" t="s">
        <v>221</v>
      </c>
      <c r="D99" s="38" t="s">
        <v>293</v>
      </c>
      <c r="E99" s="38" t="s">
        <v>112</v>
      </c>
    </row>
    <row r="100" spans="2:5">
      <c r="B100" s="37" t="s">
        <v>294</v>
      </c>
      <c r="C100" s="38" t="s">
        <v>220</v>
      </c>
      <c r="D100" s="38" t="s">
        <v>112</v>
      </c>
      <c r="E100" s="38" t="s">
        <v>133</v>
      </c>
    </row>
    <row r="101" spans="2:5">
      <c r="B101" s="37" t="s">
        <v>295</v>
      </c>
      <c r="C101" s="38" t="s">
        <v>212</v>
      </c>
      <c r="D101" s="38" t="s">
        <v>57</v>
      </c>
      <c r="E101" s="38" t="s">
        <v>133</v>
      </c>
    </row>
    <row r="102" spans="2:5">
      <c r="B102" s="37" t="s">
        <v>56</v>
      </c>
      <c r="C102" s="38" t="s">
        <v>218</v>
      </c>
      <c r="D102" s="38" t="s">
        <v>245</v>
      </c>
      <c r="E102" s="38" t="s">
        <v>89</v>
      </c>
    </row>
    <row r="103" spans="2:5">
      <c r="B103" s="37" t="s">
        <v>296</v>
      </c>
      <c r="C103" s="38" t="s">
        <v>248</v>
      </c>
      <c r="D103" s="38" t="s">
        <v>136</v>
      </c>
      <c r="E103" s="38" t="s">
        <v>209</v>
      </c>
    </row>
    <row r="104" spans="2:5">
      <c r="B104" s="37" t="s">
        <v>132</v>
      </c>
      <c r="C104" s="38" t="s">
        <v>220</v>
      </c>
      <c r="D104" s="38">
        <v>0</v>
      </c>
      <c r="E104" s="38" t="s">
        <v>139</v>
      </c>
    </row>
    <row r="105" spans="2:5">
      <c r="B105" s="37" t="s">
        <v>297</v>
      </c>
      <c r="C105" s="38" t="s">
        <v>201</v>
      </c>
      <c r="D105" s="38" t="s">
        <v>133</v>
      </c>
      <c r="E105" s="38" t="s">
        <v>122</v>
      </c>
    </row>
    <row r="106" spans="2:5">
      <c r="B106" s="37" t="s">
        <v>53</v>
      </c>
      <c r="C106" s="38" t="s">
        <v>214</v>
      </c>
      <c r="D106" s="38" t="s">
        <v>23</v>
      </c>
      <c r="E106" s="38" t="s">
        <v>23</v>
      </c>
    </row>
    <row r="107" spans="2:5">
      <c r="B107" s="37" t="s">
        <v>93</v>
      </c>
      <c r="C107" s="38" t="s">
        <v>214</v>
      </c>
      <c r="D107" s="38" t="s">
        <v>27</v>
      </c>
      <c r="E107" s="38" t="s">
        <v>27</v>
      </c>
    </row>
    <row r="108" spans="2:5">
      <c r="B108" s="37" t="s">
        <v>298</v>
      </c>
      <c r="C108" s="38" t="s">
        <v>221</v>
      </c>
      <c r="D108" s="38" t="s">
        <v>112</v>
      </c>
      <c r="E108" s="38" t="s">
        <v>145</v>
      </c>
    </row>
    <row r="109" spans="2:5">
      <c r="B109" s="37" t="s">
        <v>299</v>
      </c>
      <c r="C109" s="38" t="s">
        <v>234</v>
      </c>
      <c r="D109" s="38">
        <v>0</v>
      </c>
      <c r="E109" s="38" t="s">
        <v>133</v>
      </c>
    </row>
    <row r="110" spans="2:5">
      <c r="B110" s="37" t="s">
        <v>150</v>
      </c>
      <c r="C110" s="38" t="s">
        <v>228</v>
      </c>
      <c r="D110" s="38" t="s">
        <v>142</v>
      </c>
      <c r="E110" s="38" t="s">
        <v>142</v>
      </c>
    </row>
    <row r="111" spans="2:5">
      <c r="B111" s="37" t="s">
        <v>92</v>
      </c>
      <c r="C111" s="38" t="s">
        <v>214</v>
      </c>
      <c r="D111" s="38" t="s">
        <v>23</v>
      </c>
      <c r="E111" s="38" t="s">
        <v>23</v>
      </c>
    </row>
    <row r="112" spans="2:5">
      <c r="B112" s="37" t="s">
        <v>300</v>
      </c>
      <c r="C112" s="38" t="s">
        <v>218</v>
      </c>
      <c r="D112" s="38" t="s">
        <v>57</v>
      </c>
      <c r="E112" s="38" t="s">
        <v>89</v>
      </c>
    </row>
    <row r="113" spans="2:5">
      <c r="B113" s="37" t="s">
        <v>141</v>
      </c>
      <c r="C113" s="38" t="s">
        <v>248</v>
      </c>
      <c r="D113" s="38" t="s">
        <v>136</v>
      </c>
      <c r="E113" s="38" t="s">
        <v>136</v>
      </c>
    </row>
    <row r="114" spans="2:5">
      <c r="B114" s="37" t="s">
        <v>301</v>
      </c>
      <c r="C114" s="38" t="s">
        <v>212</v>
      </c>
      <c r="D114" s="38" t="s">
        <v>57</v>
      </c>
      <c r="E114" s="38" t="s">
        <v>89</v>
      </c>
    </row>
    <row r="115" spans="2:5">
      <c r="B115" s="37" t="s">
        <v>302</v>
      </c>
      <c r="C115" s="38" t="s">
        <v>221</v>
      </c>
      <c r="D115" s="38" t="s">
        <v>142</v>
      </c>
      <c r="E115" s="38" t="s">
        <v>133</v>
      </c>
    </row>
    <row r="116" spans="2:5">
      <c r="B116" s="37" t="s">
        <v>303</v>
      </c>
      <c r="C116" s="38" t="s">
        <v>212</v>
      </c>
      <c r="D116" s="38" t="s">
        <v>89</v>
      </c>
      <c r="E116" s="38" t="s">
        <v>89</v>
      </c>
    </row>
    <row r="117" spans="2:5">
      <c r="B117" s="37" t="s">
        <v>104</v>
      </c>
      <c r="C117" s="38" t="s">
        <v>203</v>
      </c>
      <c r="D117" s="38" t="s">
        <v>57</v>
      </c>
      <c r="E117" s="38" t="s">
        <v>75</v>
      </c>
    </row>
    <row r="118" spans="2:5">
      <c r="B118" s="37" t="s">
        <v>113</v>
      </c>
      <c r="C118" s="38" t="s">
        <v>244</v>
      </c>
      <c r="D118" s="38" t="s">
        <v>304</v>
      </c>
      <c r="E118" s="38" t="s">
        <v>75</v>
      </c>
    </row>
    <row r="119" spans="2:5">
      <c r="B119" s="37" t="s">
        <v>105</v>
      </c>
      <c r="C119" s="38" t="s">
        <v>232</v>
      </c>
      <c r="D119" s="38" t="s">
        <v>64</v>
      </c>
      <c r="E119" s="38" t="s">
        <v>64</v>
      </c>
    </row>
    <row r="120" spans="2:5">
      <c r="B120" s="37" t="s">
        <v>65</v>
      </c>
      <c r="C120" s="38" t="s">
        <v>237</v>
      </c>
      <c r="D120" s="38" t="s">
        <v>204</v>
      </c>
      <c r="E120" s="38" t="s">
        <v>64</v>
      </c>
    </row>
    <row r="121" spans="2:5">
      <c r="B121" s="37" t="s">
        <v>94</v>
      </c>
      <c r="C121" s="38" t="s">
        <v>199</v>
      </c>
      <c r="D121" s="38" t="s">
        <v>55</v>
      </c>
      <c r="E121" s="38" t="s">
        <v>55</v>
      </c>
    </row>
    <row r="122" spans="2:5">
      <c r="B122" s="37" t="s">
        <v>305</v>
      </c>
      <c r="C122" s="38" t="s">
        <v>237</v>
      </c>
      <c r="D122" s="38" t="s">
        <v>80</v>
      </c>
      <c r="E122" s="38" t="s">
        <v>133</v>
      </c>
    </row>
    <row r="123" spans="2:5">
      <c r="B123" s="37" t="s">
        <v>120</v>
      </c>
      <c r="C123" s="38" t="s">
        <v>212</v>
      </c>
      <c r="D123" s="38" t="s">
        <v>57</v>
      </c>
      <c r="E123" s="38" t="s">
        <v>57</v>
      </c>
    </row>
    <row r="124" spans="2:5">
      <c r="B124" s="37" t="s">
        <v>306</v>
      </c>
      <c r="C124" s="38" t="s">
        <v>221</v>
      </c>
      <c r="D124" s="38" t="s">
        <v>112</v>
      </c>
      <c r="E124" s="38" t="s">
        <v>112</v>
      </c>
    </row>
    <row r="125" spans="2:5">
      <c r="B125" s="37" t="s">
        <v>307</v>
      </c>
      <c r="C125" s="38" t="s">
        <v>226</v>
      </c>
      <c r="D125" s="38" t="s">
        <v>274</v>
      </c>
      <c r="E125" s="38" t="s">
        <v>31</v>
      </c>
    </row>
    <row r="126" spans="2:5">
      <c r="B126" s="37" t="s">
        <v>308</v>
      </c>
      <c r="C126" s="38" t="s">
        <v>220</v>
      </c>
      <c r="D126" s="38" t="s">
        <v>293</v>
      </c>
      <c r="E126" s="38" t="s">
        <v>133</v>
      </c>
    </row>
    <row r="127" spans="2:5">
      <c r="B127" s="37" t="s">
        <v>102</v>
      </c>
      <c r="C127" s="38" t="s">
        <v>252</v>
      </c>
      <c r="D127" s="38" t="s">
        <v>57</v>
      </c>
      <c r="E127" s="38" t="s">
        <v>89</v>
      </c>
    </row>
    <row r="128" spans="2:5">
      <c r="B128" s="37" t="s">
        <v>309</v>
      </c>
      <c r="C128" s="38" t="s">
        <v>218</v>
      </c>
      <c r="D128" s="38" t="s">
        <v>133</v>
      </c>
      <c r="E128" s="38" t="s">
        <v>133</v>
      </c>
    </row>
    <row r="129" spans="2:5">
      <c r="B129" s="37" t="s">
        <v>42</v>
      </c>
      <c r="C129" s="38" t="s">
        <v>214</v>
      </c>
      <c r="D129" s="38" t="s">
        <v>23</v>
      </c>
      <c r="E129" s="38" t="s">
        <v>23</v>
      </c>
    </row>
    <row r="130" spans="2:5">
      <c r="B130" s="37" t="s">
        <v>76</v>
      </c>
      <c r="C130" s="38" t="s">
        <v>237</v>
      </c>
      <c r="D130" s="38" t="s">
        <v>31</v>
      </c>
      <c r="E130" s="38" t="s">
        <v>80</v>
      </c>
    </row>
    <row r="131" spans="2:5">
      <c r="B131" s="37" t="s">
        <v>62</v>
      </c>
      <c r="C131" s="38" t="s">
        <v>237</v>
      </c>
      <c r="D131" s="38" t="s">
        <v>310</v>
      </c>
      <c r="E131" s="38" t="s">
        <v>80</v>
      </c>
    </row>
    <row r="132" spans="2:5">
      <c r="B132" s="37" t="s">
        <v>311</v>
      </c>
      <c r="C132" s="38" t="s">
        <v>228</v>
      </c>
      <c r="D132" s="38">
        <v>0</v>
      </c>
      <c r="E132" s="38" t="s">
        <v>133</v>
      </c>
    </row>
    <row r="133" spans="2:5">
      <c r="B133" s="37" t="s">
        <v>124</v>
      </c>
      <c r="C133" s="38" t="s">
        <v>252</v>
      </c>
      <c r="D133" s="38" t="s">
        <v>230</v>
      </c>
      <c r="E133" s="38" t="s">
        <v>122</v>
      </c>
    </row>
    <row r="134" spans="2:5">
      <c r="B134" s="37" t="s">
        <v>68</v>
      </c>
      <c r="C134" s="38" t="s">
        <v>203</v>
      </c>
      <c r="D134" s="38" t="s">
        <v>204</v>
      </c>
      <c r="E134" s="38" t="s">
        <v>64</v>
      </c>
    </row>
    <row r="135" spans="2:5">
      <c r="B135" s="37" t="s">
        <v>135</v>
      </c>
      <c r="C135" s="38" t="s">
        <v>208</v>
      </c>
      <c r="D135" s="38" t="s">
        <v>157</v>
      </c>
      <c r="E135" s="38" t="s">
        <v>133</v>
      </c>
    </row>
    <row r="136" spans="2:5">
      <c r="B136" s="37" t="s">
        <v>312</v>
      </c>
      <c r="C136" s="38" t="s">
        <v>252</v>
      </c>
      <c r="D136" s="38" t="s">
        <v>133</v>
      </c>
      <c r="E136" s="38" t="s">
        <v>133</v>
      </c>
    </row>
    <row r="137" spans="2:5">
      <c r="B137" s="37" t="s">
        <v>313</v>
      </c>
      <c r="C137" s="38" t="s">
        <v>206</v>
      </c>
      <c r="D137" s="38" t="s">
        <v>133</v>
      </c>
      <c r="E137" s="38" t="s">
        <v>133</v>
      </c>
    </row>
    <row r="138" spans="2:5">
      <c r="B138" s="37" t="s">
        <v>314</v>
      </c>
      <c r="C138" s="38" t="s">
        <v>228</v>
      </c>
      <c r="D138" s="38" t="s">
        <v>136</v>
      </c>
      <c r="E138" s="38" t="s">
        <v>133</v>
      </c>
    </row>
    <row r="139" spans="2:5">
      <c r="B139" s="37" t="s">
        <v>315</v>
      </c>
      <c r="C139" s="38" t="s">
        <v>221</v>
      </c>
      <c r="D139" s="38" t="s">
        <v>133</v>
      </c>
      <c r="E139" s="38" t="s">
        <v>133</v>
      </c>
    </row>
    <row r="140" spans="2:5">
      <c r="B140" s="37" t="s">
        <v>46</v>
      </c>
      <c r="C140" s="38" t="s">
        <v>214</v>
      </c>
      <c r="D140" s="38" t="s">
        <v>23</v>
      </c>
      <c r="E140" s="38" t="s">
        <v>23</v>
      </c>
    </row>
    <row r="141" spans="2:5">
      <c r="B141" s="37" t="s">
        <v>22</v>
      </c>
      <c r="C141" s="38" t="s">
        <v>214</v>
      </c>
      <c r="D141" s="38" t="s">
        <v>23</v>
      </c>
      <c r="E141" s="38" t="s">
        <v>23</v>
      </c>
    </row>
    <row r="142" spans="2:5">
      <c r="B142" s="37" t="s">
        <v>26</v>
      </c>
      <c r="C142" s="38" t="s">
        <v>226</v>
      </c>
      <c r="D142" s="38" t="s">
        <v>27</v>
      </c>
      <c r="E142" s="38" t="s">
        <v>55</v>
      </c>
    </row>
    <row r="143" spans="2:5">
      <c r="B143" s="37" t="s">
        <v>316</v>
      </c>
      <c r="C143" s="38" t="s">
        <v>206</v>
      </c>
      <c r="D143" s="38" t="s">
        <v>145</v>
      </c>
      <c r="E143" s="38" t="s">
        <v>133</v>
      </c>
    </row>
    <row r="144" spans="2:5">
      <c r="B144" s="37" t="s">
        <v>317</v>
      </c>
      <c r="C144" s="38" t="s">
        <v>220</v>
      </c>
      <c r="D144" s="38">
        <v>0</v>
      </c>
      <c r="E144" s="38" t="s">
        <v>112</v>
      </c>
    </row>
    <row r="145" spans="2:5">
      <c r="B145" s="37" t="s">
        <v>34</v>
      </c>
      <c r="C145" s="38" t="s">
        <v>203</v>
      </c>
      <c r="D145" s="38" t="s">
        <v>35</v>
      </c>
      <c r="E145" s="38" t="s">
        <v>35</v>
      </c>
    </row>
    <row r="146" spans="2:5">
      <c r="B146" s="37" t="s">
        <v>318</v>
      </c>
      <c r="C146" s="38" t="s">
        <v>206</v>
      </c>
      <c r="D146" s="38" t="s">
        <v>223</v>
      </c>
      <c r="E146" s="38" t="s">
        <v>133</v>
      </c>
    </row>
    <row r="147" spans="2:5">
      <c r="B147" s="37" t="s">
        <v>319</v>
      </c>
      <c r="C147" s="38" t="s">
        <v>252</v>
      </c>
      <c r="D147" s="38" t="s">
        <v>57</v>
      </c>
      <c r="E147" s="38" t="s">
        <v>133</v>
      </c>
    </row>
    <row r="148" spans="2:5">
      <c r="B148" s="37" t="s">
        <v>320</v>
      </c>
      <c r="C148" s="38" t="s">
        <v>248</v>
      </c>
      <c r="D148" s="38" t="s">
        <v>133</v>
      </c>
      <c r="E148" s="38" t="s">
        <v>136</v>
      </c>
    </row>
    <row r="149" spans="2:5">
      <c r="B149" s="37" t="s">
        <v>162</v>
      </c>
      <c r="C149" s="38" t="s">
        <v>220</v>
      </c>
      <c r="D149" s="38" t="s">
        <v>122</v>
      </c>
      <c r="E149" s="38" t="s">
        <v>112</v>
      </c>
    </row>
    <row r="150" spans="2:5">
      <c r="B150" s="37" t="s">
        <v>321</v>
      </c>
      <c r="C150" s="38" t="s">
        <v>203</v>
      </c>
      <c r="D150" s="38" t="s">
        <v>75</v>
      </c>
      <c r="E150" s="38" t="s">
        <v>133</v>
      </c>
    </row>
    <row r="151" spans="2:5">
      <c r="B151" s="37" t="s">
        <v>152</v>
      </c>
      <c r="C151" s="38" t="s">
        <v>206</v>
      </c>
      <c r="D151" s="38" t="s">
        <v>142</v>
      </c>
      <c r="E151" s="38" t="s">
        <v>145</v>
      </c>
    </row>
    <row r="152" spans="2:5">
      <c r="B152" s="37" t="s">
        <v>158</v>
      </c>
      <c r="C152" s="38" t="s">
        <v>208</v>
      </c>
      <c r="D152" s="38" t="s">
        <v>157</v>
      </c>
      <c r="E152" s="38" t="s">
        <v>133</v>
      </c>
    </row>
    <row r="153" spans="2:5">
      <c r="B153" s="37" t="s">
        <v>322</v>
      </c>
      <c r="C153" s="38" t="s">
        <v>199</v>
      </c>
      <c r="D153" s="38" t="s">
        <v>55</v>
      </c>
      <c r="E153" s="38" t="s">
        <v>100</v>
      </c>
    </row>
    <row r="154" spans="2:5">
      <c r="B154" s="37" t="s">
        <v>98</v>
      </c>
      <c r="C154" s="38" t="s">
        <v>226</v>
      </c>
      <c r="D154" s="38" t="s">
        <v>55</v>
      </c>
      <c r="E154" s="38" t="s">
        <v>100</v>
      </c>
    </row>
    <row r="155" spans="2:5">
      <c r="B155" s="37" t="s">
        <v>90</v>
      </c>
      <c r="C155" s="38" t="s">
        <v>214</v>
      </c>
      <c r="D155" s="38" t="s">
        <v>27</v>
      </c>
      <c r="E155" s="38" t="s">
        <v>133</v>
      </c>
    </row>
    <row r="156" spans="2:5">
      <c r="B156" s="37" t="s">
        <v>323</v>
      </c>
      <c r="C156" s="38" t="s">
        <v>203</v>
      </c>
      <c r="D156" s="38" t="s">
        <v>35</v>
      </c>
      <c r="E156" s="38" t="s">
        <v>75</v>
      </c>
    </row>
    <row r="157" spans="2:5">
      <c r="B157" s="37" t="s">
        <v>324</v>
      </c>
      <c r="C157" s="38" t="s">
        <v>201</v>
      </c>
      <c r="D157" s="38" t="s">
        <v>122</v>
      </c>
      <c r="E157" s="38" t="s">
        <v>122</v>
      </c>
    </row>
    <row r="158" spans="2:5">
      <c r="B158" s="37" t="s">
        <v>325</v>
      </c>
      <c r="C158" s="38" t="s">
        <v>225</v>
      </c>
      <c r="D158" s="38" t="s">
        <v>133</v>
      </c>
      <c r="E158" s="38" t="s">
        <v>133</v>
      </c>
    </row>
    <row r="159" spans="2:5">
      <c r="B159" s="37" t="s">
        <v>88</v>
      </c>
      <c r="C159" s="38" t="s">
        <v>252</v>
      </c>
      <c r="D159" s="38" t="s">
        <v>89</v>
      </c>
      <c r="E159" s="38" t="s">
        <v>89</v>
      </c>
    </row>
    <row r="160" spans="2:5">
      <c r="B160" s="37" t="s">
        <v>156</v>
      </c>
      <c r="C160" s="38" t="s">
        <v>248</v>
      </c>
      <c r="D160" s="38" t="s">
        <v>157</v>
      </c>
      <c r="E160" s="38" t="s">
        <v>133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ECC2FF-6633-443D-985A-6D4EABB6A2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StartHere</vt:lpstr>
      <vt:lpstr>AutoGovYield</vt:lpstr>
      <vt:lpstr>RfrCalculator</vt:lpstr>
      <vt:lpstr>RfrCountries</vt:lpstr>
      <vt:lpstr>10yrCDS</vt:lpstr>
      <vt:lpstr>Ratings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Prakash</dc:creator>
  <cp:lastModifiedBy>Jay Prakash</cp:lastModifiedBy>
  <dcterms:created xsi:type="dcterms:W3CDTF">2025-11-17T20:08:26Z</dcterms:created>
  <dcterms:modified xsi:type="dcterms:W3CDTF">2025-11-19T11:42:25Z</dcterms:modified>
</cp:coreProperties>
</file>