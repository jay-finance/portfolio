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ayyp\Downloads\"/>
    </mc:Choice>
  </mc:AlternateContent>
  <xr:revisionPtr revIDLastSave="0" documentId="13_ncr:1_{6FD54BE4-B348-411B-B76D-05477D619FD0}" xr6:coauthVersionLast="47" xr6:coauthVersionMax="47" xr10:uidLastSave="{00000000-0000-0000-0000-000000000000}"/>
  <bookViews>
    <workbookView xWindow="-120" yWindow="-120" windowWidth="24240" windowHeight="13020" xr2:uid="{15FC0889-4EEC-4ADF-838B-1D038B2C9A86}"/>
  </bookViews>
  <sheets>
    <sheet name="ReadMe" sheetId="6" r:id="rId1"/>
    <sheet name="ERPcalc" sheetId="3" r:id="rId2"/>
    <sheet name="RelativeVolatility" sheetId="5" r:id="rId3"/>
    <sheet name="ERPsCRPs&amp;Spreads" sheetId="4" r:id="rId4"/>
    <sheet name="CtryERP&amp;CRP" sheetId="13" r:id="rId5"/>
    <sheet name="RegionalERP" sheetId="2" r:id="rId6"/>
    <sheet name="Data&gt;" sheetId="1" r:id="rId7"/>
    <sheet name="Ratings&amp;PRS" sheetId="8" r:id="rId8"/>
    <sheet name="RegionLookup" sheetId="9" r:id="rId9"/>
    <sheet name="CDS" sheetId="10" r:id="rId10"/>
    <sheet name="GDP" sheetId="11" r:id="rId11"/>
  </sheets>
  <externalReferences>
    <externalReference r:id="rId12"/>
  </externalReferences>
  <definedNames>
    <definedName name="_xlnm._FilterDatabase" localSheetId="3" hidden="1">'ERPsCRPs&amp;Spreads'!$B$7:$K$164</definedName>
    <definedName name="_xlnm._FilterDatabase" localSheetId="2" hidden="1">RelativeVolatility!$B$20:$D$1284</definedName>
  </definedNames>
  <calcPr calcId="191029"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E4" i="4"/>
  <c r="D6" i="5" l="1"/>
  <c r="E6" i="5" s="1"/>
  <c r="E11" i="5"/>
  <c r="B10" i="2" l="1"/>
  <c r="B11" i="2"/>
  <c r="AQ24" i="2"/>
  <c r="AQ23" i="2"/>
  <c r="AQ22" i="2"/>
  <c r="AL41" i="2"/>
  <c r="AL40" i="2"/>
  <c r="AL39" i="2"/>
  <c r="AL38" i="2"/>
  <c r="AL37" i="2"/>
  <c r="AL36" i="2"/>
  <c r="AL35" i="2"/>
  <c r="AL34" i="2"/>
  <c r="AL33" i="2"/>
  <c r="AL32" i="2"/>
  <c r="AL31" i="2"/>
  <c r="AL30" i="2"/>
  <c r="AL29" i="2"/>
  <c r="AL28" i="2"/>
  <c r="AL27" i="2"/>
  <c r="AL26" i="2"/>
  <c r="AL25" i="2"/>
  <c r="AL24" i="2"/>
  <c r="AL23" i="2"/>
  <c r="AL22" i="2"/>
  <c r="AG36" i="2"/>
  <c r="AG35" i="2"/>
  <c r="AG34" i="2"/>
  <c r="AG33" i="2"/>
  <c r="AG32" i="2"/>
  <c r="AG31" i="2"/>
  <c r="AG30" i="2"/>
  <c r="AG29" i="2"/>
  <c r="AG28" i="2"/>
  <c r="AG27" i="2"/>
  <c r="AG26" i="2"/>
  <c r="AG25" i="2"/>
  <c r="AG24" i="2"/>
  <c r="AG23" i="2"/>
  <c r="AG22" i="2"/>
  <c r="AB23" i="2"/>
  <c r="AB22" i="2"/>
  <c r="W47" i="2"/>
  <c r="W46" i="2"/>
  <c r="W45" i="2"/>
  <c r="W44" i="2"/>
  <c r="W43" i="2"/>
  <c r="W42" i="2"/>
  <c r="W41" i="2"/>
  <c r="W40" i="2"/>
  <c r="W39" i="2"/>
  <c r="W38" i="2"/>
  <c r="W37" i="2"/>
  <c r="W36" i="2"/>
  <c r="W35" i="2"/>
  <c r="W34" i="2"/>
  <c r="W33" i="2"/>
  <c r="W32" i="2"/>
  <c r="W31" i="2"/>
  <c r="W30" i="2"/>
  <c r="W29" i="2"/>
  <c r="W28" i="2"/>
  <c r="W27" i="2"/>
  <c r="W26" i="2"/>
  <c r="W25" i="2"/>
  <c r="W24" i="2"/>
  <c r="W23" i="2"/>
  <c r="W22" i="2"/>
  <c r="R48" i="2"/>
  <c r="R47" i="2"/>
  <c r="R46" i="2"/>
  <c r="R45" i="2"/>
  <c r="R44" i="2"/>
  <c r="R43" i="2"/>
  <c r="R42" i="2"/>
  <c r="R41" i="2"/>
  <c r="R40" i="2"/>
  <c r="R39" i="2"/>
  <c r="R38" i="2"/>
  <c r="R37" i="2"/>
  <c r="R36" i="2"/>
  <c r="R35" i="2"/>
  <c r="R34" i="2"/>
  <c r="R33" i="2"/>
  <c r="R32" i="2"/>
  <c r="R31" i="2"/>
  <c r="R30" i="2"/>
  <c r="R29" i="2"/>
  <c r="R28" i="2"/>
  <c r="R27" i="2"/>
  <c r="R26" i="2"/>
  <c r="R25" i="2"/>
  <c r="R24" i="2"/>
  <c r="R23" i="2"/>
  <c r="R22"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H37" i="2"/>
  <c r="H36" i="2"/>
  <c r="H35" i="2"/>
  <c r="H34" i="2"/>
  <c r="H33" i="2"/>
  <c r="H32" i="2"/>
  <c r="H31" i="2"/>
  <c r="H30" i="2"/>
  <c r="H29" i="2"/>
  <c r="H28" i="2"/>
  <c r="H27" i="2"/>
  <c r="H26" i="2"/>
  <c r="H25" i="2"/>
  <c r="H24" i="2"/>
  <c r="H23" i="2"/>
  <c r="H22" i="2"/>
  <c r="C48" i="2"/>
  <c r="C47" i="2"/>
  <c r="C46" i="2"/>
  <c r="C45" i="2"/>
  <c r="C44" i="2"/>
  <c r="C43" i="2"/>
  <c r="C42" i="2"/>
  <c r="C41" i="2"/>
  <c r="C40" i="2"/>
  <c r="C39" i="2"/>
  <c r="C38" i="2"/>
  <c r="C37" i="2"/>
  <c r="C36" i="2"/>
  <c r="C35" i="2"/>
  <c r="C34" i="2"/>
  <c r="C33" i="2"/>
  <c r="C32" i="2"/>
  <c r="C31" i="2"/>
  <c r="C30" i="2"/>
  <c r="C29" i="2"/>
  <c r="C28" i="2"/>
  <c r="C27" i="2"/>
  <c r="C26" i="2"/>
  <c r="C25" i="2"/>
  <c r="C24" i="2"/>
  <c r="C23" i="2"/>
  <c r="C22" i="2"/>
  <c r="D8" i="4"/>
  <c r="L64" i="2"/>
  <c r="K197" i="13"/>
  <c r="F197" i="13"/>
  <c r="K196" i="13"/>
  <c r="F196" i="13"/>
  <c r="K195" i="13"/>
  <c r="F195" i="13"/>
  <c r="K192" i="13"/>
  <c r="K191" i="13"/>
  <c r="K190" i="13"/>
  <c r="K189" i="13"/>
  <c r="K188" i="13"/>
  <c r="K187" i="13"/>
  <c r="J186" i="13"/>
  <c r="I186" i="13"/>
  <c r="K185" i="13"/>
  <c r="K184" i="13"/>
  <c r="K183" i="13"/>
  <c r="K182" i="13"/>
  <c r="K181" i="13"/>
  <c r="K180" i="13"/>
  <c r="K179" i="13"/>
  <c r="K178" i="13"/>
  <c r="F192" i="13"/>
  <c r="F191" i="13"/>
  <c r="F190" i="13"/>
  <c r="F189" i="13"/>
  <c r="F188" i="13"/>
  <c r="F187" i="13"/>
  <c r="E186" i="13"/>
  <c r="D186" i="13"/>
  <c r="F185" i="13"/>
  <c r="F184" i="13"/>
  <c r="F183" i="13"/>
  <c r="F182" i="13"/>
  <c r="F181" i="13"/>
  <c r="F180" i="13"/>
  <c r="F179" i="13"/>
  <c r="F178" i="13"/>
  <c r="K175" i="13"/>
  <c r="K174" i="13"/>
  <c r="K173" i="13"/>
  <c r="K172" i="13"/>
  <c r="K171" i="13"/>
  <c r="K170" i="13"/>
  <c r="K169" i="13"/>
  <c r="K168" i="13"/>
  <c r="K167" i="13"/>
  <c r="J166" i="13"/>
  <c r="I166" i="13"/>
  <c r="K165" i="13"/>
  <c r="K164" i="13"/>
  <c r="K163" i="13"/>
  <c r="K162" i="13"/>
  <c r="K161" i="13"/>
  <c r="K160" i="13"/>
  <c r="K159" i="13"/>
  <c r="K158" i="13"/>
  <c r="K157" i="13"/>
  <c r="K156" i="13"/>
  <c r="F175" i="13"/>
  <c r="F174" i="13"/>
  <c r="F173" i="13"/>
  <c r="F172" i="13"/>
  <c r="F171" i="13"/>
  <c r="F170" i="13"/>
  <c r="F169" i="13"/>
  <c r="F168" i="13"/>
  <c r="F167" i="13"/>
  <c r="E166" i="13"/>
  <c r="D166" i="13"/>
  <c r="F165" i="13"/>
  <c r="F164" i="13"/>
  <c r="F163" i="13"/>
  <c r="F162" i="13"/>
  <c r="F161" i="13"/>
  <c r="F160" i="13"/>
  <c r="F159" i="13"/>
  <c r="F158" i="13"/>
  <c r="F157" i="13"/>
  <c r="F156" i="13"/>
  <c r="K153" i="13"/>
  <c r="F153" i="13"/>
  <c r="K152" i="13"/>
  <c r="F152"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F149" i="13"/>
  <c r="F148" i="13"/>
  <c r="F147" i="13"/>
  <c r="F146" i="13"/>
  <c r="F145" i="13"/>
  <c r="F144" i="13"/>
  <c r="F143" i="13"/>
  <c r="F142" i="13"/>
  <c r="F141" i="13"/>
  <c r="F140" i="13"/>
  <c r="F139" i="13"/>
  <c r="F138" i="13"/>
  <c r="F137" i="13"/>
  <c r="F136" i="13"/>
  <c r="F135" i="13"/>
  <c r="F134" i="13"/>
  <c r="F133" i="13"/>
  <c r="F132" i="13"/>
  <c r="F131" i="13"/>
  <c r="F130" i="13"/>
  <c r="F129" i="13"/>
  <c r="F128" i="13"/>
  <c r="F127" i="13"/>
  <c r="F126" i="13"/>
  <c r="F125" i="13"/>
  <c r="F124" i="13"/>
  <c r="K121" i="13"/>
  <c r="K120" i="13"/>
  <c r="K119" i="13"/>
  <c r="K118" i="13"/>
  <c r="K117" i="13"/>
  <c r="K116" i="13"/>
  <c r="J115" i="13"/>
  <c r="I115" i="13"/>
  <c r="K114" i="13"/>
  <c r="K113" i="13"/>
  <c r="K112" i="13"/>
  <c r="K111" i="13"/>
  <c r="K110" i="13"/>
  <c r="K109" i="13"/>
  <c r="K108" i="13"/>
  <c r="K107" i="13"/>
  <c r="K106" i="13"/>
  <c r="K105" i="13"/>
  <c r="K104" i="13"/>
  <c r="K103" i="13"/>
  <c r="K102" i="13"/>
  <c r="K101" i="13"/>
  <c r="K100" i="13"/>
  <c r="K99" i="13"/>
  <c r="K98" i="13"/>
  <c r="K97" i="13"/>
  <c r="K96" i="13"/>
  <c r="K95" i="13"/>
  <c r="F121" i="13"/>
  <c r="F120" i="13"/>
  <c r="F119" i="13"/>
  <c r="F118" i="13"/>
  <c r="F117" i="13"/>
  <c r="F116" i="13"/>
  <c r="E115" i="13"/>
  <c r="D115" i="13"/>
  <c r="F114" i="13"/>
  <c r="F113" i="13"/>
  <c r="F112" i="13"/>
  <c r="F111" i="13"/>
  <c r="F110" i="13"/>
  <c r="F109" i="13"/>
  <c r="F108" i="13"/>
  <c r="F107" i="13"/>
  <c r="F106" i="13"/>
  <c r="F105" i="13"/>
  <c r="F104" i="13"/>
  <c r="F103" i="13"/>
  <c r="F102" i="13"/>
  <c r="F101" i="13"/>
  <c r="F100" i="13"/>
  <c r="F99" i="13"/>
  <c r="F98" i="13"/>
  <c r="F97" i="13"/>
  <c r="F96" i="13"/>
  <c r="F95" i="13"/>
  <c r="J92" i="13"/>
  <c r="I92" i="13"/>
  <c r="K91" i="13"/>
  <c r="K90" i="13"/>
  <c r="K89" i="13"/>
  <c r="K88" i="13"/>
  <c r="K87" i="13"/>
  <c r="K86" i="13"/>
  <c r="J85" i="13"/>
  <c r="I85" i="13"/>
  <c r="K84" i="13"/>
  <c r="J83" i="13"/>
  <c r="I83" i="13"/>
  <c r="J82" i="13"/>
  <c r="I82" i="13"/>
  <c r="K81" i="13"/>
  <c r="K80" i="13"/>
  <c r="K79" i="13"/>
  <c r="K78" i="13"/>
  <c r="K77" i="13"/>
  <c r="K76" i="13"/>
  <c r="K75" i="13"/>
  <c r="K74" i="13"/>
  <c r="K73" i="13"/>
  <c r="J72" i="13"/>
  <c r="I72" i="13"/>
  <c r="J71" i="13"/>
  <c r="I71" i="13"/>
  <c r="J70" i="13"/>
  <c r="I70" i="13"/>
  <c r="J69" i="13"/>
  <c r="I69" i="13"/>
  <c r="K68" i="13"/>
  <c r="J67" i="13"/>
  <c r="I67" i="13"/>
  <c r="J66" i="13"/>
  <c r="I66" i="13"/>
  <c r="K65" i="13"/>
  <c r="J64" i="13"/>
  <c r="I64" i="13"/>
  <c r="K63" i="13"/>
  <c r="K62" i="13"/>
  <c r="K61" i="13"/>
  <c r="K60" i="13"/>
  <c r="K59" i="13"/>
  <c r="K58" i="13"/>
  <c r="K57" i="13"/>
  <c r="K56" i="13"/>
  <c r="K55" i="13"/>
  <c r="K54" i="13"/>
  <c r="K53" i="13"/>
  <c r="K52" i="13"/>
  <c r="J51" i="13"/>
  <c r="I51" i="13"/>
  <c r="E92" i="13"/>
  <c r="D92" i="13"/>
  <c r="F91" i="13"/>
  <c r="F90" i="13"/>
  <c r="F89" i="13"/>
  <c r="F88" i="13"/>
  <c r="F87" i="13"/>
  <c r="F86" i="13"/>
  <c r="E85" i="13"/>
  <c r="D85" i="13"/>
  <c r="F84" i="13"/>
  <c r="E83" i="13"/>
  <c r="D83" i="13"/>
  <c r="E82" i="13"/>
  <c r="D82" i="13"/>
  <c r="F81" i="13"/>
  <c r="F80" i="13"/>
  <c r="F79" i="13"/>
  <c r="F78" i="13"/>
  <c r="F77" i="13"/>
  <c r="F76" i="13"/>
  <c r="F75" i="13"/>
  <c r="F74" i="13"/>
  <c r="F73" i="13"/>
  <c r="E72" i="13"/>
  <c r="D72" i="13"/>
  <c r="E71" i="13"/>
  <c r="D71" i="13"/>
  <c r="E70" i="13"/>
  <c r="D70" i="13"/>
  <c r="E69" i="13"/>
  <c r="D69" i="13"/>
  <c r="F68" i="13"/>
  <c r="E67" i="13"/>
  <c r="D67" i="13"/>
  <c r="E66" i="13"/>
  <c r="D66" i="13"/>
  <c r="F65" i="13"/>
  <c r="E64" i="13"/>
  <c r="D64" i="13"/>
  <c r="F63" i="13"/>
  <c r="F62" i="13"/>
  <c r="F61" i="13"/>
  <c r="F60" i="13"/>
  <c r="F59" i="13"/>
  <c r="F58" i="13"/>
  <c r="F57" i="13"/>
  <c r="F56" i="13"/>
  <c r="F55" i="13"/>
  <c r="F54" i="13"/>
  <c r="F53" i="13"/>
  <c r="F52" i="13"/>
  <c r="E51" i="13"/>
  <c r="D51" i="13"/>
  <c r="J48" i="13"/>
  <c r="I48" i="13"/>
  <c r="K47" i="13"/>
  <c r="J46" i="13"/>
  <c r="I46" i="13"/>
  <c r="K45" i="13"/>
  <c r="K44" i="13"/>
  <c r="K43" i="13"/>
  <c r="K42" i="13"/>
  <c r="K41" i="13"/>
  <c r="K40" i="13"/>
  <c r="K39" i="13"/>
  <c r="K38" i="13"/>
  <c r="K37" i="13"/>
  <c r="K36" i="13"/>
  <c r="J35" i="13"/>
  <c r="I35" i="13"/>
  <c r="K34" i="13"/>
  <c r="K33" i="13"/>
  <c r="E48" i="13"/>
  <c r="D48" i="13"/>
  <c r="F47" i="13"/>
  <c r="E46" i="13"/>
  <c r="D46" i="13"/>
  <c r="F45" i="13"/>
  <c r="F44" i="13"/>
  <c r="F43" i="13"/>
  <c r="F42" i="13"/>
  <c r="F41" i="13"/>
  <c r="F40" i="13"/>
  <c r="F39" i="13"/>
  <c r="F38" i="13"/>
  <c r="F37" i="13"/>
  <c r="F36" i="13"/>
  <c r="E35" i="13"/>
  <c r="D35" i="13"/>
  <c r="F34" i="13"/>
  <c r="F33" i="13"/>
  <c r="K30" i="13"/>
  <c r="K29" i="13"/>
  <c r="K28" i="13"/>
  <c r="K27" i="13"/>
  <c r="K26" i="13"/>
  <c r="K25" i="13"/>
  <c r="K24" i="13"/>
  <c r="K23" i="13"/>
  <c r="K22" i="13"/>
  <c r="K21" i="13"/>
  <c r="K19" i="13"/>
  <c r="K18" i="13"/>
  <c r="K17" i="13"/>
  <c r="K16" i="13"/>
  <c r="K15" i="13"/>
  <c r="K13" i="13"/>
  <c r="K12" i="13"/>
  <c r="K11" i="13"/>
  <c r="K10" i="13"/>
  <c r="K9" i="13"/>
  <c r="K8" i="13"/>
  <c r="K7" i="13"/>
  <c r="K6" i="13"/>
  <c r="K4" i="13"/>
  <c r="J20" i="13"/>
  <c r="J14" i="13"/>
  <c r="J5" i="13"/>
  <c r="I20" i="13"/>
  <c r="I14" i="13"/>
  <c r="I5" i="13"/>
  <c r="F30" i="13"/>
  <c r="F29" i="13"/>
  <c r="F28" i="13"/>
  <c r="F27" i="13"/>
  <c r="F26" i="13"/>
  <c r="F25" i="13"/>
  <c r="F24" i="13"/>
  <c r="F23" i="13"/>
  <c r="F22" i="13"/>
  <c r="F21" i="13"/>
  <c r="F19" i="13"/>
  <c r="F18" i="13"/>
  <c r="F17" i="13"/>
  <c r="F16" i="13"/>
  <c r="F15" i="13"/>
  <c r="F13" i="13"/>
  <c r="F12" i="13"/>
  <c r="F11" i="13"/>
  <c r="F10" i="13"/>
  <c r="F9" i="13"/>
  <c r="F8" i="13"/>
  <c r="F7" i="13"/>
  <c r="F6" i="13"/>
  <c r="F4" i="13"/>
  <c r="E20" i="13"/>
  <c r="E14" i="13"/>
  <c r="E5" i="13"/>
  <c r="D20" i="13"/>
  <c r="D14" i="13"/>
  <c r="D5" i="13"/>
  <c r="I20" i="4"/>
  <c r="J20" i="4" s="1"/>
  <c r="I4" i="13" s="1"/>
  <c r="AQ25" i="2" l="1"/>
  <c r="C6" i="2" s="1"/>
  <c r="AL42" i="2"/>
  <c r="AB24" i="2"/>
  <c r="AG37" i="2"/>
  <c r="W48" i="2"/>
  <c r="R49" i="2"/>
  <c r="H38" i="2"/>
  <c r="C49" i="2"/>
  <c r="M64" i="2"/>
  <c r="D12" i="5"/>
  <c r="D11" i="5"/>
  <c r="D1612" i="5"/>
  <c r="D1611" i="5"/>
  <c r="D1610" i="5"/>
  <c r="D1609" i="5"/>
  <c r="D1608" i="5"/>
  <c r="D1607" i="5"/>
  <c r="D1606" i="5"/>
  <c r="D1605" i="5"/>
  <c r="D1604" i="5"/>
  <c r="D1603" i="5"/>
  <c r="D1602" i="5"/>
  <c r="D1601" i="5"/>
  <c r="D1600" i="5"/>
  <c r="D1599" i="5"/>
  <c r="D1598" i="5"/>
  <c r="D1597" i="5"/>
  <c r="D1596" i="5"/>
  <c r="D1595" i="5"/>
  <c r="D1594" i="5"/>
  <c r="D1593" i="5"/>
  <c r="D1592" i="5"/>
  <c r="D1591" i="5"/>
  <c r="D1590" i="5"/>
  <c r="D1589" i="5"/>
  <c r="D1588" i="5"/>
  <c r="D1587" i="5"/>
  <c r="D1586" i="5"/>
  <c r="D1585" i="5"/>
  <c r="D1584" i="5"/>
  <c r="D1583" i="5"/>
  <c r="D1582" i="5"/>
  <c r="D1581" i="5"/>
  <c r="D1580" i="5"/>
  <c r="D1579" i="5"/>
  <c r="D1578" i="5"/>
  <c r="D1577" i="5"/>
  <c r="D1576" i="5"/>
  <c r="D1575" i="5"/>
  <c r="D1574" i="5"/>
  <c r="D1573" i="5"/>
  <c r="D1572" i="5"/>
  <c r="D1571" i="5"/>
  <c r="D1570" i="5"/>
  <c r="D1569" i="5"/>
  <c r="D1568" i="5"/>
  <c r="D1567" i="5"/>
  <c r="D1566" i="5"/>
  <c r="D1565" i="5"/>
  <c r="D1564" i="5"/>
  <c r="D1563" i="5"/>
  <c r="D1562" i="5"/>
  <c r="D1561" i="5"/>
  <c r="D1560" i="5"/>
  <c r="D1559" i="5"/>
  <c r="D1558" i="5"/>
  <c r="D1557" i="5"/>
  <c r="D1556" i="5"/>
  <c r="D1555" i="5"/>
  <c r="D1554" i="5"/>
  <c r="D1553" i="5"/>
  <c r="D1552" i="5"/>
  <c r="D1551" i="5"/>
  <c r="D1550" i="5"/>
  <c r="D1549" i="5"/>
  <c r="D1548" i="5"/>
  <c r="D1547" i="5"/>
  <c r="D1546" i="5"/>
  <c r="D1545" i="5"/>
  <c r="D1544" i="5"/>
  <c r="D1543" i="5"/>
  <c r="D1542" i="5"/>
  <c r="D1541" i="5"/>
  <c r="D1540" i="5"/>
  <c r="D1539" i="5"/>
  <c r="D1538" i="5"/>
  <c r="D1537" i="5"/>
  <c r="C12" i="5" s="1"/>
  <c r="D1535" i="5"/>
  <c r="D1534" i="5"/>
  <c r="D1533" i="5"/>
  <c r="D1532" i="5"/>
  <c r="D1531" i="5"/>
  <c r="D1530" i="5"/>
  <c r="D1529" i="5"/>
  <c r="D1528" i="5"/>
  <c r="D1527" i="5"/>
  <c r="D1526" i="5"/>
  <c r="D1525" i="5"/>
  <c r="D1524" i="5"/>
  <c r="D1523" i="5"/>
  <c r="D1522" i="5"/>
  <c r="D1521" i="5"/>
  <c r="D1520" i="5"/>
  <c r="D1519" i="5"/>
  <c r="D1518" i="5"/>
  <c r="D1517" i="5"/>
  <c r="D1516" i="5"/>
  <c r="D1515" i="5"/>
  <c r="D1514" i="5"/>
  <c r="D1513" i="5"/>
  <c r="D1512" i="5"/>
  <c r="D1511" i="5"/>
  <c r="D1510" i="5"/>
  <c r="D1509" i="5"/>
  <c r="D1508" i="5"/>
  <c r="D1507" i="5"/>
  <c r="D1506" i="5"/>
  <c r="D1505" i="5"/>
  <c r="D1504" i="5"/>
  <c r="D1503" i="5"/>
  <c r="D1502" i="5"/>
  <c r="D1501" i="5"/>
  <c r="D1500" i="5"/>
  <c r="D1499" i="5"/>
  <c r="D1498" i="5"/>
  <c r="D1497" i="5"/>
  <c r="D1496" i="5"/>
  <c r="D1495" i="5"/>
  <c r="D1494" i="5"/>
  <c r="D1493" i="5"/>
  <c r="D1492" i="5"/>
  <c r="D1491" i="5"/>
  <c r="D1490" i="5"/>
  <c r="D1489" i="5"/>
  <c r="D1488" i="5"/>
  <c r="D1487" i="5"/>
  <c r="D1486" i="5"/>
  <c r="D1485" i="5"/>
  <c r="D1484" i="5"/>
  <c r="D1483" i="5"/>
  <c r="D1482" i="5"/>
  <c r="D1481" i="5"/>
  <c r="D1480" i="5"/>
  <c r="D1479" i="5"/>
  <c r="D1478" i="5"/>
  <c r="D1477" i="5"/>
  <c r="D1476" i="5"/>
  <c r="D1475" i="5"/>
  <c r="D1474" i="5"/>
  <c r="D1473" i="5"/>
  <c r="D1472" i="5"/>
  <c r="D1471" i="5"/>
  <c r="D1470" i="5"/>
  <c r="D1469" i="5"/>
  <c r="D1468" i="5"/>
  <c r="D1467" i="5"/>
  <c r="D1466" i="5"/>
  <c r="D1465" i="5"/>
  <c r="D1464" i="5"/>
  <c r="D1463" i="5"/>
  <c r="D1462" i="5"/>
  <c r="D1461" i="5"/>
  <c r="D1460" i="5"/>
  <c r="D1459" i="5"/>
  <c r="D1458" i="5"/>
  <c r="D1457" i="5"/>
  <c r="D1456" i="5"/>
  <c r="D1455" i="5"/>
  <c r="D1454" i="5"/>
  <c r="D1453" i="5"/>
  <c r="D1452" i="5"/>
  <c r="D1451" i="5"/>
  <c r="D1450" i="5"/>
  <c r="D1449" i="5"/>
  <c r="D1448" i="5"/>
  <c r="D1447" i="5"/>
  <c r="D1446" i="5"/>
  <c r="D1445" i="5"/>
  <c r="D1444" i="5"/>
  <c r="D1443" i="5"/>
  <c r="D1442" i="5"/>
  <c r="D1441" i="5"/>
  <c r="D1440" i="5"/>
  <c r="D1439" i="5"/>
  <c r="D1438" i="5"/>
  <c r="D1437" i="5"/>
  <c r="D1436" i="5"/>
  <c r="D1435" i="5"/>
  <c r="D1434" i="5"/>
  <c r="D1433" i="5"/>
  <c r="D1432" i="5"/>
  <c r="D1431" i="5"/>
  <c r="D1430" i="5"/>
  <c r="D1429" i="5"/>
  <c r="D1428" i="5"/>
  <c r="D1427" i="5"/>
  <c r="D1426" i="5"/>
  <c r="D1425" i="5"/>
  <c r="D1424" i="5"/>
  <c r="D1423" i="5"/>
  <c r="D1422" i="5"/>
  <c r="D1421" i="5"/>
  <c r="D1420" i="5"/>
  <c r="D1419" i="5"/>
  <c r="D1418" i="5"/>
  <c r="D1417" i="5"/>
  <c r="D1416" i="5"/>
  <c r="D1415" i="5"/>
  <c r="D1414" i="5"/>
  <c r="D1413" i="5"/>
  <c r="D1412" i="5"/>
  <c r="D1411" i="5"/>
  <c r="D1410" i="5"/>
  <c r="D1409" i="5"/>
  <c r="D1408" i="5"/>
  <c r="D1407" i="5"/>
  <c r="D1406" i="5"/>
  <c r="D1405" i="5"/>
  <c r="D1404" i="5"/>
  <c r="D1403" i="5"/>
  <c r="D1402" i="5"/>
  <c r="D1401" i="5"/>
  <c r="D1400" i="5"/>
  <c r="D1399" i="5"/>
  <c r="D1398" i="5"/>
  <c r="D1397" i="5"/>
  <c r="D1396" i="5"/>
  <c r="D1395" i="5"/>
  <c r="D1394" i="5"/>
  <c r="D1393" i="5"/>
  <c r="D1392" i="5"/>
  <c r="D1391" i="5"/>
  <c r="D1390" i="5"/>
  <c r="D1389" i="5"/>
  <c r="D1388" i="5"/>
  <c r="D1387" i="5"/>
  <c r="D1386" i="5"/>
  <c r="D1385" i="5"/>
  <c r="D1384" i="5"/>
  <c r="D1383" i="5"/>
  <c r="D1382" i="5"/>
  <c r="D1381" i="5"/>
  <c r="D1380" i="5"/>
  <c r="D1379" i="5"/>
  <c r="D1378" i="5"/>
  <c r="D1377" i="5"/>
  <c r="D1376" i="5"/>
  <c r="D1375" i="5"/>
  <c r="D1374" i="5"/>
  <c r="D1373" i="5"/>
  <c r="D1372" i="5"/>
  <c r="D1371" i="5"/>
  <c r="D1370" i="5"/>
  <c r="D1369" i="5"/>
  <c r="D1368" i="5"/>
  <c r="D1367" i="5"/>
  <c r="D1366" i="5"/>
  <c r="D1365" i="5"/>
  <c r="D1364" i="5"/>
  <c r="D1363" i="5"/>
  <c r="D1362" i="5"/>
  <c r="D1361" i="5"/>
  <c r="D1360" i="5"/>
  <c r="D1359" i="5"/>
  <c r="D1358" i="5"/>
  <c r="D1357" i="5"/>
  <c r="D1356" i="5"/>
  <c r="D1355" i="5"/>
  <c r="D1354" i="5"/>
  <c r="D1353" i="5"/>
  <c r="D1352" i="5"/>
  <c r="D1351" i="5"/>
  <c r="D1350" i="5"/>
  <c r="D1349" i="5"/>
  <c r="D1348" i="5"/>
  <c r="D1347" i="5"/>
  <c r="D1346" i="5"/>
  <c r="D1345" i="5"/>
  <c r="D1344" i="5"/>
  <c r="D1343" i="5"/>
  <c r="D1342" i="5"/>
  <c r="D1341" i="5"/>
  <c r="D1340" i="5"/>
  <c r="D1339" i="5"/>
  <c r="D1338" i="5"/>
  <c r="D1337" i="5"/>
  <c r="D1336" i="5"/>
  <c r="D1335" i="5"/>
  <c r="D1334" i="5"/>
  <c r="D1333" i="5"/>
  <c r="D1332" i="5"/>
  <c r="D1331" i="5"/>
  <c r="D1330" i="5"/>
  <c r="D1329" i="5"/>
  <c r="D1328" i="5"/>
  <c r="D1327" i="5"/>
  <c r="D1326" i="5"/>
  <c r="D1325" i="5"/>
  <c r="D1324" i="5"/>
  <c r="D1323" i="5"/>
  <c r="D1322" i="5"/>
  <c r="D1321" i="5"/>
  <c r="D1320" i="5"/>
  <c r="D1319" i="5"/>
  <c r="D1318" i="5"/>
  <c r="D1317" i="5"/>
  <c r="D1316" i="5"/>
  <c r="D1315" i="5"/>
  <c r="D1314" i="5"/>
  <c r="D1313" i="5"/>
  <c r="D1312" i="5"/>
  <c r="D1311" i="5"/>
  <c r="D1310" i="5"/>
  <c r="D1309" i="5"/>
  <c r="D1308" i="5"/>
  <c r="D1307" i="5"/>
  <c r="D1306" i="5"/>
  <c r="D1305" i="5"/>
  <c r="D1304" i="5"/>
  <c r="D1303" i="5"/>
  <c r="D1302" i="5"/>
  <c r="D1301" i="5"/>
  <c r="D1300" i="5"/>
  <c r="D1299" i="5"/>
  <c r="D1298" i="5"/>
  <c r="D1297" i="5"/>
  <c r="D1296" i="5"/>
  <c r="D1295" i="5"/>
  <c r="D1294" i="5"/>
  <c r="D1293" i="5"/>
  <c r="D1292" i="5"/>
  <c r="D1291" i="5"/>
  <c r="D1290" i="5"/>
  <c r="D1289" i="5"/>
  <c r="D1288" i="5"/>
  <c r="D1287" i="5"/>
  <c r="C11" i="5" s="1"/>
  <c r="D71" i="4"/>
  <c r="D97" i="10"/>
  <c r="D95" i="10"/>
  <c r="D91" i="10"/>
  <c r="D76" i="10"/>
  <c r="D55" i="10"/>
  <c r="D33" i="10"/>
  <c r="C4" i="10"/>
  <c r="D88" i="10" s="1"/>
  <c r="C12" i="2" l="1"/>
  <c r="C11" i="2"/>
  <c r="C10" i="2"/>
  <c r="C8" i="2"/>
  <c r="C9" i="2"/>
  <c r="C7" i="2"/>
  <c r="C13" i="2"/>
  <c r="C14" i="2"/>
  <c r="E12" i="5"/>
  <c r="D93" i="10"/>
  <c r="I159" i="4" s="1"/>
  <c r="D94" i="10"/>
  <c r="D19" i="10"/>
  <c r="D43" i="10"/>
  <c r="I72" i="4" s="1"/>
  <c r="D9" i="10"/>
  <c r="D45" i="10"/>
  <c r="D69" i="10"/>
  <c r="D46" i="10"/>
  <c r="D82" i="10"/>
  <c r="D14" i="10"/>
  <c r="D38" i="10"/>
  <c r="D74" i="10"/>
  <c r="D15" i="10"/>
  <c r="D27" i="10"/>
  <c r="D51" i="10"/>
  <c r="D75" i="10"/>
  <c r="D16" i="10"/>
  <c r="D40" i="10"/>
  <c r="D64" i="10"/>
  <c r="D29" i="10"/>
  <c r="D77" i="10"/>
  <c r="D89" i="10"/>
  <c r="D31" i="10"/>
  <c r="D21" i="10"/>
  <c r="D81" i="10"/>
  <c r="D22" i="10"/>
  <c r="D70" i="10"/>
  <c r="D11" i="10"/>
  <c r="D35" i="10"/>
  <c r="D26" i="10"/>
  <c r="D50" i="10"/>
  <c r="D62" i="10"/>
  <c r="D86" i="10"/>
  <c r="D39" i="10"/>
  <c r="D63" i="10"/>
  <c r="D87" i="10"/>
  <c r="D28" i="10"/>
  <c r="D52" i="10"/>
  <c r="D17" i="10"/>
  <c r="D41" i="10"/>
  <c r="D53" i="10"/>
  <c r="D65" i="10"/>
  <c r="D18" i="10"/>
  <c r="D30" i="10"/>
  <c r="D42" i="10"/>
  <c r="D54" i="10"/>
  <c r="D66" i="10"/>
  <c r="D78" i="10"/>
  <c r="D90" i="10"/>
  <c r="D67" i="10"/>
  <c r="D79" i="10"/>
  <c r="D8" i="10"/>
  <c r="I8" i="4" s="1"/>
  <c r="D20" i="10"/>
  <c r="D32" i="10"/>
  <c r="D44" i="10"/>
  <c r="D56" i="10"/>
  <c r="D68" i="10"/>
  <c r="D80" i="10"/>
  <c r="D92" i="10"/>
  <c r="D57" i="10"/>
  <c r="D10" i="10"/>
  <c r="D34" i="10"/>
  <c r="D58" i="10"/>
  <c r="D23" i="10"/>
  <c r="D47" i="10"/>
  <c r="D59" i="10"/>
  <c r="D71" i="10"/>
  <c r="D83" i="10"/>
  <c r="D12" i="10"/>
  <c r="D24" i="10"/>
  <c r="D36" i="10"/>
  <c r="D48" i="10"/>
  <c r="D60" i="10"/>
  <c r="D72" i="10"/>
  <c r="D84" i="10"/>
  <c r="D13" i="10"/>
  <c r="D25" i="10"/>
  <c r="D37" i="10"/>
  <c r="D49" i="10"/>
  <c r="D61" i="10"/>
  <c r="D73" i="10"/>
  <c r="D85" i="10"/>
  <c r="D96" i="10"/>
  <c r="I161" i="4"/>
  <c r="J161" i="4" s="1"/>
  <c r="I157" i="4"/>
  <c r="J157" i="4" s="1"/>
  <c r="I155" i="4"/>
  <c r="J155" i="4" s="1"/>
  <c r="I154" i="4"/>
  <c r="J154" i="4" s="1"/>
  <c r="I151" i="4"/>
  <c r="J151" i="4" s="1"/>
  <c r="I150" i="4"/>
  <c r="J150" i="4" s="1"/>
  <c r="I148" i="4"/>
  <c r="J148" i="4" s="1"/>
  <c r="I147" i="4"/>
  <c r="J147" i="4" s="1"/>
  <c r="I146" i="4"/>
  <c r="J146" i="4" s="1"/>
  <c r="I143" i="4"/>
  <c r="J143" i="4" s="1"/>
  <c r="I142" i="4"/>
  <c r="J142" i="4" s="1"/>
  <c r="I141" i="4"/>
  <c r="J141" i="4" s="1"/>
  <c r="I140" i="4"/>
  <c r="J140" i="4" s="1"/>
  <c r="I139" i="4"/>
  <c r="I136" i="4"/>
  <c r="J136" i="4" s="1"/>
  <c r="I133" i="4"/>
  <c r="J133" i="4" s="1"/>
  <c r="I132" i="4"/>
  <c r="J132" i="4" s="1"/>
  <c r="I126" i="4"/>
  <c r="J126" i="4" s="1"/>
  <c r="I120" i="4"/>
  <c r="J120" i="4" s="1"/>
  <c r="I119" i="4"/>
  <c r="J119" i="4" s="1"/>
  <c r="I113" i="4"/>
  <c r="J113" i="4" s="1"/>
  <c r="I109" i="4"/>
  <c r="J109" i="4" s="1"/>
  <c r="I107" i="4"/>
  <c r="J107" i="4" s="1"/>
  <c r="I105" i="4"/>
  <c r="J105" i="4" s="1"/>
  <c r="I104" i="4"/>
  <c r="J104" i="4" s="1"/>
  <c r="I102" i="4"/>
  <c r="J102" i="4" s="1"/>
  <c r="I100" i="4"/>
  <c r="J100" i="4" s="1"/>
  <c r="I99" i="4"/>
  <c r="J99" i="4" s="1"/>
  <c r="I98" i="4"/>
  <c r="J98" i="4" s="1"/>
  <c r="I97" i="4"/>
  <c r="J97" i="4" s="1"/>
  <c r="I95" i="4"/>
  <c r="J95" i="4" s="1"/>
  <c r="I94" i="4"/>
  <c r="J94" i="4" s="1"/>
  <c r="I93" i="4"/>
  <c r="J93" i="4" s="1"/>
  <c r="I91" i="4"/>
  <c r="J91" i="4" s="1"/>
  <c r="I88" i="4"/>
  <c r="J88" i="4" s="1"/>
  <c r="I87" i="4"/>
  <c r="J87" i="4" s="1"/>
  <c r="I82" i="4"/>
  <c r="J82" i="4" s="1"/>
  <c r="I81" i="4"/>
  <c r="J81" i="4" s="1"/>
  <c r="I79" i="4"/>
  <c r="J79" i="4" s="1"/>
  <c r="I76" i="4"/>
  <c r="J76" i="4" s="1"/>
  <c r="I68" i="4"/>
  <c r="J68" i="4" s="1"/>
  <c r="I67" i="4"/>
  <c r="J67" i="4" s="1"/>
  <c r="I64" i="4"/>
  <c r="J64" i="4" s="1"/>
  <c r="I62" i="4"/>
  <c r="J62" i="4" s="1"/>
  <c r="I58" i="4"/>
  <c r="J58" i="4" s="1"/>
  <c r="I52" i="4"/>
  <c r="J52" i="4" s="1"/>
  <c r="I48" i="4"/>
  <c r="J48" i="4" s="1"/>
  <c r="I47" i="4"/>
  <c r="J47" i="4" s="1"/>
  <c r="I45" i="4"/>
  <c r="J45" i="4" s="1"/>
  <c r="I43" i="4"/>
  <c r="J43" i="4" s="1"/>
  <c r="I42" i="4"/>
  <c r="J42" i="4" s="1"/>
  <c r="I41" i="4"/>
  <c r="J41" i="4" s="1"/>
  <c r="I37" i="4"/>
  <c r="J37" i="4" s="1"/>
  <c r="I36" i="4"/>
  <c r="J36" i="4" s="1"/>
  <c r="I33" i="4"/>
  <c r="J33" i="4" s="1"/>
  <c r="I32" i="4"/>
  <c r="J32" i="4" s="1"/>
  <c r="I29" i="4"/>
  <c r="J29" i="4" s="1"/>
  <c r="I28" i="4"/>
  <c r="J28" i="4" s="1"/>
  <c r="I27" i="4"/>
  <c r="J27" i="4" s="1"/>
  <c r="I26" i="4"/>
  <c r="J26" i="4" s="1"/>
  <c r="I25" i="4"/>
  <c r="J25" i="4" s="1"/>
  <c r="I24" i="4"/>
  <c r="J24" i="4" s="1"/>
  <c r="I22" i="4"/>
  <c r="J22" i="4" s="1"/>
  <c r="I21" i="4"/>
  <c r="J21" i="4" s="1"/>
  <c r="K20" i="4"/>
  <c r="D4" i="13" s="1"/>
  <c r="I18" i="4"/>
  <c r="J18" i="4" s="1"/>
  <c r="I17" i="4"/>
  <c r="J17" i="4" s="1"/>
  <c r="I14" i="4"/>
  <c r="J14" i="4" s="1"/>
  <c r="I13" i="4"/>
  <c r="J13" i="4" s="1"/>
  <c r="I10" i="4"/>
  <c r="J10" i="4" s="1"/>
  <c r="I9" i="4"/>
  <c r="J9" i="4" s="1"/>
  <c r="I164" i="4"/>
  <c r="J164" i="4" s="1"/>
  <c r="I156" i="4"/>
  <c r="J156" i="4" s="1"/>
  <c r="I127" i="4"/>
  <c r="I90" i="4"/>
  <c r="J90" i="4" s="1"/>
  <c r="I124" i="4"/>
  <c r="D23" i="5"/>
  <c r="H23" i="5"/>
  <c r="D24" i="5"/>
  <c r="H24" i="5"/>
  <c r="D25" i="5"/>
  <c r="H25" i="5"/>
  <c r="D26" i="5"/>
  <c r="H26" i="5"/>
  <c r="D27" i="5"/>
  <c r="H27" i="5"/>
  <c r="D28" i="5"/>
  <c r="H28" i="5"/>
  <c r="D29" i="5"/>
  <c r="H29" i="5"/>
  <c r="D30" i="5"/>
  <c r="H30" i="5"/>
  <c r="D31" i="5"/>
  <c r="H31" i="5"/>
  <c r="D32" i="5"/>
  <c r="H32" i="5"/>
  <c r="D33" i="5"/>
  <c r="H33" i="5"/>
  <c r="D34" i="5"/>
  <c r="H34" i="5"/>
  <c r="D35" i="5"/>
  <c r="H35" i="5"/>
  <c r="D36" i="5"/>
  <c r="H36" i="5"/>
  <c r="D37" i="5"/>
  <c r="H37" i="5"/>
  <c r="D38" i="5"/>
  <c r="H38" i="5"/>
  <c r="D39" i="5"/>
  <c r="H39" i="5"/>
  <c r="D40" i="5"/>
  <c r="H40" i="5"/>
  <c r="D41" i="5"/>
  <c r="H41" i="5"/>
  <c r="D42" i="5"/>
  <c r="H42" i="5"/>
  <c r="D43" i="5"/>
  <c r="H43" i="5"/>
  <c r="D44" i="5"/>
  <c r="H44" i="5"/>
  <c r="D45" i="5"/>
  <c r="H45" i="5"/>
  <c r="D46" i="5"/>
  <c r="H46" i="5"/>
  <c r="D47" i="5"/>
  <c r="H47" i="5"/>
  <c r="D48" i="5"/>
  <c r="H48" i="5"/>
  <c r="D49" i="5"/>
  <c r="H49" i="5"/>
  <c r="D50" i="5"/>
  <c r="H50" i="5"/>
  <c r="D51" i="5"/>
  <c r="H51" i="5"/>
  <c r="D52" i="5"/>
  <c r="H52" i="5"/>
  <c r="D53" i="5"/>
  <c r="H53" i="5"/>
  <c r="D54" i="5"/>
  <c r="H54" i="5"/>
  <c r="D55" i="5"/>
  <c r="H55" i="5"/>
  <c r="D56" i="5"/>
  <c r="H56" i="5"/>
  <c r="D57" i="5"/>
  <c r="H57" i="5"/>
  <c r="D58" i="5"/>
  <c r="H58" i="5"/>
  <c r="D59" i="5"/>
  <c r="H59" i="5"/>
  <c r="D60" i="5"/>
  <c r="H60" i="5"/>
  <c r="D61" i="5"/>
  <c r="H61" i="5"/>
  <c r="D62" i="5"/>
  <c r="H62" i="5"/>
  <c r="D63" i="5"/>
  <c r="H63" i="5"/>
  <c r="D64" i="5"/>
  <c r="H64" i="5"/>
  <c r="D65" i="5"/>
  <c r="H65" i="5"/>
  <c r="D66" i="5"/>
  <c r="H66" i="5"/>
  <c r="D67" i="5"/>
  <c r="H67" i="5"/>
  <c r="D68" i="5"/>
  <c r="H68" i="5"/>
  <c r="D69" i="5"/>
  <c r="H69" i="5"/>
  <c r="D70" i="5"/>
  <c r="H70" i="5"/>
  <c r="D71" i="5"/>
  <c r="H71" i="5"/>
  <c r="D72" i="5"/>
  <c r="H72" i="5"/>
  <c r="D73" i="5"/>
  <c r="H73" i="5"/>
  <c r="D74" i="5"/>
  <c r="H74" i="5"/>
  <c r="D75" i="5"/>
  <c r="H75" i="5"/>
  <c r="D76" i="5"/>
  <c r="H76" i="5"/>
  <c r="D77" i="5"/>
  <c r="H77" i="5"/>
  <c r="D78" i="5"/>
  <c r="H78" i="5"/>
  <c r="D79" i="5"/>
  <c r="H79" i="5"/>
  <c r="D80" i="5"/>
  <c r="H80" i="5"/>
  <c r="D81" i="5"/>
  <c r="H81" i="5"/>
  <c r="D82" i="5"/>
  <c r="H82" i="5"/>
  <c r="D83" i="5"/>
  <c r="H83" i="5"/>
  <c r="D84" i="5"/>
  <c r="H84" i="5"/>
  <c r="D85" i="5"/>
  <c r="H85" i="5"/>
  <c r="D86" i="5"/>
  <c r="H86" i="5"/>
  <c r="D87" i="5"/>
  <c r="H87" i="5"/>
  <c r="D88" i="5"/>
  <c r="H88" i="5"/>
  <c r="D89" i="5"/>
  <c r="H89" i="5"/>
  <c r="D90" i="5"/>
  <c r="H90" i="5"/>
  <c r="D91" i="5"/>
  <c r="H91" i="5"/>
  <c r="D92" i="5"/>
  <c r="H92" i="5"/>
  <c r="D93" i="5"/>
  <c r="H93" i="5"/>
  <c r="D94" i="5"/>
  <c r="H94" i="5"/>
  <c r="D95" i="5"/>
  <c r="H95" i="5"/>
  <c r="D96" i="5"/>
  <c r="H96" i="5"/>
  <c r="D97" i="5"/>
  <c r="H97" i="5"/>
  <c r="D98" i="5"/>
  <c r="H98" i="5"/>
  <c r="D99" i="5"/>
  <c r="H99" i="5"/>
  <c r="D100" i="5"/>
  <c r="H100" i="5"/>
  <c r="D101" i="5"/>
  <c r="H101" i="5"/>
  <c r="D102" i="5"/>
  <c r="H102" i="5"/>
  <c r="D103" i="5"/>
  <c r="H103" i="5"/>
  <c r="D104" i="5"/>
  <c r="H104" i="5"/>
  <c r="D105" i="5"/>
  <c r="H105" i="5"/>
  <c r="D106" i="5"/>
  <c r="H106" i="5"/>
  <c r="D107" i="5"/>
  <c r="H107" i="5"/>
  <c r="D108" i="5"/>
  <c r="H108" i="5"/>
  <c r="D109" i="5"/>
  <c r="H109" i="5"/>
  <c r="D110" i="5"/>
  <c r="H110" i="5"/>
  <c r="D111" i="5"/>
  <c r="H111" i="5"/>
  <c r="D112" i="5"/>
  <c r="H112" i="5"/>
  <c r="D113" i="5"/>
  <c r="H113" i="5"/>
  <c r="D114" i="5"/>
  <c r="H114" i="5"/>
  <c r="D115" i="5"/>
  <c r="H115" i="5"/>
  <c r="D116" i="5"/>
  <c r="H116" i="5"/>
  <c r="D117" i="5"/>
  <c r="H117" i="5"/>
  <c r="D118" i="5"/>
  <c r="H118" i="5"/>
  <c r="D119" i="5"/>
  <c r="H119" i="5"/>
  <c r="D120" i="5"/>
  <c r="H120" i="5"/>
  <c r="D121" i="5"/>
  <c r="H121" i="5"/>
  <c r="D122" i="5"/>
  <c r="H122" i="5"/>
  <c r="D123" i="5"/>
  <c r="H123" i="5"/>
  <c r="D124" i="5"/>
  <c r="H124" i="5"/>
  <c r="D125" i="5"/>
  <c r="H125" i="5"/>
  <c r="D126" i="5"/>
  <c r="H126" i="5"/>
  <c r="D127" i="5"/>
  <c r="H127" i="5"/>
  <c r="D128" i="5"/>
  <c r="H128" i="5"/>
  <c r="D129" i="5"/>
  <c r="H129" i="5"/>
  <c r="D130" i="5"/>
  <c r="H130" i="5"/>
  <c r="D131" i="5"/>
  <c r="H131" i="5"/>
  <c r="D132" i="5"/>
  <c r="H132" i="5"/>
  <c r="D133" i="5"/>
  <c r="H133" i="5"/>
  <c r="D134" i="5"/>
  <c r="H134" i="5"/>
  <c r="D135" i="5"/>
  <c r="H135" i="5"/>
  <c r="D136" i="5"/>
  <c r="H136" i="5"/>
  <c r="D137" i="5"/>
  <c r="H137" i="5"/>
  <c r="D138" i="5"/>
  <c r="H138" i="5"/>
  <c r="D139" i="5"/>
  <c r="H139" i="5"/>
  <c r="D140" i="5"/>
  <c r="H140" i="5"/>
  <c r="D141" i="5"/>
  <c r="H141" i="5"/>
  <c r="D142" i="5"/>
  <c r="H142" i="5"/>
  <c r="D143" i="5"/>
  <c r="H143" i="5"/>
  <c r="D144" i="5"/>
  <c r="H144" i="5"/>
  <c r="D145" i="5"/>
  <c r="H145" i="5"/>
  <c r="D146" i="5"/>
  <c r="H146" i="5"/>
  <c r="D147" i="5"/>
  <c r="H147" i="5"/>
  <c r="D148" i="5"/>
  <c r="H148" i="5"/>
  <c r="D149" i="5"/>
  <c r="H149" i="5"/>
  <c r="D150" i="5"/>
  <c r="H150" i="5"/>
  <c r="D151" i="5"/>
  <c r="H151" i="5"/>
  <c r="D152" i="5"/>
  <c r="H152" i="5"/>
  <c r="D153" i="5"/>
  <c r="H153" i="5"/>
  <c r="D154" i="5"/>
  <c r="H154" i="5"/>
  <c r="D155" i="5"/>
  <c r="H155" i="5"/>
  <c r="D156" i="5"/>
  <c r="H156" i="5"/>
  <c r="D157" i="5"/>
  <c r="H157" i="5"/>
  <c r="D158" i="5"/>
  <c r="H158" i="5"/>
  <c r="D159" i="5"/>
  <c r="H159" i="5"/>
  <c r="D160" i="5"/>
  <c r="H160" i="5"/>
  <c r="D161" i="5"/>
  <c r="H161" i="5"/>
  <c r="D162" i="5"/>
  <c r="H162" i="5"/>
  <c r="D163" i="5"/>
  <c r="H163" i="5"/>
  <c r="D164" i="5"/>
  <c r="H164" i="5"/>
  <c r="D165" i="5"/>
  <c r="H165" i="5"/>
  <c r="D166" i="5"/>
  <c r="H166" i="5"/>
  <c r="D167" i="5"/>
  <c r="H167" i="5"/>
  <c r="D168" i="5"/>
  <c r="H168" i="5"/>
  <c r="D169" i="5"/>
  <c r="H169" i="5"/>
  <c r="D170" i="5"/>
  <c r="H170" i="5"/>
  <c r="D171" i="5"/>
  <c r="H171" i="5"/>
  <c r="D172" i="5"/>
  <c r="H172" i="5"/>
  <c r="D173" i="5"/>
  <c r="H173" i="5"/>
  <c r="D174" i="5"/>
  <c r="H174" i="5"/>
  <c r="D175" i="5"/>
  <c r="H175" i="5"/>
  <c r="D176" i="5"/>
  <c r="H176" i="5"/>
  <c r="D177" i="5"/>
  <c r="H177" i="5"/>
  <c r="D178" i="5"/>
  <c r="H178" i="5"/>
  <c r="D179" i="5"/>
  <c r="H179" i="5"/>
  <c r="D180" i="5"/>
  <c r="H180" i="5"/>
  <c r="D181" i="5"/>
  <c r="H181" i="5"/>
  <c r="D182" i="5"/>
  <c r="H182" i="5"/>
  <c r="D183" i="5"/>
  <c r="H183" i="5"/>
  <c r="D184" i="5"/>
  <c r="H184" i="5"/>
  <c r="D185" i="5"/>
  <c r="H185" i="5"/>
  <c r="D186" i="5"/>
  <c r="H186" i="5"/>
  <c r="D187" i="5"/>
  <c r="H187" i="5"/>
  <c r="D188" i="5"/>
  <c r="H188" i="5"/>
  <c r="D189" i="5"/>
  <c r="H189" i="5"/>
  <c r="D190" i="5"/>
  <c r="H190" i="5"/>
  <c r="D191" i="5"/>
  <c r="H191" i="5"/>
  <c r="D192" i="5"/>
  <c r="H192" i="5"/>
  <c r="D193" i="5"/>
  <c r="H193" i="5"/>
  <c r="D194" i="5"/>
  <c r="H194" i="5"/>
  <c r="D195" i="5"/>
  <c r="H195" i="5"/>
  <c r="D196" i="5"/>
  <c r="H196" i="5"/>
  <c r="D197" i="5"/>
  <c r="H197" i="5"/>
  <c r="D198" i="5"/>
  <c r="H198" i="5"/>
  <c r="D199" i="5"/>
  <c r="H199" i="5"/>
  <c r="D200" i="5"/>
  <c r="H200" i="5"/>
  <c r="D201" i="5"/>
  <c r="H201" i="5"/>
  <c r="D202" i="5"/>
  <c r="H202" i="5"/>
  <c r="D203" i="5"/>
  <c r="H203" i="5"/>
  <c r="D204" i="5"/>
  <c r="H204" i="5"/>
  <c r="D205" i="5"/>
  <c r="H205" i="5"/>
  <c r="D206" i="5"/>
  <c r="H206" i="5"/>
  <c r="D207" i="5"/>
  <c r="H207" i="5"/>
  <c r="D208" i="5"/>
  <c r="H208" i="5"/>
  <c r="D209" i="5"/>
  <c r="H209" i="5"/>
  <c r="D210" i="5"/>
  <c r="H210" i="5"/>
  <c r="D211" i="5"/>
  <c r="H211" i="5"/>
  <c r="D212" i="5"/>
  <c r="H212" i="5"/>
  <c r="D213" i="5"/>
  <c r="H213" i="5"/>
  <c r="D214" i="5"/>
  <c r="H214" i="5"/>
  <c r="D215" i="5"/>
  <c r="H215" i="5"/>
  <c r="D216" i="5"/>
  <c r="H216" i="5"/>
  <c r="D217" i="5"/>
  <c r="H217" i="5"/>
  <c r="D218" i="5"/>
  <c r="H218" i="5"/>
  <c r="D219" i="5"/>
  <c r="H219" i="5"/>
  <c r="D220" i="5"/>
  <c r="H220" i="5"/>
  <c r="D221" i="5"/>
  <c r="H221" i="5"/>
  <c r="D222" i="5"/>
  <c r="H222" i="5"/>
  <c r="D223" i="5"/>
  <c r="H223" i="5"/>
  <c r="D224" i="5"/>
  <c r="H224" i="5"/>
  <c r="D225" i="5"/>
  <c r="H225" i="5"/>
  <c r="D226" i="5"/>
  <c r="H226" i="5"/>
  <c r="D227" i="5"/>
  <c r="H227" i="5"/>
  <c r="D228" i="5"/>
  <c r="H228" i="5"/>
  <c r="D229" i="5"/>
  <c r="H229" i="5"/>
  <c r="D230" i="5"/>
  <c r="H230" i="5"/>
  <c r="D231" i="5"/>
  <c r="H231" i="5"/>
  <c r="D232" i="5"/>
  <c r="H232" i="5"/>
  <c r="D233" i="5"/>
  <c r="H233" i="5"/>
  <c r="D234" i="5"/>
  <c r="H234" i="5"/>
  <c r="D235" i="5"/>
  <c r="H235" i="5"/>
  <c r="D236" i="5"/>
  <c r="H236" i="5"/>
  <c r="D237" i="5"/>
  <c r="H237" i="5"/>
  <c r="D238" i="5"/>
  <c r="H238" i="5"/>
  <c r="D239" i="5"/>
  <c r="H239" i="5"/>
  <c r="D240" i="5"/>
  <c r="H240" i="5"/>
  <c r="D241" i="5"/>
  <c r="H241" i="5"/>
  <c r="D242" i="5"/>
  <c r="H242" i="5"/>
  <c r="D243" i="5"/>
  <c r="H243" i="5"/>
  <c r="D244" i="5"/>
  <c r="H244" i="5"/>
  <c r="D245" i="5"/>
  <c r="H245" i="5"/>
  <c r="D246" i="5"/>
  <c r="H246" i="5"/>
  <c r="D247" i="5"/>
  <c r="H247" i="5"/>
  <c r="D248" i="5"/>
  <c r="H248" i="5"/>
  <c r="D249" i="5"/>
  <c r="H249" i="5"/>
  <c r="D250" i="5"/>
  <c r="H250" i="5"/>
  <c r="D251" i="5"/>
  <c r="H251" i="5"/>
  <c r="D252" i="5"/>
  <c r="H252" i="5"/>
  <c r="D253" i="5"/>
  <c r="H253" i="5"/>
  <c r="D254" i="5"/>
  <c r="H254" i="5"/>
  <c r="D255" i="5"/>
  <c r="H255" i="5"/>
  <c r="D256" i="5"/>
  <c r="H256" i="5"/>
  <c r="D257" i="5"/>
  <c r="H257" i="5"/>
  <c r="D258" i="5"/>
  <c r="H258" i="5"/>
  <c r="D259" i="5"/>
  <c r="H259" i="5"/>
  <c r="D260" i="5"/>
  <c r="H260" i="5"/>
  <c r="D261" i="5"/>
  <c r="H261" i="5"/>
  <c r="D262" i="5"/>
  <c r="H262" i="5"/>
  <c r="D263" i="5"/>
  <c r="H263" i="5"/>
  <c r="D264" i="5"/>
  <c r="H264" i="5"/>
  <c r="D265" i="5"/>
  <c r="H265" i="5"/>
  <c r="D266" i="5"/>
  <c r="H266" i="5"/>
  <c r="D267" i="5"/>
  <c r="H267" i="5"/>
  <c r="D268" i="5"/>
  <c r="H268" i="5"/>
  <c r="D269" i="5"/>
  <c r="H269" i="5"/>
  <c r="D270" i="5"/>
  <c r="H270" i="5"/>
  <c r="D271" i="5"/>
  <c r="H271" i="5"/>
  <c r="D272" i="5"/>
  <c r="H272" i="5"/>
  <c r="D273" i="5"/>
  <c r="H273" i="5"/>
  <c r="D274" i="5"/>
  <c r="H274" i="5"/>
  <c r="D275" i="5"/>
  <c r="H276" i="5"/>
  <c r="D277" i="5"/>
  <c r="H277" i="5"/>
  <c r="D278" i="5"/>
  <c r="H278" i="5"/>
  <c r="D279" i="5"/>
  <c r="H279" i="5"/>
  <c r="D280" i="5"/>
  <c r="H280" i="5"/>
  <c r="D281" i="5"/>
  <c r="H281" i="5"/>
  <c r="D282" i="5"/>
  <c r="H282" i="5"/>
  <c r="D283" i="5"/>
  <c r="H283" i="5"/>
  <c r="D284" i="5"/>
  <c r="H284" i="5"/>
  <c r="D285" i="5"/>
  <c r="H285" i="5"/>
  <c r="D286" i="5"/>
  <c r="H286" i="5"/>
  <c r="D287" i="5"/>
  <c r="H287" i="5"/>
  <c r="D288" i="5"/>
  <c r="H288" i="5"/>
  <c r="D289" i="5"/>
  <c r="H289" i="5"/>
  <c r="D290" i="5"/>
  <c r="H290" i="5"/>
  <c r="D291" i="5"/>
  <c r="H291" i="5"/>
  <c r="D292" i="5"/>
  <c r="H292" i="5"/>
  <c r="D293" i="5"/>
  <c r="H293" i="5"/>
  <c r="D294" i="5"/>
  <c r="H294" i="5"/>
  <c r="D295" i="5"/>
  <c r="H295" i="5"/>
  <c r="D296" i="5"/>
  <c r="H296" i="5"/>
  <c r="D297" i="5"/>
  <c r="H297" i="5"/>
  <c r="D298" i="5"/>
  <c r="H298" i="5"/>
  <c r="D299" i="5"/>
  <c r="H299" i="5"/>
  <c r="D300" i="5"/>
  <c r="H300" i="5"/>
  <c r="D301" i="5"/>
  <c r="H301" i="5"/>
  <c r="D302" i="5"/>
  <c r="H302" i="5"/>
  <c r="D303" i="5"/>
  <c r="H303" i="5"/>
  <c r="D304" i="5"/>
  <c r="H304" i="5"/>
  <c r="D305" i="5"/>
  <c r="H305" i="5"/>
  <c r="D306" i="5"/>
  <c r="H306" i="5"/>
  <c r="D307" i="5"/>
  <c r="H307" i="5"/>
  <c r="D308" i="5"/>
  <c r="H308" i="5"/>
  <c r="D309" i="5"/>
  <c r="H309" i="5"/>
  <c r="D310" i="5"/>
  <c r="H310" i="5"/>
  <c r="D311" i="5"/>
  <c r="H311" i="5"/>
  <c r="D312" i="5"/>
  <c r="H312" i="5"/>
  <c r="D313" i="5"/>
  <c r="H313" i="5"/>
  <c r="D314" i="5"/>
  <c r="H314" i="5"/>
  <c r="D315" i="5"/>
  <c r="H315" i="5"/>
  <c r="D316" i="5"/>
  <c r="H316" i="5"/>
  <c r="D317" i="5"/>
  <c r="H317" i="5"/>
  <c r="D318" i="5"/>
  <c r="H318" i="5"/>
  <c r="D319" i="5"/>
  <c r="H319" i="5"/>
  <c r="D320" i="5"/>
  <c r="H320" i="5"/>
  <c r="D321" i="5"/>
  <c r="H321" i="5"/>
  <c r="D322" i="5"/>
  <c r="H322" i="5"/>
  <c r="D323" i="5"/>
  <c r="H323" i="5"/>
  <c r="D324" i="5"/>
  <c r="H324" i="5"/>
  <c r="D325" i="5"/>
  <c r="H325" i="5"/>
  <c r="D326" i="5"/>
  <c r="H326" i="5"/>
  <c r="D327" i="5"/>
  <c r="H327" i="5"/>
  <c r="D328" i="5"/>
  <c r="H328" i="5"/>
  <c r="D329" i="5"/>
  <c r="H329" i="5"/>
  <c r="D330" i="5"/>
  <c r="H330" i="5"/>
  <c r="D331" i="5"/>
  <c r="H331" i="5"/>
  <c r="D332" i="5"/>
  <c r="H332" i="5"/>
  <c r="D333" i="5"/>
  <c r="H333" i="5"/>
  <c r="D334" i="5"/>
  <c r="H334" i="5"/>
  <c r="D335" i="5"/>
  <c r="H335" i="5"/>
  <c r="D336" i="5"/>
  <c r="H336" i="5"/>
  <c r="D337" i="5"/>
  <c r="H337" i="5"/>
  <c r="D338" i="5"/>
  <c r="H338" i="5"/>
  <c r="D339" i="5"/>
  <c r="H339" i="5"/>
  <c r="D340" i="5"/>
  <c r="H340" i="5"/>
  <c r="D341" i="5"/>
  <c r="H341" i="5"/>
  <c r="D342" i="5"/>
  <c r="H342" i="5"/>
  <c r="D343" i="5"/>
  <c r="H343" i="5"/>
  <c r="D344" i="5"/>
  <c r="H344" i="5"/>
  <c r="D345" i="5"/>
  <c r="H345" i="5"/>
  <c r="D346" i="5"/>
  <c r="H346" i="5"/>
  <c r="D347" i="5"/>
  <c r="H347" i="5"/>
  <c r="D348" i="5"/>
  <c r="H348" i="5"/>
  <c r="D349" i="5"/>
  <c r="H349" i="5"/>
  <c r="D350" i="5"/>
  <c r="H350" i="5"/>
  <c r="D351" i="5"/>
  <c r="H351" i="5"/>
  <c r="D352" i="5"/>
  <c r="H352" i="5"/>
  <c r="D353" i="5"/>
  <c r="H353" i="5"/>
  <c r="D354" i="5"/>
  <c r="H354" i="5"/>
  <c r="D355" i="5"/>
  <c r="H355" i="5"/>
  <c r="D356" i="5"/>
  <c r="H356" i="5"/>
  <c r="D357" i="5"/>
  <c r="H357" i="5"/>
  <c r="D358" i="5"/>
  <c r="H358" i="5"/>
  <c r="D359" i="5"/>
  <c r="H359" i="5"/>
  <c r="D360" i="5"/>
  <c r="H360" i="5"/>
  <c r="D361" i="5"/>
  <c r="H361" i="5"/>
  <c r="D362" i="5"/>
  <c r="H362" i="5"/>
  <c r="D363" i="5"/>
  <c r="H363" i="5"/>
  <c r="D364" i="5"/>
  <c r="H364" i="5"/>
  <c r="D365" i="5"/>
  <c r="H365" i="5"/>
  <c r="D366" i="5"/>
  <c r="H366" i="5"/>
  <c r="D367" i="5"/>
  <c r="H367" i="5"/>
  <c r="D368" i="5"/>
  <c r="H368" i="5"/>
  <c r="D369" i="5"/>
  <c r="H369" i="5"/>
  <c r="D370" i="5"/>
  <c r="H370" i="5"/>
  <c r="D371" i="5"/>
  <c r="H371" i="5"/>
  <c r="D372" i="5"/>
  <c r="H372" i="5"/>
  <c r="D373" i="5"/>
  <c r="H373" i="5"/>
  <c r="D374" i="5"/>
  <c r="H374" i="5"/>
  <c r="D375" i="5"/>
  <c r="H375" i="5"/>
  <c r="D376" i="5"/>
  <c r="H376" i="5"/>
  <c r="D377" i="5"/>
  <c r="H377" i="5"/>
  <c r="D378" i="5"/>
  <c r="H378" i="5"/>
  <c r="D379" i="5"/>
  <c r="H379" i="5"/>
  <c r="D380" i="5"/>
  <c r="H380" i="5"/>
  <c r="D381" i="5"/>
  <c r="H381" i="5"/>
  <c r="D382" i="5"/>
  <c r="H382" i="5"/>
  <c r="D383" i="5"/>
  <c r="H383" i="5"/>
  <c r="D384" i="5"/>
  <c r="H384" i="5"/>
  <c r="D385" i="5"/>
  <c r="H385" i="5"/>
  <c r="D386" i="5"/>
  <c r="H386" i="5"/>
  <c r="D387" i="5"/>
  <c r="H387" i="5"/>
  <c r="D388" i="5"/>
  <c r="H388" i="5"/>
  <c r="D389" i="5"/>
  <c r="H389" i="5"/>
  <c r="D390" i="5"/>
  <c r="H390" i="5"/>
  <c r="D391" i="5"/>
  <c r="H391" i="5"/>
  <c r="D392" i="5"/>
  <c r="H392" i="5"/>
  <c r="D393" i="5"/>
  <c r="H393" i="5"/>
  <c r="D394" i="5"/>
  <c r="H394" i="5"/>
  <c r="D395" i="5"/>
  <c r="H395" i="5"/>
  <c r="D396" i="5"/>
  <c r="H396" i="5"/>
  <c r="D397" i="5"/>
  <c r="H397" i="5"/>
  <c r="D398" i="5"/>
  <c r="H398" i="5"/>
  <c r="D399" i="5"/>
  <c r="H399" i="5"/>
  <c r="D400" i="5"/>
  <c r="H400" i="5"/>
  <c r="D401" i="5"/>
  <c r="H401" i="5"/>
  <c r="D402" i="5"/>
  <c r="H402" i="5"/>
  <c r="D403" i="5"/>
  <c r="H403" i="5"/>
  <c r="D404" i="5"/>
  <c r="H404" i="5"/>
  <c r="D405" i="5"/>
  <c r="H405" i="5"/>
  <c r="D406" i="5"/>
  <c r="H406" i="5"/>
  <c r="D407" i="5"/>
  <c r="H407" i="5"/>
  <c r="D408" i="5"/>
  <c r="H408" i="5"/>
  <c r="D409" i="5"/>
  <c r="H409" i="5"/>
  <c r="D410" i="5"/>
  <c r="H410" i="5"/>
  <c r="D411" i="5"/>
  <c r="H411" i="5"/>
  <c r="D412" i="5"/>
  <c r="H412" i="5"/>
  <c r="D413" i="5"/>
  <c r="H413" i="5"/>
  <c r="D414" i="5"/>
  <c r="H414" i="5"/>
  <c r="D415" i="5"/>
  <c r="H415" i="5"/>
  <c r="D416" i="5"/>
  <c r="H416" i="5"/>
  <c r="D417" i="5"/>
  <c r="H417" i="5"/>
  <c r="D418" i="5"/>
  <c r="H418" i="5"/>
  <c r="D419" i="5"/>
  <c r="H419" i="5"/>
  <c r="D420" i="5"/>
  <c r="H420" i="5"/>
  <c r="D421" i="5"/>
  <c r="H421" i="5"/>
  <c r="D422" i="5"/>
  <c r="H422" i="5"/>
  <c r="D423" i="5"/>
  <c r="H423" i="5"/>
  <c r="D424" i="5"/>
  <c r="H424" i="5"/>
  <c r="D425" i="5"/>
  <c r="H425" i="5"/>
  <c r="D426" i="5"/>
  <c r="H426" i="5"/>
  <c r="D427" i="5"/>
  <c r="H427" i="5"/>
  <c r="D428" i="5"/>
  <c r="H428" i="5"/>
  <c r="D429" i="5"/>
  <c r="H429" i="5"/>
  <c r="D430" i="5"/>
  <c r="H430" i="5"/>
  <c r="D431" i="5"/>
  <c r="H431" i="5"/>
  <c r="D432" i="5"/>
  <c r="H432" i="5"/>
  <c r="D433" i="5"/>
  <c r="H433" i="5"/>
  <c r="D434" i="5"/>
  <c r="H434" i="5"/>
  <c r="D435" i="5"/>
  <c r="H435" i="5"/>
  <c r="D436" i="5"/>
  <c r="H436" i="5"/>
  <c r="D437" i="5"/>
  <c r="H437" i="5"/>
  <c r="D438" i="5"/>
  <c r="H438" i="5"/>
  <c r="D439" i="5"/>
  <c r="H439" i="5"/>
  <c r="D440" i="5"/>
  <c r="H440" i="5"/>
  <c r="D441" i="5"/>
  <c r="H441" i="5"/>
  <c r="D442" i="5"/>
  <c r="H442" i="5"/>
  <c r="D443" i="5"/>
  <c r="H443" i="5"/>
  <c r="D444" i="5"/>
  <c r="H444" i="5"/>
  <c r="D445" i="5"/>
  <c r="H445" i="5"/>
  <c r="D446" i="5"/>
  <c r="H446" i="5"/>
  <c r="D447" i="5"/>
  <c r="H447" i="5"/>
  <c r="D448" i="5"/>
  <c r="H448" i="5"/>
  <c r="D449" i="5"/>
  <c r="H449" i="5"/>
  <c r="D450" i="5"/>
  <c r="H450" i="5"/>
  <c r="D451" i="5"/>
  <c r="H451" i="5"/>
  <c r="D452" i="5"/>
  <c r="H452" i="5"/>
  <c r="D453" i="5"/>
  <c r="H453" i="5"/>
  <c r="D454" i="5"/>
  <c r="H454" i="5"/>
  <c r="D455" i="5"/>
  <c r="H455" i="5"/>
  <c r="D456" i="5"/>
  <c r="H456" i="5"/>
  <c r="D457" i="5"/>
  <c r="H457" i="5"/>
  <c r="D458" i="5"/>
  <c r="H458" i="5"/>
  <c r="D459" i="5"/>
  <c r="H459" i="5"/>
  <c r="D460" i="5"/>
  <c r="H460" i="5"/>
  <c r="D461" i="5"/>
  <c r="H461" i="5"/>
  <c r="D462" i="5"/>
  <c r="H462" i="5"/>
  <c r="D463" i="5"/>
  <c r="H463" i="5"/>
  <c r="D464" i="5"/>
  <c r="H464" i="5"/>
  <c r="D465" i="5"/>
  <c r="H465" i="5"/>
  <c r="D466" i="5"/>
  <c r="H466" i="5"/>
  <c r="D467" i="5"/>
  <c r="H467" i="5"/>
  <c r="D468" i="5"/>
  <c r="H468" i="5"/>
  <c r="D469" i="5"/>
  <c r="H469" i="5"/>
  <c r="D470" i="5"/>
  <c r="H470" i="5"/>
  <c r="D471" i="5"/>
  <c r="H471" i="5"/>
  <c r="D472" i="5"/>
  <c r="H472" i="5"/>
  <c r="D473" i="5"/>
  <c r="H473" i="5"/>
  <c r="D474" i="5"/>
  <c r="H474" i="5"/>
  <c r="D475" i="5"/>
  <c r="H475" i="5"/>
  <c r="D476" i="5"/>
  <c r="H476" i="5"/>
  <c r="D477" i="5"/>
  <c r="H477" i="5"/>
  <c r="D478" i="5"/>
  <c r="H478" i="5"/>
  <c r="D479" i="5"/>
  <c r="H479" i="5"/>
  <c r="D480" i="5"/>
  <c r="H480" i="5"/>
  <c r="D481" i="5"/>
  <c r="H481" i="5"/>
  <c r="D482" i="5"/>
  <c r="H482" i="5"/>
  <c r="D483" i="5"/>
  <c r="H483" i="5"/>
  <c r="D484" i="5"/>
  <c r="H484" i="5"/>
  <c r="D485" i="5"/>
  <c r="H485" i="5"/>
  <c r="D486" i="5"/>
  <c r="H486" i="5"/>
  <c r="D487" i="5"/>
  <c r="H487" i="5"/>
  <c r="D488" i="5"/>
  <c r="H488" i="5"/>
  <c r="D489" i="5"/>
  <c r="H489" i="5"/>
  <c r="D490" i="5"/>
  <c r="H490" i="5"/>
  <c r="D491" i="5"/>
  <c r="H491" i="5"/>
  <c r="D492" i="5"/>
  <c r="H492" i="5"/>
  <c r="D493" i="5"/>
  <c r="H493" i="5"/>
  <c r="D494" i="5"/>
  <c r="H494" i="5"/>
  <c r="D495" i="5"/>
  <c r="H495" i="5"/>
  <c r="D496" i="5"/>
  <c r="H496" i="5"/>
  <c r="D497" i="5"/>
  <c r="H497" i="5"/>
  <c r="D498" i="5"/>
  <c r="H498" i="5"/>
  <c r="D499" i="5"/>
  <c r="H499" i="5"/>
  <c r="D500" i="5"/>
  <c r="H500" i="5"/>
  <c r="D501" i="5"/>
  <c r="H501" i="5"/>
  <c r="D502" i="5"/>
  <c r="H502" i="5"/>
  <c r="D503" i="5"/>
  <c r="H503" i="5"/>
  <c r="D504" i="5"/>
  <c r="H504" i="5"/>
  <c r="D505" i="5"/>
  <c r="H505" i="5"/>
  <c r="D506" i="5"/>
  <c r="H506" i="5"/>
  <c r="D507" i="5"/>
  <c r="H507" i="5"/>
  <c r="D508" i="5"/>
  <c r="H508" i="5"/>
  <c r="D509" i="5"/>
  <c r="H509" i="5"/>
  <c r="D510" i="5"/>
  <c r="H510" i="5"/>
  <c r="D511" i="5"/>
  <c r="H511" i="5"/>
  <c r="D512" i="5"/>
  <c r="H512" i="5"/>
  <c r="D513" i="5"/>
  <c r="H513" i="5"/>
  <c r="D514" i="5"/>
  <c r="H514" i="5"/>
  <c r="D515" i="5"/>
  <c r="H515" i="5"/>
  <c r="D516" i="5"/>
  <c r="H516" i="5"/>
  <c r="D517" i="5"/>
  <c r="H517" i="5"/>
  <c r="D518" i="5"/>
  <c r="H518" i="5"/>
  <c r="D519" i="5"/>
  <c r="H519" i="5"/>
  <c r="D520" i="5"/>
  <c r="H520" i="5"/>
  <c r="D521" i="5"/>
  <c r="H521" i="5"/>
  <c r="D522" i="5"/>
  <c r="H522" i="5"/>
  <c r="D523" i="5"/>
  <c r="H523" i="5"/>
  <c r="D524" i="5"/>
  <c r="H524" i="5"/>
  <c r="D525" i="5"/>
  <c r="H525" i="5"/>
  <c r="D526" i="5"/>
  <c r="H526" i="5"/>
  <c r="D527" i="5"/>
  <c r="H527" i="5"/>
  <c r="D528" i="5"/>
  <c r="H528" i="5"/>
  <c r="H529" i="5"/>
  <c r="D530" i="5"/>
  <c r="H530" i="5"/>
  <c r="D531" i="5"/>
  <c r="D532" i="5"/>
  <c r="H532" i="5"/>
  <c r="D533" i="5"/>
  <c r="H533" i="5"/>
  <c r="D534" i="5"/>
  <c r="H534" i="5"/>
  <c r="D535" i="5"/>
  <c r="H535" i="5"/>
  <c r="D536" i="5"/>
  <c r="H536" i="5"/>
  <c r="D537" i="5"/>
  <c r="H537" i="5"/>
  <c r="D538" i="5"/>
  <c r="H538" i="5"/>
  <c r="D539" i="5"/>
  <c r="H539" i="5"/>
  <c r="D540" i="5"/>
  <c r="H540" i="5"/>
  <c r="D541" i="5"/>
  <c r="H541" i="5"/>
  <c r="D542" i="5"/>
  <c r="H542" i="5"/>
  <c r="D543" i="5"/>
  <c r="H543" i="5"/>
  <c r="D544" i="5"/>
  <c r="H544" i="5"/>
  <c r="D545" i="5"/>
  <c r="H545" i="5"/>
  <c r="D546" i="5"/>
  <c r="H546" i="5"/>
  <c r="D547" i="5"/>
  <c r="H547" i="5"/>
  <c r="D548" i="5"/>
  <c r="H548" i="5"/>
  <c r="D549" i="5"/>
  <c r="H549" i="5"/>
  <c r="D550" i="5"/>
  <c r="H550" i="5"/>
  <c r="D551" i="5"/>
  <c r="H551" i="5"/>
  <c r="D552" i="5"/>
  <c r="H552" i="5"/>
  <c r="D553" i="5"/>
  <c r="H553" i="5"/>
  <c r="D554" i="5"/>
  <c r="H554" i="5"/>
  <c r="D555" i="5"/>
  <c r="H555" i="5"/>
  <c r="D556" i="5"/>
  <c r="H556" i="5"/>
  <c r="D557" i="5"/>
  <c r="H557" i="5"/>
  <c r="D558" i="5"/>
  <c r="H558" i="5"/>
  <c r="D559" i="5"/>
  <c r="H559" i="5"/>
  <c r="D560" i="5"/>
  <c r="H560" i="5"/>
  <c r="D561" i="5"/>
  <c r="H561" i="5"/>
  <c r="D562" i="5"/>
  <c r="H562" i="5"/>
  <c r="D563" i="5"/>
  <c r="H563" i="5"/>
  <c r="D564" i="5"/>
  <c r="H564" i="5"/>
  <c r="D565" i="5"/>
  <c r="H565" i="5"/>
  <c r="D566" i="5"/>
  <c r="H566" i="5"/>
  <c r="D567" i="5"/>
  <c r="H567" i="5"/>
  <c r="D568" i="5"/>
  <c r="H568" i="5"/>
  <c r="D569" i="5"/>
  <c r="H569" i="5"/>
  <c r="D570" i="5"/>
  <c r="H570" i="5"/>
  <c r="D571" i="5"/>
  <c r="H571" i="5"/>
  <c r="D572" i="5"/>
  <c r="H572" i="5"/>
  <c r="D573" i="5"/>
  <c r="H573" i="5"/>
  <c r="D574" i="5"/>
  <c r="H574" i="5"/>
  <c r="D575" i="5"/>
  <c r="H575" i="5"/>
  <c r="D576" i="5"/>
  <c r="H576" i="5"/>
  <c r="D577" i="5"/>
  <c r="H577" i="5"/>
  <c r="D578" i="5"/>
  <c r="H578" i="5"/>
  <c r="D579" i="5"/>
  <c r="H579" i="5"/>
  <c r="D580" i="5"/>
  <c r="H580" i="5"/>
  <c r="D581" i="5"/>
  <c r="H581" i="5"/>
  <c r="D582" i="5"/>
  <c r="H582" i="5"/>
  <c r="D583" i="5"/>
  <c r="H583" i="5"/>
  <c r="D584" i="5"/>
  <c r="H584" i="5"/>
  <c r="D585" i="5"/>
  <c r="H585" i="5"/>
  <c r="D586" i="5"/>
  <c r="H586" i="5"/>
  <c r="D587" i="5"/>
  <c r="H587" i="5"/>
  <c r="D588" i="5"/>
  <c r="H588" i="5"/>
  <c r="D589" i="5"/>
  <c r="H589" i="5"/>
  <c r="D590" i="5"/>
  <c r="H590" i="5"/>
  <c r="D591" i="5"/>
  <c r="H591" i="5"/>
  <c r="D592" i="5"/>
  <c r="H592" i="5"/>
  <c r="D593" i="5"/>
  <c r="H593" i="5"/>
  <c r="D594" i="5"/>
  <c r="H594" i="5"/>
  <c r="D595" i="5"/>
  <c r="H595" i="5"/>
  <c r="D596" i="5"/>
  <c r="H596" i="5"/>
  <c r="D597" i="5"/>
  <c r="H597" i="5"/>
  <c r="D598" i="5"/>
  <c r="H598" i="5"/>
  <c r="D599" i="5"/>
  <c r="H599" i="5"/>
  <c r="D600" i="5"/>
  <c r="H600" i="5"/>
  <c r="D601" i="5"/>
  <c r="H601" i="5"/>
  <c r="D602" i="5"/>
  <c r="H602" i="5"/>
  <c r="D603" i="5"/>
  <c r="H603" i="5"/>
  <c r="D604" i="5"/>
  <c r="H604" i="5"/>
  <c r="D605" i="5"/>
  <c r="H605" i="5"/>
  <c r="D606" i="5"/>
  <c r="H606" i="5"/>
  <c r="D607" i="5"/>
  <c r="H607" i="5"/>
  <c r="D608" i="5"/>
  <c r="H608" i="5"/>
  <c r="D609" i="5"/>
  <c r="H609" i="5"/>
  <c r="D610" i="5"/>
  <c r="H610" i="5"/>
  <c r="D611" i="5"/>
  <c r="H611" i="5"/>
  <c r="D612" i="5"/>
  <c r="H612" i="5"/>
  <c r="D613" i="5"/>
  <c r="H613" i="5"/>
  <c r="D614" i="5"/>
  <c r="H614" i="5"/>
  <c r="D615" i="5"/>
  <c r="H615" i="5"/>
  <c r="D616" i="5"/>
  <c r="H616" i="5"/>
  <c r="D617" i="5"/>
  <c r="H617" i="5"/>
  <c r="D618" i="5"/>
  <c r="H618" i="5"/>
  <c r="D619" i="5"/>
  <c r="H619" i="5"/>
  <c r="D620" i="5"/>
  <c r="H620" i="5"/>
  <c r="D621" i="5"/>
  <c r="H621" i="5"/>
  <c r="D622" i="5"/>
  <c r="H622" i="5"/>
  <c r="D623" i="5"/>
  <c r="H623" i="5"/>
  <c r="D624" i="5"/>
  <c r="H624" i="5"/>
  <c r="D625" i="5"/>
  <c r="H625" i="5"/>
  <c r="D626" i="5"/>
  <c r="H626" i="5"/>
  <c r="D627" i="5"/>
  <c r="H627" i="5"/>
  <c r="D628" i="5"/>
  <c r="H628" i="5"/>
  <c r="D629" i="5"/>
  <c r="H629" i="5"/>
  <c r="D630" i="5"/>
  <c r="H630" i="5"/>
  <c r="D631" i="5"/>
  <c r="H631" i="5"/>
  <c r="D632" i="5"/>
  <c r="H632" i="5"/>
  <c r="D633" i="5"/>
  <c r="H633" i="5"/>
  <c r="D634" i="5"/>
  <c r="H634" i="5"/>
  <c r="D635" i="5"/>
  <c r="H635" i="5"/>
  <c r="D636" i="5"/>
  <c r="H636" i="5"/>
  <c r="D637" i="5"/>
  <c r="H637" i="5"/>
  <c r="D638" i="5"/>
  <c r="H638" i="5"/>
  <c r="D639" i="5"/>
  <c r="H639" i="5"/>
  <c r="D640" i="5"/>
  <c r="H640" i="5"/>
  <c r="D641" i="5"/>
  <c r="H641" i="5"/>
  <c r="D642" i="5"/>
  <c r="H642" i="5"/>
  <c r="D643" i="5"/>
  <c r="H643" i="5"/>
  <c r="D644" i="5"/>
  <c r="H644" i="5"/>
  <c r="D645" i="5"/>
  <c r="H645" i="5"/>
  <c r="D646" i="5"/>
  <c r="H646" i="5"/>
  <c r="D647" i="5"/>
  <c r="H647" i="5"/>
  <c r="D648" i="5"/>
  <c r="H648" i="5"/>
  <c r="D649" i="5"/>
  <c r="H649" i="5"/>
  <c r="D650" i="5"/>
  <c r="H650" i="5"/>
  <c r="D651" i="5"/>
  <c r="H651" i="5"/>
  <c r="D652" i="5"/>
  <c r="H652" i="5"/>
  <c r="D653" i="5"/>
  <c r="H653" i="5"/>
  <c r="D654" i="5"/>
  <c r="H654" i="5"/>
  <c r="D655" i="5"/>
  <c r="H655" i="5"/>
  <c r="D656" i="5"/>
  <c r="H656" i="5"/>
  <c r="D657" i="5"/>
  <c r="H657" i="5"/>
  <c r="D658" i="5"/>
  <c r="H658" i="5"/>
  <c r="D659" i="5"/>
  <c r="H659" i="5"/>
  <c r="D660" i="5"/>
  <c r="H660" i="5"/>
  <c r="D661" i="5"/>
  <c r="H661" i="5"/>
  <c r="D662" i="5"/>
  <c r="H662" i="5"/>
  <c r="D663" i="5"/>
  <c r="H663" i="5"/>
  <c r="D664" i="5"/>
  <c r="H664" i="5"/>
  <c r="D665" i="5"/>
  <c r="H665" i="5"/>
  <c r="D666" i="5"/>
  <c r="H666" i="5"/>
  <c r="D667" i="5"/>
  <c r="H667" i="5"/>
  <c r="D668" i="5"/>
  <c r="H668" i="5"/>
  <c r="D669" i="5"/>
  <c r="H669" i="5"/>
  <c r="D670" i="5"/>
  <c r="H670" i="5"/>
  <c r="D671" i="5"/>
  <c r="H671" i="5"/>
  <c r="D672" i="5"/>
  <c r="H672" i="5"/>
  <c r="D673" i="5"/>
  <c r="H673" i="5"/>
  <c r="D674" i="5"/>
  <c r="H674" i="5"/>
  <c r="D675" i="5"/>
  <c r="H675" i="5"/>
  <c r="D676" i="5"/>
  <c r="H676" i="5"/>
  <c r="D677" i="5"/>
  <c r="H677" i="5"/>
  <c r="D678" i="5"/>
  <c r="H678" i="5"/>
  <c r="D679" i="5"/>
  <c r="H679" i="5"/>
  <c r="D680" i="5"/>
  <c r="H680" i="5"/>
  <c r="D681" i="5"/>
  <c r="H681" i="5"/>
  <c r="D682" i="5"/>
  <c r="H682" i="5"/>
  <c r="D683" i="5"/>
  <c r="H683" i="5"/>
  <c r="D684" i="5"/>
  <c r="H684" i="5"/>
  <c r="D685" i="5"/>
  <c r="H685" i="5"/>
  <c r="D686" i="5"/>
  <c r="H686" i="5"/>
  <c r="D687" i="5"/>
  <c r="H687" i="5"/>
  <c r="D688" i="5"/>
  <c r="H688" i="5"/>
  <c r="D689" i="5"/>
  <c r="H689" i="5"/>
  <c r="D690" i="5"/>
  <c r="H690" i="5"/>
  <c r="D691" i="5"/>
  <c r="H691" i="5"/>
  <c r="D692" i="5"/>
  <c r="H692" i="5"/>
  <c r="D693" i="5"/>
  <c r="H693" i="5"/>
  <c r="D694" i="5"/>
  <c r="H694" i="5"/>
  <c r="D695" i="5"/>
  <c r="H695" i="5"/>
  <c r="D696" i="5"/>
  <c r="H696" i="5"/>
  <c r="D697" i="5"/>
  <c r="H697" i="5"/>
  <c r="D698" i="5"/>
  <c r="H698" i="5"/>
  <c r="D699" i="5"/>
  <c r="H699" i="5"/>
  <c r="D700" i="5"/>
  <c r="H700" i="5"/>
  <c r="D701" i="5"/>
  <c r="H701" i="5"/>
  <c r="D702" i="5"/>
  <c r="H702" i="5"/>
  <c r="D703" i="5"/>
  <c r="H703" i="5"/>
  <c r="D704" i="5"/>
  <c r="H704" i="5"/>
  <c r="D705" i="5"/>
  <c r="H705" i="5"/>
  <c r="D706" i="5"/>
  <c r="H706" i="5"/>
  <c r="D707" i="5"/>
  <c r="H707" i="5"/>
  <c r="D708" i="5"/>
  <c r="H708" i="5"/>
  <c r="D709" i="5"/>
  <c r="H709" i="5"/>
  <c r="D710" i="5"/>
  <c r="H710" i="5"/>
  <c r="D711" i="5"/>
  <c r="H711" i="5"/>
  <c r="D712" i="5"/>
  <c r="H712" i="5"/>
  <c r="D713" i="5"/>
  <c r="H713" i="5"/>
  <c r="D714" i="5"/>
  <c r="H714" i="5"/>
  <c r="D715" i="5"/>
  <c r="H715" i="5"/>
  <c r="D716" i="5"/>
  <c r="H716" i="5"/>
  <c r="D717" i="5"/>
  <c r="H717" i="5"/>
  <c r="D718" i="5"/>
  <c r="H718" i="5"/>
  <c r="D719" i="5"/>
  <c r="H719" i="5"/>
  <c r="D720" i="5"/>
  <c r="H720" i="5"/>
  <c r="D721" i="5"/>
  <c r="H721" i="5"/>
  <c r="D722" i="5"/>
  <c r="H722" i="5"/>
  <c r="D723" i="5"/>
  <c r="H723" i="5"/>
  <c r="D724" i="5"/>
  <c r="H724" i="5"/>
  <c r="D725" i="5"/>
  <c r="H725" i="5"/>
  <c r="D726" i="5"/>
  <c r="H726" i="5"/>
  <c r="D727" i="5"/>
  <c r="H727" i="5"/>
  <c r="D728" i="5"/>
  <c r="H728" i="5"/>
  <c r="D729" i="5"/>
  <c r="H729" i="5"/>
  <c r="D730" i="5"/>
  <c r="H730" i="5"/>
  <c r="D731" i="5"/>
  <c r="H731" i="5"/>
  <c r="D732" i="5"/>
  <c r="H732" i="5"/>
  <c r="D733" i="5"/>
  <c r="H733" i="5"/>
  <c r="D734" i="5"/>
  <c r="H734" i="5"/>
  <c r="D735" i="5"/>
  <c r="H735" i="5"/>
  <c r="D736" i="5"/>
  <c r="H736" i="5"/>
  <c r="D737" i="5"/>
  <c r="H737" i="5"/>
  <c r="D738" i="5"/>
  <c r="H738" i="5"/>
  <c r="D739" i="5"/>
  <c r="H739" i="5"/>
  <c r="D740" i="5"/>
  <c r="H740" i="5"/>
  <c r="D741" i="5"/>
  <c r="H741" i="5"/>
  <c r="D742" i="5"/>
  <c r="H742" i="5"/>
  <c r="D743" i="5"/>
  <c r="H743" i="5"/>
  <c r="D744" i="5"/>
  <c r="H744" i="5"/>
  <c r="D745" i="5"/>
  <c r="H745" i="5"/>
  <c r="D746" i="5"/>
  <c r="H746" i="5"/>
  <c r="D747" i="5"/>
  <c r="H747" i="5"/>
  <c r="D748" i="5"/>
  <c r="H748" i="5"/>
  <c r="D749" i="5"/>
  <c r="H749" i="5"/>
  <c r="D750" i="5"/>
  <c r="H750" i="5"/>
  <c r="D751" i="5"/>
  <c r="H751" i="5"/>
  <c r="D752" i="5"/>
  <c r="H752" i="5"/>
  <c r="D753" i="5"/>
  <c r="H753" i="5"/>
  <c r="D754" i="5"/>
  <c r="H754" i="5"/>
  <c r="D755" i="5"/>
  <c r="H755" i="5"/>
  <c r="D756" i="5"/>
  <c r="H756" i="5"/>
  <c r="D757" i="5"/>
  <c r="H757" i="5"/>
  <c r="D758" i="5"/>
  <c r="H758" i="5"/>
  <c r="D759" i="5"/>
  <c r="H759" i="5"/>
  <c r="D760" i="5"/>
  <c r="H760" i="5"/>
  <c r="D761" i="5"/>
  <c r="H761" i="5"/>
  <c r="D762" i="5"/>
  <c r="H762" i="5"/>
  <c r="D763" i="5"/>
  <c r="H763" i="5"/>
  <c r="D764" i="5"/>
  <c r="H764" i="5"/>
  <c r="D765" i="5"/>
  <c r="H765" i="5"/>
  <c r="D766" i="5"/>
  <c r="H766" i="5"/>
  <c r="D767" i="5"/>
  <c r="H767" i="5"/>
  <c r="D768" i="5"/>
  <c r="H768" i="5"/>
  <c r="D769" i="5"/>
  <c r="H769" i="5"/>
  <c r="D770" i="5"/>
  <c r="H770" i="5"/>
  <c r="D771" i="5"/>
  <c r="H771" i="5"/>
  <c r="D772" i="5"/>
  <c r="H772" i="5"/>
  <c r="D773" i="5"/>
  <c r="H773" i="5"/>
  <c r="D774" i="5"/>
  <c r="H774" i="5"/>
  <c r="D775" i="5"/>
  <c r="H775" i="5"/>
  <c r="D776" i="5"/>
  <c r="H776" i="5"/>
  <c r="D777" i="5"/>
  <c r="H777" i="5"/>
  <c r="D778" i="5"/>
  <c r="H778" i="5"/>
  <c r="D779" i="5"/>
  <c r="H779" i="5"/>
  <c r="D780" i="5"/>
  <c r="H780" i="5"/>
  <c r="H781" i="5"/>
  <c r="D782" i="5"/>
  <c r="H782" i="5"/>
  <c r="D783" i="5"/>
  <c r="D784" i="5"/>
  <c r="H784" i="5"/>
  <c r="D785" i="5"/>
  <c r="H785" i="5"/>
  <c r="D786" i="5"/>
  <c r="H786" i="5"/>
  <c r="D787" i="5"/>
  <c r="H787" i="5"/>
  <c r="D788" i="5"/>
  <c r="H788" i="5"/>
  <c r="D789" i="5"/>
  <c r="H789" i="5"/>
  <c r="D790" i="5"/>
  <c r="H790" i="5"/>
  <c r="D791" i="5"/>
  <c r="H791" i="5"/>
  <c r="D792" i="5"/>
  <c r="H792" i="5"/>
  <c r="D793" i="5"/>
  <c r="H793" i="5"/>
  <c r="D794" i="5"/>
  <c r="H794" i="5"/>
  <c r="D795" i="5"/>
  <c r="H795" i="5"/>
  <c r="D796" i="5"/>
  <c r="H796" i="5"/>
  <c r="D797" i="5"/>
  <c r="H797" i="5"/>
  <c r="D798" i="5"/>
  <c r="H798" i="5"/>
  <c r="D799" i="5"/>
  <c r="H799" i="5"/>
  <c r="D800" i="5"/>
  <c r="H800" i="5"/>
  <c r="D801" i="5"/>
  <c r="H801" i="5"/>
  <c r="D802" i="5"/>
  <c r="H802" i="5"/>
  <c r="D803" i="5"/>
  <c r="H803" i="5"/>
  <c r="D804" i="5"/>
  <c r="H804" i="5"/>
  <c r="D805" i="5"/>
  <c r="H805" i="5"/>
  <c r="D806" i="5"/>
  <c r="H806" i="5"/>
  <c r="D807" i="5"/>
  <c r="H807" i="5"/>
  <c r="D808" i="5"/>
  <c r="H808" i="5"/>
  <c r="D809" i="5"/>
  <c r="H809" i="5"/>
  <c r="D810" i="5"/>
  <c r="H810" i="5"/>
  <c r="D811" i="5"/>
  <c r="H811" i="5"/>
  <c r="D812" i="5"/>
  <c r="H812" i="5"/>
  <c r="D813" i="5"/>
  <c r="H813" i="5"/>
  <c r="D814" i="5"/>
  <c r="H814" i="5"/>
  <c r="D815" i="5"/>
  <c r="H815" i="5"/>
  <c r="D816" i="5"/>
  <c r="H816" i="5"/>
  <c r="D817" i="5"/>
  <c r="H817" i="5"/>
  <c r="D818" i="5"/>
  <c r="H818" i="5"/>
  <c r="D819" i="5"/>
  <c r="H819" i="5"/>
  <c r="D820" i="5"/>
  <c r="H820" i="5"/>
  <c r="D821" i="5"/>
  <c r="H821" i="5"/>
  <c r="D822" i="5"/>
  <c r="H822" i="5"/>
  <c r="D823" i="5"/>
  <c r="H823" i="5"/>
  <c r="D824" i="5"/>
  <c r="H824" i="5"/>
  <c r="D825" i="5"/>
  <c r="H825" i="5"/>
  <c r="D826" i="5"/>
  <c r="H826" i="5"/>
  <c r="D827" i="5"/>
  <c r="H827" i="5"/>
  <c r="D828" i="5"/>
  <c r="H828" i="5"/>
  <c r="D829" i="5"/>
  <c r="H829" i="5"/>
  <c r="D830" i="5"/>
  <c r="H830" i="5"/>
  <c r="D831" i="5"/>
  <c r="H831" i="5"/>
  <c r="D832" i="5"/>
  <c r="H832" i="5"/>
  <c r="D833" i="5"/>
  <c r="H833" i="5"/>
  <c r="D834" i="5"/>
  <c r="H834" i="5"/>
  <c r="D835" i="5"/>
  <c r="H835" i="5"/>
  <c r="D836" i="5"/>
  <c r="H836" i="5"/>
  <c r="D837" i="5"/>
  <c r="H837" i="5"/>
  <c r="D838" i="5"/>
  <c r="H838" i="5"/>
  <c r="D839" i="5"/>
  <c r="H839" i="5"/>
  <c r="D840" i="5"/>
  <c r="H840" i="5"/>
  <c r="D841" i="5"/>
  <c r="H841" i="5"/>
  <c r="D842" i="5"/>
  <c r="H842" i="5"/>
  <c r="D843" i="5"/>
  <c r="H843" i="5"/>
  <c r="D844" i="5"/>
  <c r="H844" i="5"/>
  <c r="D845" i="5"/>
  <c r="H845" i="5"/>
  <c r="D846" i="5"/>
  <c r="H846" i="5"/>
  <c r="D847" i="5"/>
  <c r="H847" i="5"/>
  <c r="D848" i="5"/>
  <c r="H848" i="5"/>
  <c r="D849" i="5"/>
  <c r="H849" i="5"/>
  <c r="D850" i="5"/>
  <c r="H850" i="5"/>
  <c r="D851" i="5"/>
  <c r="H851" i="5"/>
  <c r="D852" i="5"/>
  <c r="H852" i="5"/>
  <c r="D853" i="5"/>
  <c r="H853" i="5"/>
  <c r="D854" i="5"/>
  <c r="H854" i="5"/>
  <c r="D855" i="5"/>
  <c r="H855" i="5"/>
  <c r="D856" i="5"/>
  <c r="H856" i="5"/>
  <c r="D857" i="5"/>
  <c r="H857" i="5"/>
  <c r="D858" i="5"/>
  <c r="H858" i="5"/>
  <c r="D859" i="5"/>
  <c r="H859" i="5"/>
  <c r="D860" i="5"/>
  <c r="H860" i="5"/>
  <c r="D861" i="5"/>
  <c r="H861" i="5"/>
  <c r="D862" i="5"/>
  <c r="H862" i="5"/>
  <c r="D863" i="5"/>
  <c r="H863" i="5"/>
  <c r="D864" i="5"/>
  <c r="H864" i="5"/>
  <c r="D865" i="5"/>
  <c r="H865" i="5"/>
  <c r="D866" i="5"/>
  <c r="H866" i="5"/>
  <c r="D867" i="5"/>
  <c r="H867" i="5"/>
  <c r="D868" i="5"/>
  <c r="H868" i="5"/>
  <c r="D869" i="5"/>
  <c r="H869" i="5"/>
  <c r="D870" i="5"/>
  <c r="H870" i="5"/>
  <c r="D871" i="5"/>
  <c r="H871" i="5"/>
  <c r="D872" i="5"/>
  <c r="H872" i="5"/>
  <c r="D873" i="5"/>
  <c r="H873" i="5"/>
  <c r="D874" i="5"/>
  <c r="H874" i="5"/>
  <c r="D875" i="5"/>
  <c r="H875" i="5"/>
  <c r="D876" i="5"/>
  <c r="H876" i="5"/>
  <c r="D877" i="5"/>
  <c r="H877" i="5"/>
  <c r="D878" i="5"/>
  <c r="H878" i="5"/>
  <c r="D879" i="5"/>
  <c r="H879" i="5"/>
  <c r="D880" i="5"/>
  <c r="H880" i="5"/>
  <c r="D881" i="5"/>
  <c r="H881" i="5"/>
  <c r="D882" i="5"/>
  <c r="H882" i="5"/>
  <c r="D883" i="5"/>
  <c r="H883" i="5"/>
  <c r="D884" i="5"/>
  <c r="H884" i="5"/>
  <c r="D885" i="5"/>
  <c r="H885" i="5"/>
  <c r="D886" i="5"/>
  <c r="H886" i="5"/>
  <c r="D887" i="5"/>
  <c r="H887" i="5"/>
  <c r="D888" i="5"/>
  <c r="H888" i="5"/>
  <c r="D889" i="5"/>
  <c r="H889" i="5"/>
  <c r="D890" i="5"/>
  <c r="H890" i="5"/>
  <c r="D891" i="5"/>
  <c r="H891" i="5"/>
  <c r="D892" i="5"/>
  <c r="H892" i="5"/>
  <c r="D893" i="5"/>
  <c r="H893" i="5"/>
  <c r="D894" i="5"/>
  <c r="H894" i="5"/>
  <c r="D895" i="5"/>
  <c r="H895" i="5"/>
  <c r="D896" i="5"/>
  <c r="H896" i="5"/>
  <c r="D897" i="5"/>
  <c r="H897" i="5"/>
  <c r="D898" i="5"/>
  <c r="H898" i="5"/>
  <c r="D899" i="5"/>
  <c r="H899" i="5"/>
  <c r="D900" i="5"/>
  <c r="H900" i="5"/>
  <c r="D901" i="5"/>
  <c r="H901" i="5"/>
  <c r="D902" i="5"/>
  <c r="H902" i="5"/>
  <c r="D903" i="5"/>
  <c r="H903" i="5"/>
  <c r="D904" i="5"/>
  <c r="H904" i="5"/>
  <c r="D905" i="5"/>
  <c r="H905" i="5"/>
  <c r="D906" i="5"/>
  <c r="H906" i="5"/>
  <c r="D907" i="5"/>
  <c r="H907" i="5"/>
  <c r="D908" i="5"/>
  <c r="H908" i="5"/>
  <c r="D909" i="5"/>
  <c r="H909" i="5"/>
  <c r="D910" i="5"/>
  <c r="H910" i="5"/>
  <c r="D911" i="5"/>
  <c r="H911" i="5"/>
  <c r="D912" i="5"/>
  <c r="H912" i="5"/>
  <c r="D913" i="5"/>
  <c r="H913" i="5"/>
  <c r="D914" i="5"/>
  <c r="H914" i="5"/>
  <c r="D915" i="5"/>
  <c r="H915" i="5"/>
  <c r="D916" i="5"/>
  <c r="H916" i="5"/>
  <c r="D917" i="5"/>
  <c r="H917" i="5"/>
  <c r="D918" i="5"/>
  <c r="H918" i="5"/>
  <c r="D919" i="5"/>
  <c r="H919" i="5"/>
  <c r="D920" i="5"/>
  <c r="H920" i="5"/>
  <c r="D921" i="5"/>
  <c r="H921" i="5"/>
  <c r="D922" i="5"/>
  <c r="H922" i="5"/>
  <c r="D923" i="5"/>
  <c r="H923" i="5"/>
  <c r="D924" i="5"/>
  <c r="H924" i="5"/>
  <c r="D925" i="5"/>
  <c r="H925" i="5"/>
  <c r="D926" i="5"/>
  <c r="H926" i="5"/>
  <c r="D927" i="5"/>
  <c r="H927" i="5"/>
  <c r="D928" i="5"/>
  <c r="H928" i="5"/>
  <c r="D929" i="5"/>
  <c r="H929" i="5"/>
  <c r="D930" i="5"/>
  <c r="H930" i="5"/>
  <c r="D931" i="5"/>
  <c r="H931" i="5"/>
  <c r="D932" i="5"/>
  <c r="H932" i="5"/>
  <c r="D933" i="5"/>
  <c r="H933" i="5"/>
  <c r="D934" i="5"/>
  <c r="H934" i="5"/>
  <c r="D935" i="5"/>
  <c r="H935" i="5"/>
  <c r="D936" i="5"/>
  <c r="H936" i="5"/>
  <c r="D937" i="5"/>
  <c r="H937" i="5"/>
  <c r="D938" i="5"/>
  <c r="H938" i="5"/>
  <c r="D939" i="5"/>
  <c r="H939" i="5"/>
  <c r="D940" i="5"/>
  <c r="H940" i="5"/>
  <c r="D941" i="5"/>
  <c r="H941" i="5"/>
  <c r="D942" i="5"/>
  <c r="H942" i="5"/>
  <c r="D943" i="5"/>
  <c r="H943" i="5"/>
  <c r="D944" i="5"/>
  <c r="H944" i="5"/>
  <c r="D945" i="5"/>
  <c r="H945" i="5"/>
  <c r="D946" i="5"/>
  <c r="H946" i="5"/>
  <c r="D947" i="5"/>
  <c r="H947" i="5"/>
  <c r="D948" i="5"/>
  <c r="H948" i="5"/>
  <c r="D949" i="5"/>
  <c r="H949" i="5"/>
  <c r="D950" i="5"/>
  <c r="H950" i="5"/>
  <c r="D951" i="5"/>
  <c r="H951" i="5"/>
  <c r="D952" i="5"/>
  <c r="H952" i="5"/>
  <c r="D953" i="5"/>
  <c r="H953" i="5"/>
  <c r="D954" i="5"/>
  <c r="H954" i="5"/>
  <c r="D955" i="5"/>
  <c r="H955" i="5"/>
  <c r="D956" i="5"/>
  <c r="H956" i="5"/>
  <c r="D957" i="5"/>
  <c r="H957" i="5"/>
  <c r="D958" i="5"/>
  <c r="H958" i="5"/>
  <c r="D959" i="5"/>
  <c r="H959" i="5"/>
  <c r="D960" i="5"/>
  <c r="H960" i="5"/>
  <c r="D961" i="5"/>
  <c r="H961" i="5"/>
  <c r="D962" i="5"/>
  <c r="H962" i="5"/>
  <c r="D963" i="5"/>
  <c r="H963" i="5"/>
  <c r="D964" i="5"/>
  <c r="H964" i="5"/>
  <c r="D965" i="5"/>
  <c r="H965" i="5"/>
  <c r="D966" i="5"/>
  <c r="H966" i="5"/>
  <c r="D967" i="5"/>
  <c r="H967" i="5"/>
  <c r="D968" i="5"/>
  <c r="H968" i="5"/>
  <c r="D969" i="5"/>
  <c r="H969" i="5"/>
  <c r="D970" i="5"/>
  <c r="H970" i="5"/>
  <c r="D971" i="5"/>
  <c r="H971" i="5"/>
  <c r="D972" i="5"/>
  <c r="H972" i="5"/>
  <c r="D973" i="5"/>
  <c r="H973" i="5"/>
  <c r="D974" i="5"/>
  <c r="H974" i="5"/>
  <c r="D975" i="5"/>
  <c r="H975" i="5"/>
  <c r="D976" i="5"/>
  <c r="H976" i="5"/>
  <c r="D977" i="5"/>
  <c r="H977" i="5"/>
  <c r="D978" i="5"/>
  <c r="H978" i="5"/>
  <c r="D979" i="5"/>
  <c r="H979" i="5"/>
  <c r="D980" i="5"/>
  <c r="H980" i="5"/>
  <c r="D981" i="5"/>
  <c r="H981" i="5"/>
  <c r="D982" i="5"/>
  <c r="H982" i="5"/>
  <c r="D983" i="5"/>
  <c r="H983" i="5"/>
  <c r="D984" i="5"/>
  <c r="H984" i="5"/>
  <c r="D985" i="5"/>
  <c r="H985" i="5"/>
  <c r="D986" i="5"/>
  <c r="H986" i="5"/>
  <c r="D987" i="5"/>
  <c r="H987" i="5"/>
  <c r="D988" i="5"/>
  <c r="H988" i="5"/>
  <c r="D989" i="5"/>
  <c r="H989" i="5"/>
  <c r="D990" i="5"/>
  <c r="H990" i="5"/>
  <c r="D991" i="5"/>
  <c r="H991" i="5"/>
  <c r="D992" i="5"/>
  <c r="H992" i="5"/>
  <c r="D993" i="5"/>
  <c r="H993" i="5"/>
  <c r="D994" i="5"/>
  <c r="H994" i="5"/>
  <c r="D995" i="5"/>
  <c r="H995" i="5"/>
  <c r="D996" i="5"/>
  <c r="H996" i="5"/>
  <c r="D997" i="5"/>
  <c r="H997" i="5"/>
  <c r="D998" i="5"/>
  <c r="H998" i="5"/>
  <c r="D999" i="5"/>
  <c r="H999" i="5"/>
  <c r="D1000" i="5"/>
  <c r="H1000" i="5"/>
  <c r="D1001" i="5"/>
  <c r="H1001" i="5"/>
  <c r="D1002" i="5"/>
  <c r="H1002" i="5"/>
  <c r="D1003" i="5"/>
  <c r="H1003" i="5"/>
  <c r="D1004" i="5"/>
  <c r="H1004" i="5"/>
  <c r="D1005" i="5"/>
  <c r="H1005" i="5"/>
  <c r="D1006" i="5"/>
  <c r="H1006" i="5"/>
  <c r="D1007" i="5"/>
  <c r="H1007" i="5"/>
  <c r="D1008" i="5"/>
  <c r="H1008" i="5"/>
  <c r="D1009" i="5"/>
  <c r="H1009" i="5"/>
  <c r="D1010" i="5"/>
  <c r="H1010" i="5"/>
  <c r="D1011" i="5"/>
  <c r="H1011" i="5"/>
  <c r="D1012" i="5"/>
  <c r="H1012" i="5"/>
  <c r="D1013" i="5"/>
  <c r="H1013" i="5"/>
  <c r="D1014" i="5"/>
  <c r="H1014" i="5"/>
  <c r="D1015" i="5"/>
  <c r="H1015" i="5"/>
  <c r="D1016" i="5"/>
  <c r="H1016" i="5"/>
  <c r="D1017" i="5"/>
  <c r="H1017" i="5"/>
  <c r="D1018" i="5"/>
  <c r="H1018" i="5"/>
  <c r="D1019" i="5"/>
  <c r="H1019" i="5"/>
  <c r="D1020" i="5"/>
  <c r="H1020" i="5"/>
  <c r="D1021" i="5"/>
  <c r="H1021" i="5"/>
  <c r="D1022" i="5"/>
  <c r="H1022" i="5"/>
  <c r="D1023" i="5"/>
  <c r="H1023" i="5"/>
  <c r="D1024" i="5"/>
  <c r="H1024" i="5"/>
  <c r="D1025" i="5"/>
  <c r="H1025" i="5"/>
  <c r="D1026" i="5"/>
  <c r="H1026" i="5"/>
  <c r="D1027" i="5"/>
  <c r="H1027" i="5"/>
  <c r="D1028" i="5"/>
  <c r="H1028" i="5"/>
  <c r="D1029" i="5"/>
  <c r="H1029" i="5"/>
  <c r="D1030" i="5"/>
  <c r="H1030" i="5"/>
  <c r="D1031" i="5"/>
  <c r="H1031" i="5"/>
  <c r="H1032" i="5"/>
  <c r="D1033" i="5"/>
  <c r="H1033" i="5"/>
  <c r="D1034" i="5"/>
  <c r="D1035" i="5"/>
  <c r="H1035" i="5"/>
  <c r="D1036" i="5"/>
  <c r="H1036" i="5"/>
  <c r="D1037" i="5"/>
  <c r="H1037" i="5"/>
  <c r="D1038" i="5"/>
  <c r="H1038" i="5"/>
  <c r="D1039" i="5"/>
  <c r="H1039" i="5"/>
  <c r="D1040" i="5"/>
  <c r="H1040" i="5"/>
  <c r="D1041" i="5"/>
  <c r="H1041" i="5"/>
  <c r="D1042" i="5"/>
  <c r="H1042" i="5"/>
  <c r="D1043" i="5"/>
  <c r="H1043" i="5"/>
  <c r="D1044" i="5"/>
  <c r="H1044" i="5"/>
  <c r="D1045" i="5"/>
  <c r="H1045" i="5"/>
  <c r="D1046" i="5"/>
  <c r="H1046" i="5"/>
  <c r="D1047" i="5"/>
  <c r="H1047" i="5"/>
  <c r="D1048" i="5"/>
  <c r="H1048" i="5"/>
  <c r="D1049" i="5"/>
  <c r="H1049" i="5"/>
  <c r="D1050" i="5"/>
  <c r="H1050" i="5"/>
  <c r="D1051" i="5"/>
  <c r="H1051" i="5"/>
  <c r="D1052" i="5"/>
  <c r="H1052" i="5"/>
  <c r="D1053" i="5"/>
  <c r="H1053" i="5"/>
  <c r="D1054" i="5"/>
  <c r="H1054" i="5"/>
  <c r="D1055" i="5"/>
  <c r="H1055" i="5"/>
  <c r="D1056" i="5"/>
  <c r="H1056" i="5"/>
  <c r="D1057" i="5"/>
  <c r="H1057" i="5"/>
  <c r="D1058" i="5"/>
  <c r="H1058" i="5"/>
  <c r="D1059" i="5"/>
  <c r="H1059" i="5"/>
  <c r="D1060" i="5"/>
  <c r="H1060" i="5"/>
  <c r="D1061" i="5"/>
  <c r="H1061" i="5"/>
  <c r="D1062" i="5"/>
  <c r="H1062" i="5"/>
  <c r="D1063" i="5"/>
  <c r="H1063" i="5"/>
  <c r="D1064" i="5"/>
  <c r="H1064" i="5"/>
  <c r="D1065" i="5"/>
  <c r="H1065" i="5"/>
  <c r="D1066" i="5"/>
  <c r="H1066" i="5"/>
  <c r="D1067" i="5"/>
  <c r="H1067" i="5"/>
  <c r="D1068" i="5"/>
  <c r="H1068" i="5"/>
  <c r="D1069" i="5"/>
  <c r="H1069" i="5"/>
  <c r="D1070" i="5"/>
  <c r="H1070" i="5"/>
  <c r="D1071" i="5"/>
  <c r="H1071" i="5"/>
  <c r="D1072" i="5"/>
  <c r="H1072" i="5"/>
  <c r="D1073" i="5"/>
  <c r="H1073" i="5"/>
  <c r="D1074" i="5"/>
  <c r="H1074" i="5"/>
  <c r="D1075" i="5"/>
  <c r="H1075" i="5"/>
  <c r="D1076" i="5"/>
  <c r="H1076" i="5"/>
  <c r="D1077" i="5"/>
  <c r="H1077" i="5"/>
  <c r="D1078" i="5"/>
  <c r="H1078" i="5"/>
  <c r="D1079" i="5"/>
  <c r="H1079" i="5"/>
  <c r="D1080" i="5"/>
  <c r="H1080" i="5"/>
  <c r="D1081" i="5"/>
  <c r="H1081" i="5"/>
  <c r="D1082" i="5"/>
  <c r="H1082" i="5"/>
  <c r="D1083" i="5"/>
  <c r="H1083" i="5"/>
  <c r="D1084" i="5"/>
  <c r="H1084" i="5"/>
  <c r="D1085" i="5"/>
  <c r="H1085" i="5"/>
  <c r="D1086" i="5"/>
  <c r="H1086" i="5"/>
  <c r="D1087" i="5"/>
  <c r="H1087" i="5"/>
  <c r="D1088" i="5"/>
  <c r="H1088" i="5"/>
  <c r="D1089" i="5"/>
  <c r="H1089" i="5"/>
  <c r="D1090" i="5"/>
  <c r="H1090" i="5"/>
  <c r="D1091" i="5"/>
  <c r="H1091" i="5"/>
  <c r="D1092" i="5"/>
  <c r="H1092" i="5"/>
  <c r="D1093" i="5"/>
  <c r="H1093" i="5"/>
  <c r="D1094" i="5"/>
  <c r="H1094" i="5"/>
  <c r="D1095" i="5"/>
  <c r="H1095" i="5"/>
  <c r="D1096" i="5"/>
  <c r="H1096" i="5"/>
  <c r="D1097" i="5"/>
  <c r="H1097" i="5"/>
  <c r="D1098" i="5"/>
  <c r="H1098" i="5"/>
  <c r="D1099" i="5"/>
  <c r="H1099" i="5"/>
  <c r="D1100" i="5"/>
  <c r="H1100" i="5"/>
  <c r="D1101" i="5"/>
  <c r="H1101" i="5"/>
  <c r="D1102" i="5"/>
  <c r="H1102" i="5"/>
  <c r="D1103" i="5"/>
  <c r="H1103" i="5"/>
  <c r="D1104" i="5"/>
  <c r="H1104" i="5"/>
  <c r="D1105" i="5"/>
  <c r="H1105" i="5"/>
  <c r="D1106" i="5"/>
  <c r="H1106" i="5"/>
  <c r="D1107" i="5"/>
  <c r="H1107" i="5"/>
  <c r="D1108" i="5"/>
  <c r="H1108" i="5"/>
  <c r="D1109" i="5"/>
  <c r="H1109" i="5"/>
  <c r="D1110" i="5"/>
  <c r="H1110" i="5"/>
  <c r="D1111" i="5"/>
  <c r="H1111" i="5"/>
  <c r="D1112" i="5"/>
  <c r="H1112" i="5"/>
  <c r="D1113" i="5"/>
  <c r="H1113" i="5"/>
  <c r="D1114" i="5"/>
  <c r="H1114" i="5"/>
  <c r="D1115" i="5"/>
  <c r="H1115" i="5"/>
  <c r="D1116" i="5"/>
  <c r="H1116" i="5"/>
  <c r="D1117" i="5"/>
  <c r="H1117" i="5"/>
  <c r="D1118" i="5"/>
  <c r="H1118" i="5"/>
  <c r="D1119" i="5"/>
  <c r="H1119" i="5"/>
  <c r="D1120" i="5"/>
  <c r="H1120" i="5"/>
  <c r="D1121" i="5"/>
  <c r="H1121" i="5"/>
  <c r="D1122" i="5"/>
  <c r="H1122" i="5"/>
  <c r="D1123" i="5"/>
  <c r="H1123" i="5"/>
  <c r="D1124" i="5"/>
  <c r="H1124" i="5"/>
  <c r="D1125" i="5"/>
  <c r="H1125" i="5"/>
  <c r="D1126" i="5"/>
  <c r="H1126" i="5"/>
  <c r="D1127" i="5"/>
  <c r="H1127" i="5"/>
  <c r="D1128" i="5"/>
  <c r="H1128" i="5"/>
  <c r="D1129" i="5"/>
  <c r="H1129" i="5"/>
  <c r="D1130" i="5"/>
  <c r="H1130" i="5"/>
  <c r="D1131" i="5"/>
  <c r="H1131" i="5"/>
  <c r="D1132" i="5"/>
  <c r="H1132" i="5"/>
  <c r="D1133" i="5"/>
  <c r="H1133" i="5"/>
  <c r="D1134" i="5"/>
  <c r="H1134" i="5"/>
  <c r="D1135" i="5"/>
  <c r="H1135" i="5"/>
  <c r="D1136" i="5"/>
  <c r="H1136" i="5"/>
  <c r="D1137" i="5"/>
  <c r="H1137" i="5"/>
  <c r="D1138" i="5"/>
  <c r="H1138" i="5"/>
  <c r="D1139" i="5"/>
  <c r="H1139" i="5"/>
  <c r="D1140" i="5"/>
  <c r="H1140" i="5"/>
  <c r="D1141" i="5"/>
  <c r="H1141" i="5"/>
  <c r="D1142" i="5"/>
  <c r="H1142" i="5"/>
  <c r="D1143" i="5"/>
  <c r="H1143" i="5"/>
  <c r="D1144" i="5"/>
  <c r="H1144" i="5"/>
  <c r="D1145" i="5"/>
  <c r="H1145" i="5"/>
  <c r="D1146" i="5"/>
  <c r="H1146" i="5"/>
  <c r="D1147" i="5"/>
  <c r="H1147" i="5"/>
  <c r="D1148" i="5"/>
  <c r="H1148" i="5"/>
  <c r="D1149" i="5"/>
  <c r="H1149" i="5"/>
  <c r="D1150" i="5"/>
  <c r="H1150" i="5"/>
  <c r="D1151" i="5"/>
  <c r="H1151" i="5"/>
  <c r="D1152" i="5"/>
  <c r="H1152" i="5"/>
  <c r="D1153" i="5"/>
  <c r="H1153" i="5"/>
  <c r="D1154" i="5"/>
  <c r="H1154" i="5"/>
  <c r="D1155" i="5"/>
  <c r="H1155" i="5"/>
  <c r="D1156" i="5"/>
  <c r="H1156" i="5"/>
  <c r="D1157" i="5"/>
  <c r="H1157" i="5"/>
  <c r="D1158" i="5"/>
  <c r="H1158" i="5"/>
  <c r="D1159" i="5"/>
  <c r="H1159" i="5"/>
  <c r="D1160" i="5"/>
  <c r="H1160" i="5"/>
  <c r="D1161" i="5"/>
  <c r="H1161" i="5"/>
  <c r="D1162" i="5"/>
  <c r="H1162" i="5"/>
  <c r="D1163" i="5"/>
  <c r="H1163" i="5"/>
  <c r="D1164" i="5"/>
  <c r="H1164" i="5"/>
  <c r="D1165" i="5"/>
  <c r="H1165" i="5"/>
  <c r="D1166" i="5"/>
  <c r="H1166" i="5"/>
  <c r="D1167" i="5"/>
  <c r="H1167" i="5"/>
  <c r="D1168" i="5"/>
  <c r="H1168" i="5"/>
  <c r="D1169" i="5"/>
  <c r="H1169" i="5"/>
  <c r="D1170" i="5"/>
  <c r="H1170" i="5"/>
  <c r="D1171" i="5"/>
  <c r="H1171" i="5"/>
  <c r="D1172" i="5"/>
  <c r="H1172" i="5"/>
  <c r="D1173" i="5"/>
  <c r="H1173" i="5"/>
  <c r="D1174" i="5"/>
  <c r="H1174" i="5"/>
  <c r="D1175" i="5"/>
  <c r="H1175" i="5"/>
  <c r="D1176" i="5"/>
  <c r="H1176" i="5"/>
  <c r="D1177" i="5"/>
  <c r="H1177" i="5"/>
  <c r="D1178" i="5"/>
  <c r="H1178" i="5"/>
  <c r="D1179" i="5"/>
  <c r="H1179" i="5"/>
  <c r="D1180" i="5"/>
  <c r="H1180" i="5"/>
  <c r="D1181" i="5"/>
  <c r="H1181" i="5"/>
  <c r="D1182" i="5"/>
  <c r="H1182" i="5"/>
  <c r="D1183" i="5"/>
  <c r="H1183" i="5"/>
  <c r="D1184" i="5"/>
  <c r="H1184" i="5"/>
  <c r="D1185" i="5"/>
  <c r="H1185" i="5"/>
  <c r="D1186" i="5"/>
  <c r="H1186" i="5"/>
  <c r="D1187" i="5"/>
  <c r="H1187" i="5"/>
  <c r="D1188" i="5"/>
  <c r="H1188" i="5"/>
  <c r="D1189" i="5"/>
  <c r="H1189" i="5"/>
  <c r="D1190" i="5"/>
  <c r="H1190" i="5"/>
  <c r="D1191" i="5"/>
  <c r="H1191" i="5"/>
  <c r="D1192" i="5"/>
  <c r="H1192" i="5"/>
  <c r="D1193" i="5"/>
  <c r="H1193" i="5"/>
  <c r="D1194" i="5"/>
  <c r="H1194" i="5"/>
  <c r="D1195" i="5"/>
  <c r="H1195" i="5"/>
  <c r="D1196" i="5"/>
  <c r="H1196" i="5"/>
  <c r="D1197" i="5"/>
  <c r="H1197" i="5"/>
  <c r="D1198" i="5"/>
  <c r="H1198" i="5"/>
  <c r="D1199" i="5"/>
  <c r="H1199" i="5"/>
  <c r="D1200" i="5"/>
  <c r="H1200" i="5"/>
  <c r="D1201" i="5"/>
  <c r="H1201" i="5"/>
  <c r="D1202" i="5"/>
  <c r="H1202" i="5"/>
  <c r="D1203" i="5"/>
  <c r="H1203" i="5"/>
  <c r="D1204" i="5"/>
  <c r="H1204" i="5"/>
  <c r="D1205" i="5"/>
  <c r="H1205" i="5"/>
  <c r="D1206" i="5"/>
  <c r="H1206" i="5"/>
  <c r="D1207" i="5"/>
  <c r="H1207" i="5"/>
  <c r="D1208" i="5"/>
  <c r="H1208" i="5"/>
  <c r="D1209" i="5"/>
  <c r="H1209" i="5"/>
  <c r="D1210" i="5"/>
  <c r="H1210" i="5"/>
  <c r="D1211" i="5"/>
  <c r="H1211" i="5"/>
  <c r="D1212" i="5"/>
  <c r="H1212" i="5"/>
  <c r="D1213" i="5"/>
  <c r="H1213" i="5"/>
  <c r="D1214" i="5"/>
  <c r="H1214" i="5"/>
  <c r="D1215" i="5"/>
  <c r="H1215" i="5"/>
  <c r="D1216" i="5"/>
  <c r="H1216" i="5"/>
  <c r="D1217" i="5"/>
  <c r="H1217" i="5"/>
  <c r="D1218" i="5"/>
  <c r="H1218" i="5"/>
  <c r="D1219" i="5"/>
  <c r="H1219" i="5"/>
  <c r="D1220" i="5"/>
  <c r="H1220" i="5"/>
  <c r="D1221" i="5"/>
  <c r="H1221" i="5"/>
  <c r="D1222" i="5"/>
  <c r="H1222" i="5"/>
  <c r="D1223" i="5"/>
  <c r="H1223" i="5"/>
  <c r="D1224" i="5"/>
  <c r="H1224" i="5"/>
  <c r="D1225" i="5"/>
  <c r="H1225" i="5"/>
  <c r="D1226" i="5"/>
  <c r="H1226" i="5"/>
  <c r="D1227" i="5"/>
  <c r="H1227" i="5"/>
  <c r="D1228" i="5"/>
  <c r="H1228" i="5"/>
  <c r="D1229" i="5"/>
  <c r="H1229" i="5"/>
  <c r="D1230" i="5"/>
  <c r="H1230" i="5"/>
  <c r="D1231" i="5"/>
  <c r="H1231" i="5"/>
  <c r="D1232" i="5"/>
  <c r="H1232" i="5"/>
  <c r="D1233" i="5"/>
  <c r="H1233" i="5"/>
  <c r="D1234" i="5"/>
  <c r="H1234" i="5"/>
  <c r="D1235" i="5"/>
  <c r="H1235" i="5"/>
  <c r="D1236" i="5"/>
  <c r="H1236" i="5"/>
  <c r="D1237" i="5"/>
  <c r="H1237" i="5"/>
  <c r="D1238" i="5"/>
  <c r="H1238" i="5"/>
  <c r="D1239" i="5"/>
  <c r="H1239" i="5"/>
  <c r="D1240" i="5"/>
  <c r="H1240" i="5"/>
  <c r="D1241" i="5"/>
  <c r="H1241" i="5"/>
  <c r="D1242" i="5"/>
  <c r="H1242" i="5"/>
  <c r="D1243" i="5"/>
  <c r="H1243" i="5"/>
  <c r="D1244" i="5"/>
  <c r="H1244" i="5"/>
  <c r="D1245" i="5"/>
  <c r="H1245" i="5"/>
  <c r="D1246" i="5"/>
  <c r="H1246" i="5"/>
  <c r="D1247" i="5"/>
  <c r="H1247" i="5"/>
  <c r="D1248" i="5"/>
  <c r="H1248" i="5"/>
  <c r="D1249" i="5"/>
  <c r="H1249" i="5"/>
  <c r="D1250" i="5"/>
  <c r="H1250" i="5"/>
  <c r="D1251" i="5"/>
  <c r="H1251" i="5"/>
  <c r="D1252" i="5"/>
  <c r="H1252" i="5"/>
  <c r="D1253" i="5"/>
  <c r="H1253" i="5"/>
  <c r="D1254" i="5"/>
  <c r="H1254" i="5"/>
  <c r="D1255" i="5"/>
  <c r="H1255" i="5"/>
  <c r="D1256" i="5"/>
  <c r="H1256" i="5"/>
  <c r="D1257" i="5"/>
  <c r="H1257" i="5"/>
  <c r="D1258" i="5"/>
  <c r="H1258" i="5"/>
  <c r="D1259" i="5"/>
  <c r="H1259" i="5"/>
  <c r="D1260" i="5"/>
  <c r="H1260" i="5"/>
  <c r="D1261" i="5"/>
  <c r="H1261" i="5"/>
  <c r="D1262" i="5"/>
  <c r="H1262" i="5"/>
  <c r="D1263" i="5"/>
  <c r="H1263" i="5"/>
  <c r="D1264" i="5"/>
  <c r="H1264" i="5"/>
  <c r="D1265" i="5"/>
  <c r="H1265" i="5"/>
  <c r="D1266" i="5"/>
  <c r="H1266" i="5"/>
  <c r="D1267" i="5"/>
  <c r="H1267" i="5"/>
  <c r="D1268" i="5"/>
  <c r="H1268" i="5"/>
  <c r="D1269" i="5"/>
  <c r="H1269" i="5"/>
  <c r="D1270" i="5"/>
  <c r="H1270" i="5"/>
  <c r="D1271" i="5"/>
  <c r="H1271" i="5"/>
  <c r="D1272" i="5"/>
  <c r="H1272" i="5"/>
  <c r="D1273" i="5"/>
  <c r="H1273" i="5"/>
  <c r="D1274" i="5"/>
  <c r="H1274" i="5"/>
  <c r="D1275" i="5"/>
  <c r="H1275" i="5"/>
  <c r="D1276" i="5"/>
  <c r="H1276" i="5"/>
  <c r="D1277" i="5"/>
  <c r="H1277" i="5"/>
  <c r="D1278" i="5"/>
  <c r="H1278" i="5"/>
  <c r="D1279" i="5"/>
  <c r="H1279" i="5"/>
  <c r="D1280" i="5"/>
  <c r="H1280" i="5"/>
  <c r="D1281" i="5"/>
  <c r="H1281" i="5"/>
  <c r="D1282" i="5"/>
  <c r="H1282" i="5"/>
  <c r="D1283" i="5"/>
  <c r="H1283" i="5"/>
  <c r="D1284" i="5"/>
  <c r="H1284" i="5"/>
  <c r="D189" i="4"/>
  <c r="C189" i="4"/>
  <c r="D188" i="4"/>
  <c r="C188" i="4"/>
  <c r="D187" i="4"/>
  <c r="C187" i="4"/>
  <c r="D186" i="4"/>
  <c r="C186" i="4"/>
  <c r="D185" i="4"/>
  <c r="C185" i="4"/>
  <c r="D184" i="4"/>
  <c r="C184" i="4"/>
  <c r="D183" i="4"/>
  <c r="C183" i="4"/>
  <c r="D182" i="4"/>
  <c r="C182" i="4"/>
  <c r="D181" i="4"/>
  <c r="C181" i="4"/>
  <c r="D180" i="4"/>
  <c r="C180" i="4"/>
  <c r="D179" i="4"/>
  <c r="C179" i="4"/>
  <c r="D178" i="4"/>
  <c r="C178" i="4"/>
  <c r="D177" i="4"/>
  <c r="C177" i="4"/>
  <c r="D176" i="4"/>
  <c r="C176" i="4"/>
  <c r="D175" i="4"/>
  <c r="C175" i="4"/>
  <c r="D174" i="4"/>
  <c r="C174" i="4"/>
  <c r="D173" i="4"/>
  <c r="C173" i="4"/>
  <c r="D172" i="4"/>
  <c r="C172" i="4"/>
  <c r="D171" i="4"/>
  <c r="F171" i="4" s="1"/>
  <c r="C171" i="4"/>
  <c r="D170" i="4"/>
  <c r="F170" i="4" s="1"/>
  <c r="C170" i="4"/>
  <c r="D169" i="4"/>
  <c r="C169" i="4"/>
  <c r="D164" i="4"/>
  <c r="C164" i="4"/>
  <c r="D163" i="4"/>
  <c r="C163" i="4"/>
  <c r="D162" i="4"/>
  <c r="C162" i="4"/>
  <c r="D161" i="4"/>
  <c r="C161" i="4"/>
  <c r="D160" i="4"/>
  <c r="C160" i="4"/>
  <c r="D159" i="4"/>
  <c r="C159" i="4"/>
  <c r="D158" i="4"/>
  <c r="C158" i="4"/>
  <c r="D157" i="4"/>
  <c r="C157" i="4"/>
  <c r="D156" i="4"/>
  <c r="C156" i="4"/>
  <c r="D155" i="4"/>
  <c r="C155" i="4"/>
  <c r="D154" i="4"/>
  <c r="C154" i="4"/>
  <c r="D153" i="4"/>
  <c r="C153" i="4"/>
  <c r="D152" i="4"/>
  <c r="C152" i="4"/>
  <c r="D151" i="4"/>
  <c r="C151" i="4"/>
  <c r="D150" i="4"/>
  <c r="C150" i="4"/>
  <c r="D149" i="4"/>
  <c r="C149" i="4"/>
  <c r="D148" i="4"/>
  <c r="C148" i="4"/>
  <c r="D147" i="4"/>
  <c r="C147" i="4"/>
  <c r="D146" i="4"/>
  <c r="C146" i="4"/>
  <c r="D145" i="4"/>
  <c r="C145" i="4"/>
  <c r="D144" i="4"/>
  <c r="C144" i="4"/>
  <c r="D143" i="4"/>
  <c r="C143" i="4"/>
  <c r="D142" i="4"/>
  <c r="C142" i="4"/>
  <c r="D141" i="4"/>
  <c r="C141" i="4"/>
  <c r="D140" i="4"/>
  <c r="C140" i="4"/>
  <c r="D139" i="4"/>
  <c r="C139" i="4"/>
  <c r="D138" i="4"/>
  <c r="C138" i="4"/>
  <c r="D137" i="4"/>
  <c r="C137" i="4"/>
  <c r="D136" i="4"/>
  <c r="C136" i="4"/>
  <c r="D135" i="4"/>
  <c r="C135" i="4"/>
  <c r="D134" i="4"/>
  <c r="C134" i="4"/>
  <c r="D133" i="4"/>
  <c r="C133" i="4"/>
  <c r="D132" i="4"/>
  <c r="C132" i="4"/>
  <c r="D131" i="4"/>
  <c r="C131" i="4"/>
  <c r="D130" i="4"/>
  <c r="C130" i="4"/>
  <c r="D129" i="4"/>
  <c r="C129" i="4"/>
  <c r="D128" i="4"/>
  <c r="C128" i="4"/>
  <c r="D127" i="4"/>
  <c r="C127" i="4"/>
  <c r="D126" i="4"/>
  <c r="C126" i="4"/>
  <c r="D125" i="4"/>
  <c r="C125" i="4"/>
  <c r="D124" i="4"/>
  <c r="C124" i="4"/>
  <c r="D123" i="4"/>
  <c r="C123" i="4"/>
  <c r="D122" i="4"/>
  <c r="C122" i="4"/>
  <c r="D121" i="4"/>
  <c r="C121" i="4"/>
  <c r="D120" i="4"/>
  <c r="C120" i="4"/>
  <c r="D119" i="4"/>
  <c r="C119" i="4"/>
  <c r="D118" i="4"/>
  <c r="C118" i="4"/>
  <c r="D117" i="4"/>
  <c r="C117" i="4"/>
  <c r="D116" i="4"/>
  <c r="C116" i="4"/>
  <c r="D115" i="4"/>
  <c r="C115" i="4"/>
  <c r="D114" i="4"/>
  <c r="C114" i="4"/>
  <c r="D113" i="4"/>
  <c r="C113" i="4"/>
  <c r="D112" i="4"/>
  <c r="C112" i="4"/>
  <c r="D111" i="4"/>
  <c r="C111" i="4"/>
  <c r="D110" i="4"/>
  <c r="C110" i="4"/>
  <c r="D109" i="4"/>
  <c r="C109" i="4"/>
  <c r="D108" i="4"/>
  <c r="C108" i="4"/>
  <c r="D107" i="4"/>
  <c r="C107" i="4"/>
  <c r="D106" i="4"/>
  <c r="C106" i="4"/>
  <c r="D105" i="4"/>
  <c r="C105" i="4"/>
  <c r="D104" i="4"/>
  <c r="C104" i="4"/>
  <c r="D103" i="4"/>
  <c r="C103" i="4"/>
  <c r="D102" i="4"/>
  <c r="C102" i="4"/>
  <c r="D101" i="4"/>
  <c r="C101" i="4"/>
  <c r="D100" i="4"/>
  <c r="C100" i="4"/>
  <c r="D99" i="4"/>
  <c r="C99" i="4"/>
  <c r="D98" i="4"/>
  <c r="C98" i="4"/>
  <c r="D97" i="4"/>
  <c r="C97" i="4"/>
  <c r="D96" i="4"/>
  <c r="C96" i="4"/>
  <c r="D95" i="4"/>
  <c r="C95" i="4"/>
  <c r="D94" i="4"/>
  <c r="C94" i="4"/>
  <c r="D93" i="4"/>
  <c r="C93" i="4"/>
  <c r="D92" i="4"/>
  <c r="C92" i="4"/>
  <c r="D91" i="4"/>
  <c r="C91" i="4"/>
  <c r="D90" i="4"/>
  <c r="C90" i="4"/>
  <c r="D89" i="4"/>
  <c r="C89" i="4"/>
  <c r="D88" i="4"/>
  <c r="C88" i="4"/>
  <c r="D87" i="4"/>
  <c r="C87" i="4"/>
  <c r="D86" i="4"/>
  <c r="C86" i="4"/>
  <c r="D85" i="4"/>
  <c r="C85" i="4"/>
  <c r="D84" i="4"/>
  <c r="C84" i="4"/>
  <c r="D83" i="4"/>
  <c r="C83" i="4"/>
  <c r="D82" i="4"/>
  <c r="C82" i="4"/>
  <c r="D81" i="4"/>
  <c r="C81" i="4"/>
  <c r="D80" i="4"/>
  <c r="C80" i="4"/>
  <c r="D79" i="4"/>
  <c r="C79" i="4"/>
  <c r="D78" i="4"/>
  <c r="C78" i="4"/>
  <c r="D77" i="4"/>
  <c r="C77" i="4"/>
  <c r="D76" i="4"/>
  <c r="C76" i="4"/>
  <c r="D75" i="4"/>
  <c r="C75" i="4"/>
  <c r="D74" i="4"/>
  <c r="C74" i="4"/>
  <c r="D73" i="4"/>
  <c r="C73" i="4"/>
  <c r="D72" i="4"/>
  <c r="C10" i="3" s="1"/>
  <c r="C72"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O30" i="4"/>
  <c r="N30" i="4"/>
  <c r="M30" i="4"/>
  <c r="D30" i="4"/>
  <c r="C30" i="4"/>
  <c r="O29" i="4"/>
  <c r="N29" i="4"/>
  <c r="M29" i="4"/>
  <c r="D29" i="4"/>
  <c r="C29" i="4"/>
  <c r="O28" i="4"/>
  <c r="N28" i="4"/>
  <c r="M28" i="4"/>
  <c r="D28" i="4"/>
  <c r="C28" i="4"/>
  <c r="O27" i="4"/>
  <c r="N27" i="4"/>
  <c r="M27" i="4"/>
  <c r="D27" i="4"/>
  <c r="C27" i="4"/>
  <c r="O26" i="4"/>
  <c r="N26" i="4"/>
  <c r="M26" i="4"/>
  <c r="D26" i="4"/>
  <c r="C26" i="4"/>
  <c r="O25" i="4"/>
  <c r="N25" i="4"/>
  <c r="M25" i="4"/>
  <c r="D25" i="4"/>
  <c r="C25" i="4"/>
  <c r="O24" i="4"/>
  <c r="N24" i="4"/>
  <c r="M24" i="4"/>
  <c r="D24" i="4"/>
  <c r="C24" i="4"/>
  <c r="O23" i="4"/>
  <c r="N23" i="4"/>
  <c r="M23" i="4"/>
  <c r="D23" i="4"/>
  <c r="C23" i="4"/>
  <c r="O22" i="4"/>
  <c r="N22" i="4"/>
  <c r="M22" i="4"/>
  <c r="D22" i="4"/>
  <c r="C22" i="4"/>
  <c r="O21" i="4"/>
  <c r="N21" i="4"/>
  <c r="M21" i="4"/>
  <c r="D21" i="4"/>
  <c r="C21" i="4"/>
  <c r="O20" i="4"/>
  <c r="N20" i="4"/>
  <c r="M20" i="4"/>
  <c r="D20" i="4"/>
  <c r="C20" i="4"/>
  <c r="O19" i="4"/>
  <c r="N19" i="4"/>
  <c r="M19" i="4"/>
  <c r="D19" i="4"/>
  <c r="C19" i="4"/>
  <c r="O18" i="4"/>
  <c r="N18" i="4"/>
  <c r="M18" i="4"/>
  <c r="D18" i="4"/>
  <c r="C18" i="4"/>
  <c r="O17" i="4"/>
  <c r="N17" i="4"/>
  <c r="M17" i="4"/>
  <c r="D17" i="4"/>
  <c r="C17" i="4"/>
  <c r="O16" i="4"/>
  <c r="N16" i="4"/>
  <c r="M16" i="4"/>
  <c r="D16" i="4"/>
  <c r="C16" i="4"/>
  <c r="O15" i="4"/>
  <c r="N15" i="4"/>
  <c r="M15" i="4"/>
  <c r="D15" i="4"/>
  <c r="C15" i="4"/>
  <c r="O14" i="4"/>
  <c r="N14" i="4"/>
  <c r="M14" i="4"/>
  <c r="D14" i="4"/>
  <c r="C14" i="4"/>
  <c r="O13" i="4"/>
  <c r="N13" i="4"/>
  <c r="M13" i="4"/>
  <c r="D13" i="4"/>
  <c r="C13" i="4"/>
  <c r="O12" i="4"/>
  <c r="N12" i="4"/>
  <c r="M12" i="4"/>
  <c r="D12" i="4"/>
  <c r="C12" i="4"/>
  <c r="O11" i="4"/>
  <c r="N11" i="4"/>
  <c r="M11" i="4"/>
  <c r="D11" i="4"/>
  <c r="C11" i="4"/>
  <c r="O10" i="4"/>
  <c r="N10" i="4"/>
  <c r="M10" i="4"/>
  <c r="D10" i="4"/>
  <c r="C10" i="4"/>
  <c r="O9" i="4"/>
  <c r="N9" i="4"/>
  <c r="M9" i="4"/>
  <c r="D9" i="4"/>
  <c r="C9" i="4"/>
  <c r="O8" i="4"/>
  <c r="N8" i="4"/>
  <c r="M8" i="4"/>
  <c r="C8" i="4"/>
  <c r="Q49" i="2"/>
  <c r="B49" i="2"/>
  <c r="V48" i="2"/>
  <c r="AK42" i="2"/>
  <c r="G38" i="2"/>
  <c r="AF37" i="2"/>
  <c r="AP25" i="2"/>
  <c r="AA24" i="2"/>
  <c r="B6" i="2"/>
  <c r="B7" i="2"/>
  <c r="B8" i="2"/>
  <c r="B9" i="2"/>
  <c r="B12" i="2"/>
  <c r="B13" i="2"/>
  <c r="B14" i="2"/>
  <c r="E8" i="4" l="1"/>
  <c r="E9" i="4"/>
  <c r="C31" i="3"/>
  <c r="F169" i="4"/>
  <c r="K10" i="4"/>
  <c r="D124" i="13" s="1"/>
  <c r="I124" i="13"/>
  <c r="K28" i="4"/>
  <c r="D99" i="13" s="1"/>
  <c r="I99" i="13"/>
  <c r="K52" i="4"/>
  <c r="D185" i="13" s="1"/>
  <c r="I185" i="13"/>
  <c r="K91" i="4"/>
  <c r="D139" i="13" s="1"/>
  <c r="I139" i="13"/>
  <c r="K109" i="4"/>
  <c r="D21" i="13" s="1"/>
  <c r="I21" i="13"/>
  <c r="K143" i="4"/>
  <c r="D86" i="13" s="1"/>
  <c r="I86" i="13"/>
  <c r="K27" i="4"/>
  <c r="D158" i="13" s="1"/>
  <c r="I158" i="13"/>
  <c r="K14" i="4"/>
  <c r="D178" i="13" s="1"/>
  <c r="I178" i="13"/>
  <c r="K32" i="4"/>
  <c r="D55" i="13" s="1"/>
  <c r="I55" i="13"/>
  <c r="K62" i="4"/>
  <c r="D104" i="13" s="1"/>
  <c r="I104" i="13"/>
  <c r="K94" i="4"/>
  <c r="D16" i="13" s="1"/>
  <c r="I16" i="13"/>
  <c r="K119" i="4"/>
  <c r="D23" i="13" s="1"/>
  <c r="I23" i="13"/>
  <c r="K147" i="4"/>
  <c r="D119" i="13" s="1"/>
  <c r="I119" i="13"/>
  <c r="I95" i="13"/>
  <c r="K9" i="4"/>
  <c r="D95" i="13" s="1"/>
  <c r="K29" i="4"/>
  <c r="D54" i="13" s="1"/>
  <c r="I54" i="13"/>
  <c r="K17" i="4"/>
  <c r="D97" i="13" s="1"/>
  <c r="I97" i="13"/>
  <c r="K33" i="4"/>
  <c r="D6" i="13" s="1"/>
  <c r="I6" i="13"/>
  <c r="K64" i="4"/>
  <c r="D65" i="13" s="1"/>
  <c r="I65" i="13"/>
  <c r="K95" i="4"/>
  <c r="D110" i="13" s="1"/>
  <c r="I110" i="13"/>
  <c r="K120" i="4"/>
  <c r="D171" i="13" s="1"/>
  <c r="I171" i="13"/>
  <c r="K148" i="4"/>
  <c r="D87" i="13" s="1"/>
  <c r="I87" i="13"/>
  <c r="K18" i="4"/>
  <c r="D179" i="13" s="1"/>
  <c r="I179" i="13"/>
  <c r="K36" i="4"/>
  <c r="D57" i="13" s="1"/>
  <c r="I57" i="13"/>
  <c r="K67" i="4"/>
  <c r="D133" i="13" s="1"/>
  <c r="I133" i="13"/>
  <c r="K97" i="4"/>
  <c r="D18" i="13" s="1"/>
  <c r="I18" i="13"/>
  <c r="K126" i="4"/>
  <c r="D43" i="13" s="1"/>
  <c r="I43" i="13"/>
  <c r="K150" i="4"/>
  <c r="D88" i="13" s="1"/>
  <c r="I88" i="13"/>
  <c r="K142" i="4"/>
  <c r="D173" i="13" s="1"/>
  <c r="I173" i="13"/>
  <c r="K113" i="4"/>
  <c r="D78" i="13" s="1"/>
  <c r="I78" i="13"/>
  <c r="K37" i="4"/>
  <c r="D182" i="13" s="1"/>
  <c r="I182" i="13"/>
  <c r="K68" i="4"/>
  <c r="D167" i="13" s="1"/>
  <c r="I167" i="13"/>
  <c r="K132" i="4"/>
  <c r="D45" i="13" s="1"/>
  <c r="I45" i="13"/>
  <c r="K151" i="4"/>
  <c r="D191" i="13" s="1"/>
  <c r="I191" i="13"/>
  <c r="C12" i="3"/>
  <c r="K93" i="4"/>
  <c r="D140" i="13" s="1"/>
  <c r="I140" i="13"/>
  <c r="K90" i="4"/>
  <c r="D40" i="13" s="1"/>
  <c r="I40" i="13"/>
  <c r="K21" i="4"/>
  <c r="D180" i="13" s="1"/>
  <c r="I180" i="13"/>
  <c r="K41" i="4"/>
  <c r="D58" i="13" s="1"/>
  <c r="I58" i="13"/>
  <c r="K76" i="4"/>
  <c r="D136" i="13" s="1"/>
  <c r="I136" i="13"/>
  <c r="K99" i="4"/>
  <c r="D141" i="13" s="1"/>
  <c r="I141" i="13"/>
  <c r="K133" i="4"/>
  <c r="D25" i="13" s="1"/>
  <c r="I25" i="13"/>
  <c r="K154" i="4"/>
  <c r="D192" i="13" s="1"/>
  <c r="I192" i="13"/>
  <c r="K88" i="4"/>
  <c r="D15" i="13" s="1"/>
  <c r="I15" i="13"/>
  <c r="K22" i="4"/>
  <c r="D98" i="13" s="1"/>
  <c r="I98" i="13"/>
  <c r="K42" i="4"/>
  <c r="D59" i="13" s="1"/>
  <c r="I59" i="13"/>
  <c r="K79" i="4"/>
  <c r="D187" i="13" s="1"/>
  <c r="I187" i="13"/>
  <c r="K100" i="4"/>
  <c r="D74" i="13" s="1"/>
  <c r="I74" i="13"/>
  <c r="K136" i="4"/>
  <c r="D26" i="13" s="1"/>
  <c r="I26" i="13"/>
  <c r="K155" i="4"/>
  <c r="D90" i="13" s="1"/>
  <c r="I90" i="13"/>
  <c r="K48" i="4"/>
  <c r="D184" i="13" s="1"/>
  <c r="I184" i="13"/>
  <c r="K58" i="4"/>
  <c r="D8" i="13" s="1"/>
  <c r="I8" i="13"/>
  <c r="K156" i="4"/>
  <c r="D120" i="13" s="1"/>
  <c r="I120" i="13"/>
  <c r="K24" i="4"/>
  <c r="D157" i="13" s="1"/>
  <c r="I157" i="13"/>
  <c r="K43" i="4"/>
  <c r="D196" i="13" s="1"/>
  <c r="I196" i="13"/>
  <c r="K81" i="4"/>
  <c r="D138" i="13" s="1"/>
  <c r="I138" i="13"/>
  <c r="K102" i="4"/>
  <c r="D111" i="13" s="1"/>
  <c r="I111" i="13"/>
  <c r="K157" i="4"/>
  <c r="D47" i="13" s="1"/>
  <c r="I47" i="13"/>
  <c r="K13" i="4"/>
  <c r="D96" i="13" s="1"/>
  <c r="I96" i="13"/>
  <c r="K164" i="4"/>
  <c r="D91" i="13" s="1"/>
  <c r="I91" i="13"/>
  <c r="K25" i="4"/>
  <c r="D53" i="13" s="1"/>
  <c r="I53" i="13"/>
  <c r="K45" i="4"/>
  <c r="D60" i="13" s="1"/>
  <c r="I60" i="13"/>
  <c r="K82" i="4"/>
  <c r="D38" i="13" s="1"/>
  <c r="I38" i="13"/>
  <c r="K104" i="4"/>
  <c r="D112" i="13" s="1"/>
  <c r="I112" i="13"/>
  <c r="K140" i="4"/>
  <c r="D189" i="13" s="1"/>
  <c r="I189" i="13"/>
  <c r="K161" i="4"/>
  <c r="D121" i="13" s="1"/>
  <c r="I121" i="13"/>
  <c r="K107" i="4"/>
  <c r="D76" i="13" s="1"/>
  <c r="I76" i="13"/>
  <c r="K146" i="4"/>
  <c r="D28" i="13" s="1"/>
  <c r="I28" i="13"/>
  <c r="K98" i="4"/>
  <c r="D73" i="13" s="1"/>
  <c r="I73" i="13"/>
  <c r="K26" i="4"/>
  <c r="D181" i="13" s="1"/>
  <c r="I181" i="13"/>
  <c r="K47" i="4"/>
  <c r="D183" i="13" s="1"/>
  <c r="I183" i="13"/>
  <c r="K87" i="4"/>
  <c r="D107" i="13" s="1"/>
  <c r="I107" i="13"/>
  <c r="K105" i="4"/>
  <c r="D188" i="13" s="1"/>
  <c r="I188" i="13"/>
  <c r="K141" i="4"/>
  <c r="D190" i="13" s="1"/>
  <c r="I190" i="13"/>
  <c r="C24" i="3"/>
  <c r="C10" i="5"/>
  <c r="C7" i="5"/>
  <c r="C6" i="5"/>
  <c r="F184" i="4"/>
  <c r="D10" i="5"/>
  <c r="D9" i="5"/>
  <c r="D8" i="5"/>
  <c r="D7" i="5"/>
  <c r="C9" i="5"/>
  <c r="C8" i="5"/>
  <c r="E173" i="4"/>
  <c r="E19" i="4"/>
  <c r="F173" i="4"/>
  <c r="E169" i="4"/>
  <c r="E125" i="4"/>
  <c r="E37" i="4"/>
  <c r="F181" i="4"/>
  <c r="E170" i="4"/>
  <c r="E171" i="4"/>
  <c r="F183" i="4"/>
  <c r="F174" i="4"/>
  <c r="F182" i="4"/>
  <c r="E154" i="4"/>
  <c r="E51" i="4"/>
  <c r="E33" i="4"/>
  <c r="E15" i="4"/>
  <c r="E66" i="4"/>
  <c r="E18" i="4"/>
  <c r="E25" i="4"/>
  <c r="E44" i="4"/>
  <c r="E84" i="4"/>
  <c r="E96" i="4"/>
  <c r="E137" i="4"/>
  <c r="E49" i="4"/>
  <c r="E143" i="4"/>
  <c r="E177" i="4"/>
  <c r="E16" i="4"/>
  <c r="E23" i="4"/>
  <c r="E39" i="4"/>
  <c r="E79" i="4"/>
  <c r="E103" i="4"/>
  <c r="E132" i="4"/>
  <c r="E144" i="4"/>
  <c r="E161" i="4"/>
  <c r="E28" i="4"/>
  <c r="E21" i="4"/>
  <c r="E35" i="4"/>
  <c r="E40" i="4"/>
  <c r="E74" i="4"/>
  <c r="E80" i="4"/>
  <c r="E92" i="4"/>
  <c r="E98" i="4"/>
  <c r="E104" i="4"/>
  <c r="E121" i="4"/>
  <c r="E127" i="4"/>
  <c r="E133" i="4"/>
  <c r="E156" i="4"/>
  <c r="E162" i="4"/>
  <c r="E10" i="4"/>
  <c r="E26" i="4"/>
  <c r="E46" i="4"/>
  <c r="E57" i="4"/>
  <c r="E63" i="4"/>
  <c r="E69" i="4"/>
  <c r="E116" i="4"/>
  <c r="E145" i="4"/>
  <c r="E151" i="4"/>
  <c r="E119" i="4"/>
  <c r="E38" i="4"/>
  <c r="E160" i="4"/>
  <c r="E24" i="4"/>
  <c r="E58" i="4"/>
  <c r="E70" i="4"/>
  <c r="E111" i="4"/>
  <c r="E13" i="4"/>
  <c r="E29" i="4"/>
  <c r="E32" i="4"/>
  <c r="E42" i="4"/>
  <c r="E53" i="4"/>
  <c r="E76" i="4"/>
  <c r="E82" i="4"/>
  <c r="E88" i="4"/>
  <c r="E100" i="4"/>
  <c r="E106" i="4"/>
  <c r="E117" i="4"/>
  <c r="E129" i="4"/>
  <c r="E135" i="4"/>
  <c r="E141" i="4"/>
  <c r="E164" i="4"/>
  <c r="E20" i="4"/>
  <c r="E14" i="4"/>
  <c r="E73" i="4"/>
  <c r="E85" i="4"/>
  <c r="E97" i="4"/>
  <c r="E120" i="4"/>
  <c r="E138" i="4"/>
  <c r="E155" i="4"/>
  <c r="E12" i="4"/>
  <c r="E45" i="4"/>
  <c r="E62" i="4"/>
  <c r="E109" i="4"/>
  <c r="E150" i="4"/>
  <c r="E31" i="4"/>
  <c r="E36" i="4"/>
  <c r="E41" i="4"/>
  <c r="E81" i="4"/>
  <c r="E87" i="4"/>
  <c r="E93" i="4"/>
  <c r="E105" i="4"/>
  <c r="E122" i="4"/>
  <c r="E128" i="4"/>
  <c r="E140" i="4"/>
  <c r="E157" i="4"/>
  <c r="E163" i="4"/>
  <c r="E17" i="4"/>
  <c r="E47" i="4"/>
  <c r="E72" i="4"/>
  <c r="C11" i="3" s="1"/>
  <c r="C16" i="3" s="1"/>
  <c r="E22" i="4"/>
  <c r="E59" i="4"/>
  <c r="E65" i="4"/>
  <c r="E71" i="4"/>
  <c r="E112" i="4"/>
  <c r="E153" i="4"/>
  <c r="E27" i="4"/>
  <c r="E43" i="4"/>
  <c r="E54" i="4"/>
  <c r="E77" i="4"/>
  <c r="E89" i="4"/>
  <c r="E95" i="4"/>
  <c r="E101" i="4"/>
  <c r="E124" i="4"/>
  <c r="E130" i="4"/>
  <c r="E136" i="4"/>
  <c r="E113" i="4"/>
  <c r="E11" i="4"/>
  <c r="E90" i="4"/>
  <c r="E30" i="4"/>
  <c r="E34" i="4"/>
  <c r="E50" i="4"/>
  <c r="E55" i="4"/>
  <c r="E61" i="4"/>
  <c r="E67" i="4"/>
  <c r="E108" i="4"/>
  <c r="E114" i="4"/>
  <c r="E149" i="4"/>
  <c r="I19" i="4"/>
  <c r="I23" i="4"/>
  <c r="I144" i="4"/>
  <c r="I50" i="4"/>
  <c r="I65" i="4"/>
  <c r="I83" i="4"/>
  <c r="I110" i="4"/>
  <c r="I116" i="4"/>
  <c r="I125" i="4"/>
  <c r="I31" i="4"/>
  <c r="I53" i="4"/>
  <c r="I70" i="4"/>
  <c r="I86" i="4"/>
  <c r="I114" i="4"/>
  <c r="I128" i="4"/>
  <c r="I152" i="4"/>
  <c r="I51" i="4"/>
  <c r="I66" i="4"/>
  <c r="I84" i="4"/>
  <c r="I111" i="4"/>
  <c r="I145" i="4"/>
  <c r="I30" i="4"/>
  <c r="I69" i="4"/>
  <c r="I85" i="4"/>
  <c r="I112" i="4"/>
  <c r="I149" i="4"/>
  <c r="I34" i="4"/>
  <c r="I54" i="4"/>
  <c r="I71" i="4"/>
  <c r="I89" i="4"/>
  <c r="I115" i="4"/>
  <c r="I129" i="4"/>
  <c r="I153" i="4"/>
  <c r="I35" i="4"/>
  <c r="I55" i="4"/>
  <c r="I130" i="4"/>
  <c r="I56" i="4"/>
  <c r="I158" i="4"/>
  <c r="I39" i="4"/>
  <c r="I57" i="4"/>
  <c r="I74" i="4"/>
  <c r="I96" i="4"/>
  <c r="I118" i="4"/>
  <c r="I134" i="4"/>
  <c r="I131" i="4"/>
  <c r="I11" i="4"/>
  <c r="I40" i="4"/>
  <c r="I59" i="4"/>
  <c r="I75" i="4"/>
  <c r="I101" i="4"/>
  <c r="I121" i="4"/>
  <c r="I135" i="4"/>
  <c r="I160" i="4"/>
  <c r="I73" i="4"/>
  <c r="I12" i="4"/>
  <c r="I44" i="4"/>
  <c r="I60" i="4"/>
  <c r="I77" i="4"/>
  <c r="I103" i="4"/>
  <c r="I122" i="4"/>
  <c r="I137" i="4"/>
  <c r="I162" i="4"/>
  <c r="I38" i="4"/>
  <c r="I117" i="4"/>
  <c r="I15" i="4"/>
  <c r="I46" i="4"/>
  <c r="I61" i="4"/>
  <c r="I78" i="4"/>
  <c r="I106" i="4"/>
  <c r="I123" i="4"/>
  <c r="I138" i="4"/>
  <c r="I163" i="4"/>
  <c r="I92" i="4"/>
  <c r="I16" i="4"/>
  <c r="I49" i="4"/>
  <c r="I63" i="4"/>
  <c r="I80" i="4"/>
  <c r="I108" i="4"/>
  <c r="F177" i="4"/>
  <c r="E142" i="4"/>
  <c r="E182" i="4"/>
  <c r="E181" i="4"/>
  <c r="E172" i="4"/>
  <c r="F172" i="4"/>
  <c r="F176" i="4"/>
  <c r="E180" i="4"/>
  <c r="E176" i="4"/>
  <c r="F180" i="4"/>
  <c r="E185" i="4"/>
  <c r="E179" i="4"/>
  <c r="F175" i="4"/>
  <c r="C33" i="3" s="1"/>
  <c r="E175" i="4"/>
  <c r="F189" i="4"/>
  <c r="E189" i="4"/>
  <c r="E174" i="4"/>
  <c r="F179" i="4"/>
  <c r="F188" i="4"/>
  <c r="E188" i="4"/>
  <c r="E184" i="4"/>
  <c r="E178" i="4"/>
  <c r="E183" i="4"/>
  <c r="F185" i="4"/>
  <c r="F178" i="4"/>
  <c r="E146" i="4"/>
  <c r="E158" i="4"/>
  <c r="F186" i="4"/>
  <c r="E148" i="4"/>
  <c r="F187" i="4"/>
  <c r="E48" i="4"/>
  <c r="E52" i="4"/>
  <c r="E56" i="4"/>
  <c r="E60" i="4"/>
  <c r="E64" i="4"/>
  <c r="E68" i="4"/>
  <c r="E78" i="4"/>
  <c r="E86" i="4"/>
  <c r="E94" i="4"/>
  <c r="E102" i="4"/>
  <c r="E110" i="4"/>
  <c r="E118" i="4"/>
  <c r="E126" i="4"/>
  <c r="E134" i="4"/>
  <c r="E152" i="4"/>
  <c r="E187" i="4"/>
  <c r="E75" i="4"/>
  <c r="E83" i="4"/>
  <c r="E91" i="4"/>
  <c r="E99" i="4"/>
  <c r="E107" i="4"/>
  <c r="E115" i="4"/>
  <c r="E123" i="4"/>
  <c r="E131" i="4"/>
  <c r="E139" i="4"/>
  <c r="E147" i="4"/>
  <c r="E159" i="4"/>
  <c r="E186" i="4"/>
  <c r="D13" i="5" l="1"/>
  <c r="E10" i="5"/>
  <c r="C13" i="5"/>
  <c r="E9" i="5"/>
  <c r="E8" i="5"/>
  <c r="E7" i="5"/>
  <c r="J162" i="4"/>
  <c r="J57" i="4"/>
  <c r="K57" i="4" l="1"/>
  <c r="D62" i="13" s="1"/>
  <c r="I62" i="13"/>
  <c r="K162" i="4"/>
  <c r="D175" i="13" s="1"/>
  <c r="I175" i="13"/>
  <c r="E13" i="5"/>
  <c r="G163" i="4" l="1"/>
  <c r="J159" i="4"/>
  <c r="J72" i="4"/>
  <c r="J8" i="4"/>
  <c r="G9" i="4"/>
  <c r="G8" i="4"/>
  <c r="J33" i="13" s="1"/>
  <c r="G20" i="4"/>
  <c r="J4" i="13" s="1"/>
  <c r="L4" i="13" s="1"/>
  <c r="D22" i="2" s="1"/>
  <c r="J11" i="4"/>
  <c r="I52" i="13" s="1"/>
  <c r="L52" i="13" s="1"/>
  <c r="N23" i="2" s="1"/>
  <c r="G11" i="4"/>
  <c r="J52" i="13" s="1"/>
  <c r="H169" i="4"/>
  <c r="K51" i="13" s="1"/>
  <c r="L51" i="13" s="1"/>
  <c r="N22" i="2" s="1"/>
  <c r="G48" i="4"/>
  <c r="G98" i="4"/>
  <c r="J73" i="13" s="1"/>
  <c r="L73" i="13" s="1"/>
  <c r="N44" i="2" s="1"/>
  <c r="G109" i="4"/>
  <c r="G124" i="4"/>
  <c r="J144" i="13" s="1"/>
  <c r="H178" i="4"/>
  <c r="K69" i="13" s="1"/>
  <c r="L69" i="13" s="1"/>
  <c r="N40" i="2" s="1"/>
  <c r="G63" i="4"/>
  <c r="G14" i="4"/>
  <c r="J144" i="4"/>
  <c r="J39" i="4"/>
  <c r="G65" i="4"/>
  <c r="G31" i="4"/>
  <c r="J100" i="13" s="1"/>
  <c r="G116" i="4"/>
  <c r="G120" i="4"/>
  <c r="G91" i="4"/>
  <c r="J139" i="13" s="1"/>
  <c r="L139" i="13" s="1"/>
  <c r="X37" i="2" s="1"/>
  <c r="J128" i="4"/>
  <c r="J117" i="4"/>
  <c r="J121" i="4"/>
  <c r="G72" i="4"/>
  <c r="G161" i="4"/>
  <c r="J121" i="13" s="1"/>
  <c r="L121" i="13" s="1"/>
  <c r="S48" i="2" s="1"/>
  <c r="G133" i="4"/>
  <c r="G22" i="4"/>
  <c r="J98" i="13" s="1"/>
  <c r="L98" i="13" s="1"/>
  <c r="S25" i="2" s="1"/>
  <c r="G122" i="4"/>
  <c r="G77" i="4"/>
  <c r="J37" i="13" s="1"/>
  <c r="G35" i="4"/>
  <c r="J15" i="4"/>
  <c r="J84" i="4"/>
  <c r="G135" i="4"/>
  <c r="J96" i="4"/>
  <c r="J77" i="4"/>
  <c r="G32" i="4"/>
  <c r="G158" i="4"/>
  <c r="J74" i="4"/>
  <c r="H173" i="4"/>
  <c r="K67" i="13" s="1"/>
  <c r="L67" i="13" s="1"/>
  <c r="N38" i="2" s="1"/>
  <c r="J111" i="4"/>
  <c r="J103" i="4"/>
  <c r="J40" i="4"/>
  <c r="G97" i="4"/>
  <c r="G82" i="4"/>
  <c r="J122" i="4"/>
  <c r="G19" i="4"/>
  <c r="J34" i="13" s="1"/>
  <c r="G53" i="4"/>
  <c r="J163" i="13" s="1"/>
  <c r="J139" i="4"/>
  <c r="J75" i="4"/>
  <c r="G28" i="4"/>
  <c r="J158" i="4"/>
  <c r="G153" i="4"/>
  <c r="G26" i="4"/>
  <c r="G79" i="4"/>
  <c r="J187" i="13" s="1"/>
  <c r="L187" i="13" s="1"/>
  <c r="AH31" i="2" s="1"/>
  <c r="G152" i="4"/>
  <c r="J89" i="13" s="1"/>
  <c r="G131" i="4"/>
  <c r="G64" i="4"/>
  <c r="J65" i="13" s="1"/>
  <c r="L65" i="13" s="1"/>
  <c r="N36" i="2" s="1"/>
  <c r="J125" i="4"/>
  <c r="G89" i="4"/>
  <c r="J19" i="4"/>
  <c r="G114" i="4"/>
  <c r="G24" i="4"/>
  <c r="G86" i="4"/>
  <c r="G12" i="4"/>
  <c r="G76" i="4"/>
  <c r="G93" i="4"/>
  <c r="J140" i="13" s="1"/>
  <c r="L140" i="13" s="1"/>
  <c r="X38" i="2" s="1"/>
  <c r="G126" i="4"/>
  <c r="G150" i="4"/>
  <c r="J88" i="13" s="1"/>
  <c r="L88" i="13" s="1"/>
  <c r="N59" i="2" s="1"/>
  <c r="G130" i="4"/>
  <c r="G107" i="4"/>
  <c r="J16" i="4"/>
  <c r="G38" i="4"/>
  <c r="J160" i="13" s="1"/>
  <c r="G25" i="4"/>
  <c r="G118" i="4"/>
  <c r="J170" i="13" s="1"/>
  <c r="G139" i="4"/>
  <c r="J137" i="4"/>
  <c r="G66" i="4"/>
  <c r="H175" i="4"/>
  <c r="J115" i="4"/>
  <c r="G15" i="4"/>
  <c r="J195" i="13" s="1"/>
  <c r="G94" i="4"/>
  <c r="G159" i="4"/>
  <c r="J153" i="13" s="1"/>
  <c r="G74" i="4"/>
  <c r="G39" i="4"/>
  <c r="G45" i="4"/>
  <c r="J66" i="4"/>
  <c r="G105" i="4"/>
  <c r="J38" i="4"/>
  <c r="H172" i="4"/>
  <c r="G16" i="4"/>
  <c r="G123" i="4"/>
  <c r="G70" i="4"/>
  <c r="J105" i="13" s="1"/>
  <c r="J80" i="4"/>
  <c r="G40" i="4"/>
  <c r="G142" i="4"/>
  <c r="G113" i="4"/>
  <c r="J118" i="4"/>
  <c r="J35" i="4"/>
  <c r="H182" i="4"/>
  <c r="G149" i="4"/>
  <c r="J29" i="13" s="1"/>
  <c r="J135" i="4"/>
  <c r="G99" i="4"/>
  <c r="J141" i="13" s="1"/>
  <c r="L141" i="13" s="1"/>
  <c r="X39" i="2" s="1"/>
  <c r="J30" i="4"/>
  <c r="J123" i="4"/>
  <c r="J60" i="4"/>
  <c r="H171" i="4"/>
  <c r="G42" i="4"/>
  <c r="J127" i="4"/>
  <c r="G73" i="4"/>
  <c r="J63" i="4"/>
  <c r="J85" i="4"/>
  <c r="J130" i="4"/>
  <c r="G132" i="4"/>
  <c r="G50" i="4"/>
  <c r="G62" i="4"/>
  <c r="G61" i="4"/>
  <c r="J152" i="4"/>
  <c r="G43" i="4"/>
  <c r="J89" i="4"/>
  <c r="G84" i="4"/>
  <c r="G100" i="4"/>
  <c r="J74" i="13" s="1"/>
  <c r="L74" i="13" s="1"/>
  <c r="N45" i="2" s="1"/>
  <c r="G54" i="4"/>
  <c r="G69" i="4"/>
  <c r="H180" i="4"/>
  <c r="G90" i="4"/>
  <c r="J40" i="13" s="1"/>
  <c r="L40" i="13" s="1"/>
  <c r="I29" i="2" s="1"/>
  <c r="G112" i="4"/>
  <c r="J51" i="4"/>
  <c r="H181" i="4"/>
  <c r="G121" i="4"/>
  <c r="G87" i="4"/>
  <c r="J108" i="4"/>
  <c r="G83" i="4"/>
  <c r="J106" i="13" s="1"/>
  <c r="G96" i="4"/>
  <c r="J17" i="13" s="1"/>
  <c r="G95" i="4"/>
  <c r="G44" i="4"/>
  <c r="H170" i="4"/>
  <c r="J23" i="4"/>
  <c r="G41" i="4"/>
  <c r="G148" i="4"/>
  <c r="J87" i="13" s="1"/>
  <c r="L87" i="13" s="1"/>
  <c r="N58" i="2" s="1"/>
  <c r="G108" i="4"/>
  <c r="J77" i="13" s="1"/>
  <c r="G110" i="4"/>
  <c r="G104" i="4"/>
  <c r="J34" i="4"/>
  <c r="G57" i="4"/>
  <c r="J83" i="4"/>
  <c r="G49" i="4"/>
  <c r="J44" i="4"/>
  <c r="G154" i="4"/>
  <c r="G37" i="4"/>
  <c r="G58" i="4"/>
  <c r="J145" i="4"/>
  <c r="G55" i="4"/>
  <c r="J164" i="13" s="1"/>
  <c r="G60" i="4"/>
  <c r="G162" i="4"/>
  <c r="J175" i="13" s="1"/>
  <c r="L175" i="13" s="1"/>
  <c r="AM41" i="2" s="1"/>
  <c r="G128" i="4"/>
  <c r="G81" i="4"/>
  <c r="G27" i="4"/>
  <c r="J158" i="13" s="1"/>
  <c r="L158" i="13" s="1"/>
  <c r="AM24" i="2" s="1"/>
  <c r="G21" i="4"/>
  <c r="G78" i="4"/>
  <c r="J78" i="4"/>
  <c r="J149" i="4"/>
  <c r="G68" i="4"/>
  <c r="J167" i="13" s="1"/>
  <c r="L167" i="13" s="1"/>
  <c r="AM33" i="2" s="1"/>
  <c r="J86" i="4"/>
  <c r="G129" i="4"/>
  <c r="H187" i="4"/>
  <c r="G138" i="4"/>
  <c r="J145" i="13" s="1"/>
  <c r="H186" i="4"/>
  <c r="K85" i="13" s="1"/>
  <c r="L85" i="13" s="1"/>
  <c r="N56" i="2" s="1"/>
  <c r="G111" i="4"/>
  <c r="G85" i="4"/>
  <c r="G52" i="4"/>
  <c r="H183" i="4"/>
  <c r="H185" i="4"/>
  <c r="J106" i="4"/>
  <c r="G36" i="4"/>
  <c r="G141" i="4"/>
  <c r="J131" i="4"/>
  <c r="G160" i="4"/>
  <c r="G34" i="4"/>
  <c r="J56" i="13" s="1"/>
  <c r="J138" i="4"/>
  <c r="H176" i="4"/>
  <c r="G146" i="4"/>
  <c r="J46" i="4"/>
  <c r="J59" i="4"/>
  <c r="G17" i="4"/>
  <c r="J97" i="13" s="1"/>
  <c r="L97" i="13" s="1"/>
  <c r="S24" i="2" s="1"/>
  <c r="G164" i="4"/>
  <c r="J91" i="13" s="1"/>
  <c r="L91" i="13" s="1"/>
  <c r="N62" i="2" s="1"/>
  <c r="J92" i="4"/>
  <c r="H188" i="4"/>
  <c r="J116" i="4"/>
  <c r="H184" i="4"/>
  <c r="G106" i="4"/>
  <c r="G13" i="4"/>
  <c r="G147" i="4"/>
  <c r="J119" i="13" s="1"/>
  <c r="L119" i="13" s="1"/>
  <c r="S46" i="2" s="1"/>
  <c r="J110" i="4"/>
  <c r="G140" i="4"/>
  <c r="G136" i="4"/>
  <c r="J26" i="13" s="1"/>
  <c r="L26" i="13" s="1"/>
  <c r="D44" i="2" s="1"/>
  <c r="G47" i="4"/>
  <c r="J183" i="13" s="1"/>
  <c r="L183" i="13" s="1"/>
  <c r="AH27" i="2" s="1"/>
  <c r="J12" i="4"/>
  <c r="G10" i="4"/>
  <c r="J55" i="4"/>
  <c r="J160" i="4"/>
  <c r="H177" i="4"/>
  <c r="G102" i="4"/>
  <c r="J111" i="13" s="1"/>
  <c r="L111" i="13" s="1"/>
  <c r="S38" i="2" s="1"/>
  <c r="G56" i="4"/>
  <c r="J103" i="13" s="1"/>
  <c r="G29" i="4"/>
  <c r="J54" i="13" s="1"/>
  <c r="L54" i="13" s="1"/>
  <c r="N25" i="2" s="1"/>
  <c r="J134" i="4"/>
  <c r="G127" i="4"/>
  <c r="J114" i="13" s="1"/>
  <c r="G92" i="4"/>
  <c r="J109" i="13" s="1"/>
  <c r="G51" i="4"/>
  <c r="J61" i="4"/>
  <c r="G71" i="4"/>
  <c r="J134" i="13" s="1"/>
  <c r="G23" i="4"/>
  <c r="J126" i="13" s="1"/>
  <c r="G67" i="4"/>
  <c r="J73" i="4"/>
  <c r="J65" i="4"/>
  <c r="G125" i="4"/>
  <c r="J42" i="13" s="1"/>
  <c r="G88" i="4"/>
  <c r="J153" i="4"/>
  <c r="J124" i="4"/>
  <c r="J129" i="4"/>
  <c r="J114" i="4"/>
  <c r="H179" i="4"/>
  <c r="K70" i="13" s="1"/>
  <c r="L70" i="13" s="1"/>
  <c r="N41" i="2" s="1"/>
  <c r="G75" i="4"/>
  <c r="G155" i="4"/>
  <c r="J90" i="13" s="1"/>
  <c r="L90" i="13" s="1"/>
  <c r="N61" i="2" s="1"/>
  <c r="G151" i="4"/>
  <c r="J56" i="4"/>
  <c r="J71" i="4"/>
  <c r="J101" i="4"/>
  <c r="G156" i="4"/>
  <c r="G103" i="4"/>
  <c r="J19" i="13" s="1"/>
  <c r="J70" i="4"/>
  <c r="G137" i="4"/>
  <c r="J54" i="4"/>
  <c r="G18" i="4"/>
  <c r="G119" i="4"/>
  <c r="J23" i="13" s="1"/>
  <c r="L23" i="13" s="1"/>
  <c r="D41" i="2" s="1"/>
  <c r="G144" i="4"/>
  <c r="J146" i="13" s="1"/>
  <c r="J112" i="4"/>
  <c r="G145" i="4"/>
  <c r="J147" i="13" s="1"/>
  <c r="J69" i="4"/>
  <c r="J163" i="4"/>
  <c r="J53" i="4"/>
  <c r="J49" i="4"/>
  <c r="G143" i="4"/>
  <c r="G46" i="4"/>
  <c r="J101" i="13" s="1"/>
  <c r="G134" i="4"/>
  <c r="H174" i="4"/>
  <c r="K166" i="13" s="1"/>
  <c r="L166" i="13" s="1"/>
  <c r="AM32" i="2" s="1"/>
  <c r="G30" i="4"/>
  <c r="J159" i="13" s="1"/>
  <c r="J31" i="4"/>
  <c r="G101" i="4"/>
  <c r="J168" i="13" s="1"/>
  <c r="H189" i="4"/>
  <c r="K92" i="13" s="1"/>
  <c r="L92" i="13" s="1"/>
  <c r="N63" i="2" s="1"/>
  <c r="G157" i="4"/>
  <c r="J47" i="13" s="1"/>
  <c r="L47" i="13" s="1"/>
  <c r="I36" i="2" s="1"/>
  <c r="J50" i="4"/>
  <c r="G33" i="4"/>
  <c r="J6" i="13" s="1"/>
  <c r="L6" i="13" s="1"/>
  <c r="D24" i="2" s="1"/>
  <c r="G117" i="4"/>
  <c r="J22" i="13" s="1"/>
  <c r="G59" i="4"/>
  <c r="J129" i="13" s="1"/>
  <c r="G80" i="4"/>
  <c r="J12" i="13" s="1"/>
  <c r="G115" i="4"/>
  <c r="J143" i="13" s="1"/>
  <c r="J137" i="13" l="1"/>
  <c r="J189" i="13"/>
  <c r="L189" i="13" s="1"/>
  <c r="AH33" i="2" s="1"/>
  <c r="J15" i="13"/>
  <c r="L15" i="13" s="1"/>
  <c r="D33" i="2" s="1"/>
  <c r="J13" i="13"/>
  <c r="J138" i="13"/>
  <c r="L138" i="13" s="1"/>
  <c r="X36" i="2" s="1"/>
  <c r="J161" i="13"/>
  <c r="J142" i="13"/>
  <c r="J16" i="13"/>
  <c r="L16" i="13" s="1"/>
  <c r="D34" i="2" s="1"/>
  <c r="J78" i="13"/>
  <c r="L78" i="13" s="1"/>
  <c r="N49" i="2" s="1"/>
  <c r="J80" i="13"/>
  <c r="J59" i="13"/>
  <c r="L59" i="13" s="1"/>
  <c r="N30" i="2" s="1"/>
  <c r="J173" i="13"/>
  <c r="L173" i="13" s="1"/>
  <c r="AM39" i="2" s="1"/>
  <c r="J36" i="13"/>
  <c r="C13" i="3"/>
  <c r="C17" i="3" s="1"/>
  <c r="J10" i="13"/>
  <c r="J112" i="13"/>
  <c r="L112" i="13" s="1"/>
  <c r="S39" i="2" s="1"/>
  <c r="J107" i="13"/>
  <c r="L107" i="13" s="1"/>
  <c r="S34" i="2" s="1"/>
  <c r="J133" i="13"/>
  <c r="L133" i="13" s="1"/>
  <c r="X31" i="2" s="1"/>
  <c r="J174" i="13"/>
  <c r="J130" i="13"/>
  <c r="J172" i="13"/>
  <c r="J76" i="13"/>
  <c r="L76" i="13" s="1"/>
  <c r="N47" i="2" s="1"/>
  <c r="J135" i="13"/>
  <c r="J44" i="13"/>
  <c r="J63" i="13"/>
  <c r="J81" i="13"/>
  <c r="J118" i="13"/>
  <c r="J21" i="13"/>
  <c r="L21" i="13" s="1"/>
  <c r="D39" i="2" s="1"/>
  <c r="J162" i="13"/>
  <c r="J156" i="13"/>
  <c r="J132" i="13"/>
  <c r="J120" i="13"/>
  <c r="L120" i="13" s="1"/>
  <c r="S47" i="2" s="1"/>
  <c r="J110" i="13"/>
  <c r="L110" i="13" s="1"/>
  <c r="S37" i="2" s="1"/>
  <c r="J28" i="13"/>
  <c r="L28" i="13" s="1"/>
  <c r="D46" i="2" s="1"/>
  <c r="J157" i="13"/>
  <c r="L157" i="13" s="1"/>
  <c r="AM23" i="2" s="1"/>
  <c r="J99" i="13"/>
  <c r="L99" i="13" s="1"/>
  <c r="S26" i="2" s="1"/>
  <c r="J25" i="13"/>
  <c r="L25" i="13" s="1"/>
  <c r="D43" i="2" s="1"/>
  <c r="J197" i="13"/>
  <c r="J62" i="13"/>
  <c r="L62" i="13" s="1"/>
  <c r="N33" i="2" s="1"/>
  <c r="J68" i="13"/>
  <c r="J7" i="13"/>
  <c r="J79" i="13"/>
  <c r="J178" i="13"/>
  <c r="L178" i="13" s="1"/>
  <c r="AH22" i="2" s="1"/>
  <c r="J96" i="13"/>
  <c r="L96" i="13" s="1"/>
  <c r="S23" i="2" s="1"/>
  <c r="J75" i="13"/>
  <c r="J108" i="13"/>
  <c r="J179" i="13"/>
  <c r="L179" i="13" s="1"/>
  <c r="AH23" i="2" s="1"/>
  <c r="J124" i="13"/>
  <c r="L124" i="13" s="1"/>
  <c r="X22" i="2" s="1"/>
  <c r="J190" i="13"/>
  <c r="L190" i="13" s="1"/>
  <c r="AH34" i="2" s="1"/>
  <c r="J104" i="13"/>
  <c r="L104" i="13" s="1"/>
  <c r="S31" i="2" s="1"/>
  <c r="J113" i="13"/>
  <c r="J116" i="13"/>
  <c r="J38" i="13"/>
  <c r="L38" i="13" s="1"/>
  <c r="I27" i="2" s="1"/>
  <c r="I33" i="13"/>
  <c r="L33" i="13" s="1"/>
  <c r="I22" i="2" s="1"/>
  <c r="J9" i="13"/>
  <c r="J180" i="13"/>
  <c r="L180" i="13" s="1"/>
  <c r="AH24" i="2" s="1"/>
  <c r="J61" i="13"/>
  <c r="J27" i="13"/>
  <c r="J11" i="13"/>
  <c r="J60" i="13"/>
  <c r="L60" i="13" s="1"/>
  <c r="N31" i="2" s="1"/>
  <c r="J191" i="13"/>
  <c r="L191" i="13" s="1"/>
  <c r="AH35" i="2" s="1"/>
  <c r="J8" i="13"/>
  <c r="L8" i="13" s="1"/>
  <c r="D26" i="2" s="1"/>
  <c r="J169" i="13"/>
  <c r="J102" i="13"/>
  <c r="J125" i="13"/>
  <c r="J43" i="13"/>
  <c r="L43" i="13" s="1"/>
  <c r="I32" i="2" s="1"/>
  <c r="J18" i="13"/>
  <c r="L18" i="13" s="1"/>
  <c r="D36" i="2" s="1"/>
  <c r="J171" i="13"/>
  <c r="L171" i="13" s="1"/>
  <c r="AM37" i="2" s="1"/>
  <c r="C14" i="3"/>
  <c r="C18" i="3" s="1"/>
  <c r="D18" i="3" s="1"/>
  <c r="I10" i="13"/>
  <c r="L10" i="13" s="1"/>
  <c r="D28" i="2" s="1"/>
  <c r="J84" i="13"/>
  <c r="J128" i="13"/>
  <c r="J182" i="13"/>
  <c r="L182" i="13" s="1"/>
  <c r="AH26" i="2" s="1"/>
  <c r="J45" i="13"/>
  <c r="L45" i="13" s="1"/>
  <c r="I34" i="2" s="1"/>
  <c r="J152" i="13"/>
  <c r="J41" i="13"/>
  <c r="J184" i="13"/>
  <c r="L184" i="13" s="1"/>
  <c r="AH28" i="2" s="1"/>
  <c r="C7" i="3"/>
  <c r="E3" i="4" s="1"/>
  <c r="H88" i="4" s="1"/>
  <c r="E15" i="13" s="1"/>
  <c r="G15" i="13" s="1"/>
  <c r="E33" i="2" s="1"/>
  <c r="I153" i="13"/>
  <c r="L153" i="13" s="1"/>
  <c r="AC23" i="2" s="1"/>
  <c r="J188" i="13"/>
  <c r="L188" i="13" s="1"/>
  <c r="AH32" i="2" s="1"/>
  <c r="J148" i="13"/>
  <c r="J24" i="13"/>
  <c r="J185" i="13"/>
  <c r="L185" i="13" s="1"/>
  <c r="AH29" i="2" s="1"/>
  <c r="J127" i="13"/>
  <c r="J39" i="13"/>
  <c r="J53" i="13"/>
  <c r="L53" i="13" s="1"/>
  <c r="N24" i="2" s="1"/>
  <c r="J149" i="13"/>
  <c r="J55" i="13"/>
  <c r="L55" i="13" s="1"/>
  <c r="N26" i="2" s="1"/>
  <c r="J131" i="13"/>
  <c r="J196" i="13"/>
  <c r="L196" i="13" s="1"/>
  <c r="AR23" i="2" s="1"/>
  <c r="J117" i="13"/>
  <c r="J57" i="13"/>
  <c r="L57" i="13" s="1"/>
  <c r="N28" i="2" s="1"/>
  <c r="J58" i="13"/>
  <c r="L58" i="13" s="1"/>
  <c r="N29" i="2" s="1"/>
  <c r="J86" i="13"/>
  <c r="L86" i="13" s="1"/>
  <c r="N57" i="2" s="1"/>
  <c r="J192" i="13"/>
  <c r="L192" i="13" s="1"/>
  <c r="AH36" i="2" s="1"/>
  <c r="J165" i="13"/>
  <c r="J136" i="13"/>
  <c r="L136" i="13" s="1"/>
  <c r="X34" i="2" s="1"/>
  <c r="J181" i="13"/>
  <c r="L181" i="13" s="1"/>
  <c r="AH25" i="2" s="1"/>
  <c r="J30" i="13"/>
  <c r="I63" i="13"/>
  <c r="L63" i="13" s="1"/>
  <c r="N34" i="2" s="1"/>
  <c r="I81" i="13"/>
  <c r="L81" i="13" s="1"/>
  <c r="N52" i="2" s="1"/>
  <c r="I13" i="13"/>
  <c r="L13" i="13" s="1"/>
  <c r="D31" i="2" s="1"/>
  <c r="I84" i="13"/>
  <c r="L84" i="13" s="1"/>
  <c r="N55" i="2" s="1"/>
  <c r="I197" i="13"/>
  <c r="L197" i="13" s="1"/>
  <c r="AR24" i="2" s="1"/>
  <c r="I137" i="13"/>
  <c r="L137" i="13" s="1"/>
  <c r="X35" i="2" s="1"/>
  <c r="I142" i="13"/>
  <c r="L142" i="13" s="1"/>
  <c r="X40" i="2" s="1"/>
  <c r="I146" i="13"/>
  <c r="L146" i="13" s="1"/>
  <c r="X44" i="2" s="1"/>
  <c r="I44" i="13"/>
  <c r="L44" i="13" s="1"/>
  <c r="I33" i="2" s="1"/>
  <c r="I156" i="13"/>
  <c r="L156" i="13" s="1"/>
  <c r="AM22" i="2" s="1"/>
  <c r="I29" i="13"/>
  <c r="L29" i="13" s="1"/>
  <c r="D47" i="2" s="1"/>
  <c r="I161" i="13"/>
  <c r="L161" i="13" s="1"/>
  <c r="AM27" i="2" s="1"/>
  <c r="I163" i="13"/>
  <c r="L163" i="13" s="1"/>
  <c r="AM29" i="2" s="1"/>
  <c r="I168" i="13"/>
  <c r="L168" i="13" s="1"/>
  <c r="AM34" i="2" s="1"/>
  <c r="I36" i="13"/>
  <c r="L36" i="13" s="1"/>
  <c r="I25" i="2" s="1"/>
  <c r="I114" i="13"/>
  <c r="L114" i="13" s="1"/>
  <c r="S41" i="2" s="1"/>
  <c r="I135" i="13"/>
  <c r="L135" i="13" s="1"/>
  <c r="X33" i="2" s="1"/>
  <c r="I79" i="13"/>
  <c r="L79" i="13" s="1"/>
  <c r="N50" i="2" s="1"/>
  <c r="I160" i="13"/>
  <c r="L160" i="13" s="1"/>
  <c r="AM26" i="2" s="1"/>
  <c r="I127" i="13"/>
  <c r="L127" i="13" s="1"/>
  <c r="X25" i="2" s="1"/>
  <c r="I162" i="13"/>
  <c r="L162" i="13" s="1"/>
  <c r="AM28" i="2" s="1"/>
  <c r="I56" i="13"/>
  <c r="L56" i="13" s="1"/>
  <c r="N27" i="2" s="1"/>
  <c r="I77" i="13"/>
  <c r="L77" i="13" s="1"/>
  <c r="N48" i="2" s="1"/>
  <c r="I108" i="13"/>
  <c r="L108" i="13" s="1"/>
  <c r="S35" i="2" s="1"/>
  <c r="I34" i="13"/>
  <c r="L34" i="13" s="1"/>
  <c r="I23" i="2" s="1"/>
  <c r="I27" i="13"/>
  <c r="L27" i="13" s="1"/>
  <c r="D45" i="2" s="1"/>
  <c r="I75" i="13"/>
  <c r="L75" i="13" s="1"/>
  <c r="N46" i="2" s="1"/>
  <c r="I126" i="13"/>
  <c r="L126" i="13" s="1"/>
  <c r="X24" i="2" s="1"/>
  <c r="I118" i="13"/>
  <c r="L118" i="13" s="1"/>
  <c r="S45" i="2" s="1"/>
  <c r="I19" i="13"/>
  <c r="L19" i="13" s="1"/>
  <c r="D37" i="2" s="1"/>
  <c r="I152" i="13"/>
  <c r="L152" i="13" s="1"/>
  <c r="AC22" i="2" s="1"/>
  <c r="I7" i="13"/>
  <c r="L7" i="13" s="1"/>
  <c r="D25" i="2" s="1"/>
  <c r="I170" i="13"/>
  <c r="L170" i="13" s="1"/>
  <c r="AM36" i="2" s="1"/>
  <c r="I9" i="13"/>
  <c r="L9" i="13" s="1"/>
  <c r="D27" i="2" s="1"/>
  <c r="I134" i="13"/>
  <c r="L134" i="13" s="1"/>
  <c r="X32" i="2" s="1"/>
  <c r="I103" i="13"/>
  <c r="L103" i="13" s="1"/>
  <c r="S30" i="2" s="1"/>
  <c r="I132" i="13"/>
  <c r="L132" i="13" s="1"/>
  <c r="X30" i="2" s="1"/>
  <c r="I145" i="13"/>
  <c r="L145" i="13" s="1"/>
  <c r="X43" i="2" s="1"/>
  <c r="I125" i="13"/>
  <c r="L125" i="13" s="1"/>
  <c r="X23" i="2" s="1"/>
  <c r="I37" i="13"/>
  <c r="L37" i="13" s="1"/>
  <c r="I26" i="2" s="1"/>
  <c r="I172" i="13"/>
  <c r="L172" i="13" s="1"/>
  <c r="AM38" i="2" s="1"/>
  <c r="I61" i="13"/>
  <c r="L61" i="13" s="1"/>
  <c r="N32" i="2" s="1"/>
  <c r="I105" i="13"/>
  <c r="L105" i="13" s="1"/>
  <c r="S32" i="2" s="1"/>
  <c r="I144" i="13"/>
  <c r="L144" i="13" s="1"/>
  <c r="X42" i="2" s="1"/>
  <c r="I131" i="13"/>
  <c r="L131" i="13" s="1"/>
  <c r="X29" i="2" s="1"/>
  <c r="I165" i="13"/>
  <c r="L165" i="13" s="1"/>
  <c r="AM31" i="2" s="1"/>
  <c r="I149" i="13"/>
  <c r="L149" i="13" s="1"/>
  <c r="X47" i="2" s="1"/>
  <c r="I169" i="13"/>
  <c r="L169" i="13" s="1"/>
  <c r="AM35" i="2" s="1"/>
  <c r="I11" i="13"/>
  <c r="L11" i="13" s="1"/>
  <c r="D29" i="2" s="1"/>
  <c r="I100" i="13"/>
  <c r="L100" i="13" s="1"/>
  <c r="S27" i="2" s="1"/>
  <c r="I174" i="13"/>
  <c r="L174" i="13" s="1"/>
  <c r="AM40" i="2" s="1"/>
  <c r="I89" i="13"/>
  <c r="L89" i="13" s="1"/>
  <c r="N60" i="2" s="1"/>
  <c r="I130" i="13"/>
  <c r="L130" i="13" s="1"/>
  <c r="X28" i="2" s="1"/>
  <c r="I12" i="13"/>
  <c r="L12" i="13" s="1"/>
  <c r="D30" i="2" s="1"/>
  <c r="I42" i="13"/>
  <c r="L42" i="13" s="1"/>
  <c r="I31" i="2" s="1"/>
  <c r="I17" i="13"/>
  <c r="L17" i="13" s="1"/>
  <c r="D35" i="2" s="1"/>
  <c r="I22" i="13"/>
  <c r="L22" i="13" s="1"/>
  <c r="D40" i="2" s="1"/>
  <c r="I148" i="13"/>
  <c r="L148" i="13" s="1"/>
  <c r="X46" i="2" s="1"/>
  <c r="I117" i="13"/>
  <c r="L117" i="13" s="1"/>
  <c r="S44" i="2" s="1"/>
  <c r="I101" i="13"/>
  <c r="L101" i="13" s="1"/>
  <c r="S28" i="2" s="1"/>
  <c r="I106" i="13"/>
  <c r="L106" i="13" s="1"/>
  <c r="S33" i="2" s="1"/>
  <c r="I41" i="13"/>
  <c r="L41" i="13" s="1"/>
  <c r="I30" i="2" s="1"/>
  <c r="I116" i="13"/>
  <c r="L116" i="13" s="1"/>
  <c r="S43" i="2" s="1"/>
  <c r="I113" i="13"/>
  <c r="L113" i="13" s="1"/>
  <c r="S40" i="2" s="1"/>
  <c r="I24" i="13"/>
  <c r="L24" i="13" s="1"/>
  <c r="D42" i="2" s="1"/>
  <c r="I80" i="13"/>
  <c r="L80" i="13" s="1"/>
  <c r="N51" i="2" s="1"/>
  <c r="I109" i="13"/>
  <c r="L109" i="13" s="1"/>
  <c r="S36" i="2" s="1"/>
  <c r="I129" i="13"/>
  <c r="L129" i="13" s="1"/>
  <c r="X27" i="2" s="1"/>
  <c r="I102" i="13"/>
  <c r="L102" i="13" s="1"/>
  <c r="S29" i="2" s="1"/>
  <c r="I30" i="13"/>
  <c r="L30" i="13" s="1"/>
  <c r="D48" i="2" s="1"/>
  <c r="I164" i="13"/>
  <c r="L164" i="13" s="1"/>
  <c r="AM30" i="2" s="1"/>
  <c r="I39" i="13"/>
  <c r="L39" i="13" s="1"/>
  <c r="I28" i="2" s="1"/>
  <c r="I147" i="13"/>
  <c r="L147" i="13" s="1"/>
  <c r="X45" i="2" s="1"/>
  <c r="I128" i="13"/>
  <c r="L128" i="13" s="1"/>
  <c r="X26" i="2" s="1"/>
  <c r="I159" i="13"/>
  <c r="L159" i="13" s="1"/>
  <c r="AM25" i="2" s="1"/>
  <c r="I143" i="13"/>
  <c r="L143" i="13" s="1"/>
  <c r="X41" i="2" s="1"/>
  <c r="I68" i="13"/>
  <c r="L68" i="13" s="1"/>
  <c r="N39" i="2" s="1"/>
  <c r="I195" i="13"/>
  <c r="L195" i="13" s="1"/>
  <c r="AR22" i="2" s="1"/>
  <c r="K83" i="13"/>
  <c r="L83" i="13" s="1"/>
  <c r="N54" i="2" s="1"/>
  <c r="K5" i="13"/>
  <c r="L5" i="13" s="1"/>
  <c r="D23" i="2" s="1"/>
  <c r="K71" i="13"/>
  <c r="L71" i="13" s="1"/>
  <c r="N42" i="2" s="1"/>
  <c r="K35" i="13"/>
  <c r="L35" i="13" s="1"/>
  <c r="I24" i="2" s="1"/>
  <c r="K64" i="13"/>
  <c r="L64" i="13" s="1"/>
  <c r="N35" i="2" s="1"/>
  <c r="K115" i="13"/>
  <c r="L115" i="13" s="1"/>
  <c r="S42" i="2" s="1"/>
  <c r="K20" i="13"/>
  <c r="L20" i="13" s="1"/>
  <c r="D38" i="2" s="1"/>
  <c r="K82" i="13"/>
  <c r="L82" i="13" s="1"/>
  <c r="N53" i="2" s="1"/>
  <c r="K46" i="13"/>
  <c r="L46" i="13" s="1"/>
  <c r="I35" i="2" s="1"/>
  <c r="K14" i="13"/>
  <c r="L14" i="13" s="1"/>
  <c r="D32" i="2" s="1"/>
  <c r="K72" i="13"/>
  <c r="L72" i="13" s="1"/>
  <c r="N43" i="2" s="1"/>
  <c r="K48" i="13"/>
  <c r="L48" i="13" s="1"/>
  <c r="I37" i="2" s="1"/>
  <c r="K186" i="13"/>
  <c r="L186" i="13" s="1"/>
  <c r="AH30" i="2" s="1"/>
  <c r="K66" i="13"/>
  <c r="L66" i="13" s="1"/>
  <c r="N37" i="2" s="1"/>
  <c r="C16" i="2"/>
  <c r="J95" i="13"/>
  <c r="L95" i="13" s="1"/>
  <c r="S22" i="2" s="1"/>
  <c r="C34" i="3"/>
  <c r="C35" i="3" s="1"/>
  <c r="H80" i="4" l="1"/>
  <c r="E12" i="13" s="1"/>
  <c r="H77" i="4"/>
  <c r="E37" i="13" s="1"/>
  <c r="K135" i="4"/>
  <c r="D118" i="13" s="1"/>
  <c r="G118" i="13" s="1"/>
  <c r="T45" i="2" s="1"/>
  <c r="H153" i="4"/>
  <c r="E148" i="13" s="1"/>
  <c r="H90" i="4"/>
  <c r="E40" i="13" s="1"/>
  <c r="G40" i="13" s="1"/>
  <c r="J29" i="2" s="1"/>
  <c r="H23" i="4"/>
  <c r="E126" i="13" s="1"/>
  <c r="K134" i="4"/>
  <c r="D117" i="13" s="1"/>
  <c r="G117" i="13" s="1"/>
  <c r="T44" i="2" s="1"/>
  <c r="I171" i="4"/>
  <c r="F64" i="13" s="1"/>
  <c r="G64" i="13" s="1"/>
  <c r="O35" i="2" s="1"/>
  <c r="K55" i="4"/>
  <c r="D164" i="13" s="1"/>
  <c r="G164" i="13" s="1"/>
  <c r="AN30" i="2" s="1"/>
  <c r="H105" i="4"/>
  <c r="E188" i="13" s="1"/>
  <c r="G188" i="13" s="1"/>
  <c r="AI32" i="2" s="1"/>
  <c r="H115" i="4"/>
  <c r="E143" i="13" s="1"/>
  <c r="I189" i="4"/>
  <c r="F92" i="13" s="1"/>
  <c r="G92" i="13" s="1"/>
  <c r="O63" i="2" s="1"/>
  <c r="K149" i="4"/>
  <c r="D29" i="13" s="1"/>
  <c r="G29" i="13" s="1"/>
  <c r="E47" i="2" s="1"/>
  <c r="H65" i="4"/>
  <c r="E132" i="13" s="1"/>
  <c r="H93" i="4"/>
  <c r="E140" i="13" s="1"/>
  <c r="G140" i="13" s="1"/>
  <c r="Y38" i="2" s="1"/>
  <c r="H145" i="4"/>
  <c r="E147" i="13" s="1"/>
  <c r="H56" i="4"/>
  <c r="E103" i="13" s="1"/>
  <c r="K121" i="4"/>
  <c r="D172" i="13" s="1"/>
  <c r="G172" i="13" s="1"/>
  <c r="AN38" i="2" s="1"/>
  <c r="AC24" i="2"/>
  <c r="D9" i="2" s="1"/>
  <c r="H26" i="4"/>
  <c r="E181" i="13" s="1"/>
  <c r="G181" i="13" s="1"/>
  <c r="AI25" i="2" s="1"/>
  <c r="H160" i="4"/>
  <c r="E174" i="13" s="1"/>
  <c r="H151" i="4"/>
  <c r="E191" i="13" s="1"/>
  <c r="G191" i="13" s="1"/>
  <c r="AI35" i="2" s="1"/>
  <c r="H158" i="4"/>
  <c r="E149" i="13" s="1"/>
  <c r="H102" i="4"/>
  <c r="E111" i="13" s="1"/>
  <c r="G111" i="13" s="1"/>
  <c r="T38" i="2" s="1"/>
  <c r="I181" i="4"/>
  <c r="F72" i="13" s="1"/>
  <c r="G72" i="13" s="1"/>
  <c r="O43" i="2" s="1"/>
  <c r="K75" i="4"/>
  <c r="D135" i="13" s="1"/>
  <c r="G135" i="13" s="1"/>
  <c r="Y33" i="2" s="1"/>
  <c r="K158" i="4"/>
  <c r="D149" i="13" s="1"/>
  <c r="G149" i="13" s="1"/>
  <c r="Y47" i="2" s="1"/>
  <c r="H25" i="4"/>
  <c r="E53" i="13" s="1"/>
  <c r="G53" i="13" s="1"/>
  <c r="O24" i="2" s="1"/>
  <c r="H97" i="4"/>
  <c r="E18" i="13" s="1"/>
  <c r="G18" i="13" s="1"/>
  <c r="E36" i="2" s="1"/>
  <c r="H133" i="4"/>
  <c r="E25" i="13" s="1"/>
  <c r="G25" i="13" s="1"/>
  <c r="E43" i="2" s="1"/>
  <c r="H40" i="4"/>
  <c r="E161" i="13" s="1"/>
  <c r="H47" i="4"/>
  <c r="E183" i="13" s="1"/>
  <c r="G183" i="13" s="1"/>
  <c r="AI27" i="2" s="1"/>
  <c r="H100" i="4"/>
  <c r="E74" i="13" s="1"/>
  <c r="G74" i="13" s="1"/>
  <c r="O45" i="2" s="1"/>
  <c r="H161" i="4"/>
  <c r="E121" i="13" s="1"/>
  <c r="G121" i="13" s="1"/>
  <c r="T48" i="2" s="1"/>
  <c r="H96" i="4"/>
  <c r="E17" i="13" s="1"/>
  <c r="K84" i="4"/>
  <c r="D68" i="13" s="1"/>
  <c r="G68" i="13" s="1"/>
  <c r="O39" i="2" s="1"/>
  <c r="K111" i="4"/>
  <c r="D197" i="13" s="1"/>
  <c r="G197" i="13" s="1"/>
  <c r="AS24" i="2" s="1"/>
  <c r="H38" i="4"/>
  <c r="E160" i="13" s="1"/>
  <c r="H70" i="4"/>
  <c r="E105" i="13" s="1"/>
  <c r="K71" i="4"/>
  <c r="D134" i="13" s="1"/>
  <c r="G134" i="13" s="1"/>
  <c r="Y32" i="2" s="1"/>
  <c r="H69" i="4"/>
  <c r="E9" i="13" s="1"/>
  <c r="H61" i="4"/>
  <c r="E63" i="13" s="1"/>
  <c r="AH37" i="2"/>
  <c r="D8" i="2" s="1"/>
  <c r="H141" i="4"/>
  <c r="E190" i="13" s="1"/>
  <c r="G190" i="13" s="1"/>
  <c r="AI34" i="2" s="1"/>
  <c r="H34" i="4"/>
  <c r="E56" i="13" s="1"/>
  <c r="H92" i="4"/>
  <c r="E109" i="13" s="1"/>
  <c r="K122" i="4"/>
  <c r="D24" i="13" s="1"/>
  <c r="G24" i="13" s="1"/>
  <c r="E42" i="2" s="1"/>
  <c r="H36" i="4"/>
  <c r="E57" i="13" s="1"/>
  <c r="G57" i="13" s="1"/>
  <c r="O28" i="2" s="1"/>
  <c r="H132" i="4"/>
  <c r="E45" i="13" s="1"/>
  <c r="G45" i="13" s="1"/>
  <c r="J34" i="2" s="1"/>
  <c r="K8" i="4"/>
  <c r="D33" i="13" s="1"/>
  <c r="G33" i="13" s="1"/>
  <c r="J22" i="2" s="1"/>
  <c r="H119" i="4"/>
  <c r="E23" i="13" s="1"/>
  <c r="G23" i="13" s="1"/>
  <c r="E41" i="2" s="1"/>
  <c r="K108" i="4"/>
  <c r="D77" i="13" s="1"/>
  <c r="G77" i="13" s="1"/>
  <c r="O48" i="2" s="1"/>
  <c r="K11" i="4"/>
  <c r="D52" i="13" s="1"/>
  <c r="G52" i="13" s="1"/>
  <c r="O23" i="2" s="1"/>
  <c r="H68" i="4"/>
  <c r="E167" i="13" s="1"/>
  <c r="G167" i="13" s="1"/>
  <c r="AN33" i="2" s="1"/>
  <c r="H147" i="4"/>
  <c r="E119" i="13" s="1"/>
  <c r="G119" i="13" s="1"/>
  <c r="T46" i="2" s="1"/>
  <c r="H9" i="4"/>
  <c r="E95" i="13" s="1"/>
  <c r="G95" i="13" s="1"/>
  <c r="T22" i="2" s="1"/>
  <c r="K60" i="4"/>
  <c r="D130" i="13" s="1"/>
  <c r="G130" i="13" s="1"/>
  <c r="Y28" i="2" s="1"/>
  <c r="H37" i="4"/>
  <c r="E182" i="13" s="1"/>
  <c r="G182" i="13" s="1"/>
  <c r="AI26" i="2" s="1"/>
  <c r="H14" i="4"/>
  <c r="E178" i="13" s="1"/>
  <c r="G178" i="13" s="1"/>
  <c r="AI22" i="2" s="1"/>
  <c r="H142" i="4"/>
  <c r="E173" i="13" s="1"/>
  <c r="G173" i="13" s="1"/>
  <c r="AN39" i="2" s="1"/>
  <c r="I177" i="4"/>
  <c r="F14" i="13" s="1"/>
  <c r="G14" i="13" s="1"/>
  <c r="E32" i="2" s="1"/>
  <c r="I176" i="4"/>
  <c r="F35" i="13" s="1"/>
  <c r="G35" i="13" s="1"/>
  <c r="J24" i="2" s="1"/>
  <c r="K115" i="4"/>
  <c r="D143" i="13" s="1"/>
  <c r="G143" i="13" s="1"/>
  <c r="Y41" i="2" s="1"/>
  <c r="K163" i="4"/>
  <c r="D30" i="13" s="1"/>
  <c r="G30" i="13" s="1"/>
  <c r="E48" i="2" s="1"/>
  <c r="K123" i="4"/>
  <c r="D113" i="13" s="1"/>
  <c r="G113" i="13" s="1"/>
  <c r="T40" i="2" s="1"/>
  <c r="K153" i="4"/>
  <c r="D148" i="13" s="1"/>
  <c r="G148" i="13" s="1"/>
  <c r="Y46" i="2" s="1"/>
  <c r="K152" i="4"/>
  <c r="D89" i="13" s="1"/>
  <c r="G89" i="13" s="1"/>
  <c r="O60" i="2" s="1"/>
  <c r="K66" i="4"/>
  <c r="D165" i="13" s="1"/>
  <c r="G165" i="13" s="1"/>
  <c r="AN31" i="2" s="1"/>
  <c r="K77" i="4"/>
  <c r="D37" i="13" s="1"/>
  <c r="G37" i="13" s="1"/>
  <c r="J26" i="2" s="1"/>
  <c r="K69" i="4"/>
  <c r="D9" i="13" s="1"/>
  <c r="G9" i="13" s="1"/>
  <c r="E27" i="2" s="1"/>
  <c r="K23" i="4"/>
  <c r="D126" i="13" s="1"/>
  <c r="G126" i="13" s="1"/>
  <c r="Y24" i="2" s="1"/>
  <c r="K34" i="4"/>
  <c r="D56" i="13" s="1"/>
  <c r="G56" i="13" s="1"/>
  <c r="O27" i="2" s="1"/>
  <c r="K127" i="4"/>
  <c r="D114" i="13" s="1"/>
  <c r="G114" i="13" s="1"/>
  <c r="T41" i="2" s="1"/>
  <c r="K12" i="4"/>
  <c r="D156" i="13" s="1"/>
  <c r="G156" i="13" s="1"/>
  <c r="AN22" i="2" s="1"/>
  <c r="K137" i="4"/>
  <c r="D84" i="13" s="1"/>
  <c r="G84" i="13" s="1"/>
  <c r="O55" i="2" s="1"/>
  <c r="H76" i="4"/>
  <c r="E136" i="13" s="1"/>
  <c r="G136" i="13" s="1"/>
  <c r="Y34" i="2" s="1"/>
  <c r="H126" i="4"/>
  <c r="E43" i="13" s="1"/>
  <c r="G43" i="13" s="1"/>
  <c r="J32" i="2" s="1"/>
  <c r="H45" i="4"/>
  <c r="E60" i="13" s="1"/>
  <c r="G60" i="13" s="1"/>
  <c r="O31" i="2" s="1"/>
  <c r="H10" i="4"/>
  <c r="E124" i="13" s="1"/>
  <c r="G124" i="13" s="1"/>
  <c r="Y22" i="2" s="1"/>
  <c r="H114" i="4"/>
  <c r="E79" i="13" s="1"/>
  <c r="H28" i="4"/>
  <c r="E99" i="13" s="1"/>
  <c r="G99" i="13" s="1"/>
  <c r="T26" i="2" s="1"/>
  <c r="H12" i="4"/>
  <c r="E156" i="13" s="1"/>
  <c r="H129" i="4"/>
  <c r="E44" i="13" s="1"/>
  <c r="H67" i="4"/>
  <c r="E133" i="13" s="1"/>
  <c r="G133" i="13" s="1"/>
  <c r="Y31" i="2" s="1"/>
  <c r="H42" i="4"/>
  <c r="E59" i="13" s="1"/>
  <c r="G59" i="13" s="1"/>
  <c r="O30" i="2" s="1"/>
  <c r="H81" i="4"/>
  <c r="E138" i="13" s="1"/>
  <c r="G138" i="13" s="1"/>
  <c r="Y36" i="2" s="1"/>
  <c r="H134" i="4"/>
  <c r="E117" i="13" s="1"/>
  <c r="H51" i="4"/>
  <c r="E128" i="13" s="1"/>
  <c r="H29" i="4"/>
  <c r="E54" i="13" s="1"/>
  <c r="G54" i="13" s="1"/>
  <c r="O25" i="2" s="1"/>
  <c r="H16" i="4"/>
  <c r="E125" i="13" s="1"/>
  <c r="H82" i="4"/>
  <c r="E38" i="13" s="1"/>
  <c r="G38" i="13" s="1"/>
  <c r="J27" i="2" s="1"/>
  <c r="H18" i="4"/>
  <c r="E179" i="13" s="1"/>
  <c r="G179" i="13" s="1"/>
  <c r="AI23" i="2" s="1"/>
  <c r="H39" i="4"/>
  <c r="E7" i="13" s="1"/>
  <c r="H24" i="4"/>
  <c r="E157" i="13" s="1"/>
  <c r="G157" i="13" s="1"/>
  <c r="AN23" i="2" s="1"/>
  <c r="H85" i="4"/>
  <c r="E13" i="13" s="1"/>
  <c r="I186" i="4"/>
  <c r="F85" i="13" s="1"/>
  <c r="G85" i="13" s="1"/>
  <c r="O56" i="2" s="1"/>
  <c r="H136" i="4"/>
  <c r="E26" i="13" s="1"/>
  <c r="G26" i="13" s="1"/>
  <c r="E44" i="2" s="1"/>
  <c r="H43" i="4"/>
  <c r="E196" i="13" s="1"/>
  <c r="G196" i="13" s="1"/>
  <c r="AS23" i="2" s="1"/>
  <c r="H49" i="4"/>
  <c r="E127" i="13" s="1"/>
  <c r="H137" i="4"/>
  <c r="E84" i="13" s="1"/>
  <c r="H86" i="4"/>
  <c r="E39" i="13" s="1"/>
  <c r="H44" i="4"/>
  <c r="E162" i="13" s="1"/>
  <c r="H128" i="4"/>
  <c r="E80" i="13" s="1"/>
  <c r="H157" i="4"/>
  <c r="E47" i="13" s="1"/>
  <c r="G47" i="13" s="1"/>
  <c r="J36" i="2" s="1"/>
  <c r="H144" i="4"/>
  <c r="E146" i="13" s="1"/>
  <c r="H22" i="4"/>
  <c r="E98" i="13" s="1"/>
  <c r="G98" i="13" s="1"/>
  <c r="T25" i="2" s="1"/>
  <c r="H48" i="4"/>
  <c r="E184" i="13" s="1"/>
  <c r="G184" i="13" s="1"/>
  <c r="AI28" i="2" s="1"/>
  <c r="H103" i="4"/>
  <c r="E19" i="13" s="1"/>
  <c r="H83" i="4"/>
  <c r="E106" i="13" s="1"/>
  <c r="H31" i="4"/>
  <c r="E100" i="13" s="1"/>
  <c r="I173" i="4"/>
  <c r="F67" i="13" s="1"/>
  <c r="G67" i="13" s="1"/>
  <c r="O38" i="2" s="1"/>
  <c r="I172" i="4"/>
  <c r="F66" i="13" s="1"/>
  <c r="G66" i="13" s="1"/>
  <c r="O37" i="2" s="1"/>
  <c r="I184" i="4"/>
  <c r="F82" i="13" s="1"/>
  <c r="G82" i="13" s="1"/>
  <c r="O53" i="2" s="1"/>
  <c r="I170" i="4"/>
  <c r="F5" i="13" s="1"/>
  <c r="G5" i="13" s="1"/>
  <c r="E23" i="2" s="1"/>
  <c r="K51" i="4"/>
  <c r="D128" i="13" s="1"/>
  <c r="G128" i="13" s="1"/>
  <c r="Y26" i="2" s="1"/>
  <c r="K59" i="4"/>
  <c r="D129" i="13" s="1"/>
  <c r="G129" i="13" s="1"/>
  <c r="Y27" i="2" s="1"/>
  <c r="K116" i="4"/>
  <c r="D41" i="13" s="1"/>
  <c r="G41" i="13" s="1"/>
  <c r="J30" i="2" s="1"/>
  <c r="K96" i="4"/>
  <c r="D17" i="13" s="1"/>
  <c r="G17" i="13" s="1"/>
  <c r="E35" i="2" s="1"/>
  <c r="K31" i="4"/>
  <c r="D100" i="13" s="1"/>
  <c r="G100" i="13" s="1"/>
  <c r="T27" i="2" s="1"/>
  <c r="K124" i="4"/>
  <c r="D144" i="13" s="1"/>
  <c r="G144" i="13" s="1"/>
  <c r="Y42" i="2" s="1"/>
  <c r="K138" i="4"/>
  <c r="D145" i="13" s="1"/>
  <c r="G145" i="13" s="1"/>
  <c r="Y43" i="2" s="1"/>
  <c r="K39" i="4"/>
  <c r="D7" i="13" s="1"/>
  <c r="G7" i="13" s="1"/>
  <c r="E25" i="2" s="1"/>
  <c r="K139" i="4"/>
  <c r="D27" i="13" s="1"/>
  <c r="G27" i="13" s="1"/>
  <c r="E45" i="2" s="1"/>
  <c r="K49" i="4"/>
  <c r="D127" i="13" s="1"/>
  <c r="G127" i="13" s="1"/>
  <c r="Y25" i="2" s="1"/>
  <c r="K101" i="4"/>
  <c r="D168" i="13" s="1"/>
  <c r="G168" i="13" s="1"/>
  <c r="AN34" i="2" s="1"/>
  <c r="K144" i="4"/>
  <c r="D146" i="13" s="1"/>
  <c r="G146" i="13" s="1"/>
  <c r="Y44" i="2" s="1"/>
  <c r="K130" i="4"/>
  <c r="D81" i="13" s="1"/>
  <c r="G81" i="13" s="1"/>
  <c r="O52" i="2" s="1"/>
  <c r="H154" i="4"/>
  <c r="E192" i="13" s="1"/>
  <c r="G192" i="13" s="1"/>
  <c r="AI36" i="2" s="1"/>
  <c r="H50" i="4"/>
  <c r="E102" i="13" s="1"/>
  <c r="H139" i="4"/>
  <c r="E27" i="13" s="1"/>
  <c r="H131" i="4"/>
  <c r="E116" i="13" s="1"/>
  <c r="H89" i="4"/>
  <c r="E108" i="13" s="1"/>
  <c r="H84" i="4"/>
  <c r="E68" i="13" s="1"/>
  <c r="H146" i="4"/>
  <c r="E28" i="13" s="1"/>
  <c r="G28" i="13" s="1"/>
  <c r="E46" i="2" s="1"/>
  <c r="H109" i="4"/>
  <c r="E21" i="13" s="1"/>
  <c r="G21" i="13" s="1"/>
  <c r="E39" i="2" s="1"/>
  <c r="H107" i="4"/>
  <c r="E76" i="13" s="1"/>
  <c r="G76" i="13" s="1"/>
  <c r="O47" i="2" s="1"/>
  <c r="H104" i="4"/>
  <c r="E112" i="13" s="1"/>
  <c r="G112" i="13" s="1"/>
  <c r="T39" i="2" s="1"/>
  <c r="H113" i="4"/>
  <c r="E78" i="13" s="1"/>
  <c r="G78" i="13" s="1"/>
  <c r="O49" i="2" s="1"/>
  <c r="F57" i="4"/>
  <c r="F100" i="4"/>
  <c r="F37" i="4"/>
  <c r="H8" i="4"/>
  <c r="E33" i="13" s="1"/>
  <c r="F31" i="4"/>
  <c r="F23" i="4"/>
  <c r="F81" i="4"/>
  <c r="F15" i="4"/>
  <c r="F93" i="4"/>
  <c r="F19" i="4"/>
  <c r="F35" i="4"/>
  <c r="F127" i="4"/>
  <c r="F102" i="4"/>
  <c r="F88" i="4"/>
  <c r="F140" i="4"/>
  <c r="F85" i="4"/>
  <c r="F112" i="4"/>
  <c r="F163" i="4"/>
  <c r="F130" i="4"/>
  <c r="F82" i="4"/>
  <c r="F71" i="4"/>
  <c r="F92" i="4"/>
  <c r="F53" i="4"/>
  <c r="F152" i="4"/>
  <c r="F86" i="4"/>
  <c r="G186" i="4"/>
  <c r="F65" i="4"/>
  <c r="G172" i="4"/>
  <c r="F21" i="4"/>
  <c r="F13" i="4"/>
  <c r="F38" i="4"/>
  <c r="F115" i="4"/>
  <c r="F39" i="4"/>
  <c r="G182" i="4"/>
  <c r="F136" i="4"/>
  <c r="F97" i="4"/>
  <c r="F95" i="4"/>
  <c r="G169" i="4"/>
  <c r="F9" i="4"/>
  <c r="F60" i="4"/>
  <c r="F90" i="4"/>
  <c r="F14" i="4"/>
  <c r="F124" i="4"/>
  <c r="F144" i="4"/>
  <c r="F36" i="4"/>
  <c r="F69" i="4"/>
  <c r="F111" i="4"/>
  <c r="F145" i="4"/>
  <c r="F87" i="4"/>
  <c r="F26" i="4"/>
  <c r="F129" i="4"/>
  <c r="F106" i="4"/>
  <c r="F156" i="4"/>
  <c r="F109" i="4"/>
  <c r="G187" i="4"/>
  <c r="F131" i="4"/>
  <c r="G188" i="4"/>
  <c r="F74" i="4"/>
  <c r="F137" i="4"/>
  <c r="F121" i="4"/>
  <c r="F30" i="4"/>
  <c r="G175" i="4"/>
  <c r="F118" i="4"/>
  <c r="F147" i="4"/>
  <c r="F47" i="4"/>
  <c r="F51" i="4"/>
  <c r="F79" i="4"/>
  <c r="G170" i="4"/>
  <c r="F44" i="4"/>
  <c r="F98" i="4"/>
  <c r="F46" i="4"/>
  <c r="F43" i="4"/>
  <c r="F20" i="4"/>
  <c r="F135" i="4"/>
  <c r="F72" i="4"/>
  <c r="F75" i="4"/>
  <c r="F8" i="4"/>
  <c r="F12" i="4"/>
  <c r="F68" i="4"/>
  <c r="F89" i="4"/>
  <c r="F27" i="4"/>
  <c r="F105" i="4"/>
  <c r="F101" i="4"/>
  <c r="F28" i="4"/>
  <c r="F94" i="4"/>
  <c r="F52" i="4"/>
  <c r="F54" i="4"/>
  <c r="F80" i="4"/>
  <c r="F32" i="4"/>
  <c r="F10" i="4"/>
  <c r="F40" i="4"/>
  <c r="F154" i="4"/>
  <c r="F122" i="4"/>
  <c r="F128" i="4"/>
  <c r="F83" i="4"/>
  <c r="F41" i="4"/>
  <c r="F55" i="4"/>
  <c r="F45" i="4"/>
  <c r="F50" i="4"/>
  <c r="F138" i="4"/>
  <c r="F146" i="4"/>
  <c r="F73" i="4"/>
  <c r="F34" i="4"/>
  <c r="F67" i="4"/>
  <c r="F160" i="4"/>
  <c r="F149" i="4"/>
  <c r="G184" i="4"/>
  <c r="F59" i="4"/>
  <c r="F99" i="4"/>
  <c r="F107" i="4"/>
  <c r="F116" i="4"/>
  <c r="G181" i="4"/>
  <c r="G185" i="4"/>
  <c r="F33" i="4"/>
  <c r="F119" i="4"/>
  <c r="F110" i="4"/>
  <c r="F162" i="4"/>
  <c r="F120" i="4"/>
  <c r="F132" i="4"/>
  <c r="F153" i="4"/>
  <c r="F164" i="4"/>
  <c r="F159" i="4"/>
  <c r="G176" i="4"/>
  <c r="F42" i="4"/>
  <c r="F96" i="4"/>
  <c r="F104" i="4"/>
  <c r="F66" i="4"/>
  <c r="G177" i="4"/>
  <c r="F84" i="4"/>
  <c r="G180" i="4"/>
  <c r="F142" i="4"/>
  <c r="F76" i="4"/>
  <c r="F49" i="4"/>
  <c r="F141" i="4"/>
  <c r="F125" i="4"/>
  <c r="F103" i="4"/>
  <c r="G174" i="4"/>
  <c r="F155" i="4"/>
  <c r="H162" i="4"/>
  <c r="E175" i="13" s="1"/>
  <c r="G175" i="13" s="1"/>
  <c r="AN41" i="2" s="1"/>
  <c r="G173" i="4"/>
  <c r="G171" i="4"/>
  <c r="F22" i="4"/>
  <c r="F133" i="4"/>
  <c r="F113" i="4"/>
  <c r="F48" i="4"/>
  <c r="F139" i="4"/>
  <c r="F126" i="4"/>
  <c r="F148" i="4"/>
  <c r="G183" i="4"/>
  <c r="F61" i="4"/>
  <c r="F18" i="4"/>
  <c r="F108" i="4"/>
  <c r="F117" i="4"/>
  <c r="H20" i="4"/>
  <c r="E4" i="13" s="1"/>
  <c r="G4" i="13" s="1"/>
  <c r="E22" i="2" s="1"/>
  <c r="F29" i="4"/>
  <c r="F58" i="4"/>
  <c r="F25" i="4"/>
  <c r="F11" i="4"/>
  <c r="F62" i="4"/>
  <c r="F134" i="4"/>
  <c r="F91" i="4"/>
  <c r="G178" i="4"/>
  <c r="G179" i="4"/>
  <c r="F17" i="4"/>
  <c r="F78" i="4"/>
  <c r="F143" i="4"/>
  <c r="F70" i="4"/>
  <c r="I169" i="4"/>
  <c r="F51" i="13" s="1"/>
  <c r="G51" i="13" s="1"/>
  <c r="O22" i="2" s="1"/>
  <c r="F63" i="4"/>
  <c r="F77" i="4"/>
  <c r="F24" i="4"/>
  <c r="F161" i="4"/>
  <c r="F157" i="4"/>
  <c r="F56" i="4"/>
  <c r="G189" i="4"/>
  <c r="F123" i="4"/>
  <c r="F151" i="4"/>
  <c r="F64" i="4"/>
  <c r="F114" i="4"/>
  <c r="F150" i="4"/>
  <c r="F16" i="4"/>
  <c r="F158" i="4"/>
  <c r="H98" i="4"/>
  <c r="E73" i="13" s="1"/>
  <c r="G73" i="13" s="1"/>
  <c r="O44" i="2" s="1"/>
  <c r="H53" i="4"/>
  <c r="E163" i="13" s="1"/>
  <c r="H108" i="4"/>
  <c r="E77" i="13" s="1"/>
  <c r="H149" i="4"/>
  <c r="E29" i="13" s="1"/>
  <c r="H11" i="4"/>
  <c r="E52" i="13" s="1"/>
  <c r="H79" i="4"/>
  <c r="E187" i="13" s="1"/>
  <c r="G187" i="13" s="1"/>
  <c r="AI31" i="2" s="1"/>
  <c r="H19" i="4"/>
  <c r="E34" i="13" s="1"/>
  <c r="H124" i="4"/>
  <c r="E144" i="13" s="1"/>
  <c r="K159" i="4"/>
  <c r="D153" i="13" s="1"/>
  <c r="G153" i="13" s="1"/>
  <c r="AD23" i="2" s="1"/>
  <c r="H15" i="4"/>
  <c r="E195" i="13" s="1"/>
  <c r="H91" i="4"/>
  <c r="E139" i="13" s="1"/>
  <c r="G139" i="13" s="1"/>
  <c r="Y37" i="2" s="1"/>
  <c r="H72" i="4"/>
  <c r="E10" i="13" s="1"/>
  <c r="H64" i="4"/>
  <c r="E65" i="13" s="1"/>
  <c r="G65" i="13" s="1"/>
  <c r="O36" i="2" s="1"/>
  <c r="H152" i="4"/>
  <c r="E89" i="13" s="1"/>
  <c r="H150" i="4"/>
  <c r="E88" i="13" s="1"/>
  <c r="G88" i="13" s="1"/>
  <c r="O59" i="2" s="1"/>
  <c r="H164" i="4"/>
  <c r="E91" i="13" s="1"/>
  <c r="G91" i="13" s="1"/>
  <c r="O62" i="2" s="1"/>
  <c r="H30" i="4"/>
  <c r="E159" i="13" s="1"/>
  <c r="H55" i="4"/>
  <c r="E164" i="13" s="1"/>
  <c r="K117" i="4"/>
  <c r="D22" i="13" s="1"/>
  <c r="G22" i="13" s="1"/>
  <c r="E40" i="2" s="1"/>
  <c r="H73" i="4"/>
  <c r="E11" i="13" s="1"/>
  <c r="H87" i="4"/>
  <c r="E107" i="13" s="1"/>
  <c r="G107" i="13" s="1"/>
  <c r="T34" i="2" s="1"/>
  <c r="I174" i="4"/>
  <c r="F166" i="13" s="1"/>
  <c r="G166" i="13" s="1"/>
  <c r="AN32" i="2" s="1"/>
  <c r="H101" i="4"/>
  <c r="E168" i="13" s="1"/>
  <c r="H99" i="4"/>
  <c r="E141" i="13" s="1"/>
  <c r="G141" i="13" s="1"/>
  <c r="Y39" i="2" s="1"/>
  <c r="H118" i="4"/>
  <c r="E170" i="13" s="1"/>
  <c r="H63" i="4"/>
  <c r="E131" i="13" s="1"/>
  <c r="H52" i="4"/>
  <c r="E185" i="13" s="1"/>
  <c r="G185" i="13" s="1"/>
  <c r="AI29" i="2" s="1"/>
  <c r="H116" i="4"/>
  <c r="E41" i="13" s="1"/>
  <c r="H33" i="4"/>
  <c r="E6" i="13" s="1"/>
  <c r="G6" i="13" s="1"/>
  <c r="E24" i="2" s="1"/>
  <c r="H46" i="4"/>
  <c r="E101" i="13" s="1"/>
  <c r="H17" i="4"/>
  <c r="E97" i="13" s="1"/>
  <c r="G97" i="13" s="1"/>
  <c r="T24" i="2" s="1"/>
  <c r="H159" i="4"/>
  <c r="E153" i="13" s="1"/>
  <c r="H71" i="4"/>
  <c r="E134" i="13" s="1"/>
  <c r="I175" i="4"/>
  <c r="F186" i="13" s="1"/>
  <c r="G186" i="13" s="1"/>
  <c r="AI30" i="2" s="1"/>
  <c r="I182" i="4"/>
  <c r="F20" i="13" s="1"/>
  <c r="G20" i="13" s="1"/>
  <c r="E38" i="2" s="1"/>
  <c r="I185" i="4"/>
  <c r="F83" i="13" s="1"/>
  <c r="G83" i="13" s="1"/>
  <c r="O54" i="2" s="1"/>
  <c r="K145" i="4"/>
  <c r="D147" i="13" s="1"/>
  <c r="G147" i="13" s="1"/>
  <c r="Y45" i="2" s="1"/>
  <c r="K92" i="4"/>
  <c r="D109" i="13" s="1"/>
  <c r="G109" i="13" s="1"/>
  <c r="T36" i="2" s="1"/>
  <c r="K83" i="4"/>
  <c r="D106" i="13" s="1"/>
  <c r="G106" i="13" s="1"/>
  <c r="T33" i="2" s="1"/>
  <c r="K125" i="4"/>
  <c r="D42" i="13" s="1"/>
  <c r="G42" i="13" s="1"/>
  <c r="J31" i="2" s="1"/>
  <c r="K73" i="4"/>
  <c r="D11" i="13" s="1"/>
  <c r="G11" i="13" s="1"/>
  <c r="E29" i="2" s="1"/>
  <c r="K70" i="4"/>
  <c r="D105" i="13" s="1"/>
  <c r="G105" i="13" s="1"/>
  <c r="T32" i="2" s="1"/>
  <c r="K65" i="4"/>
  <c r="D132" i="13" s="1"/>
  <c r="G132" i="13" s="1"/>
  <c r="Y30" i="2" s="1"/>
  <c r="K35" i="4"/>
  <c r="D152" i="13" s="1"/>
  <c r="G152" i="13" s="1"/>
  <c r="AD22" i="2" s="1"/>
  <c r="K19" i="4"/>
  <c r="D34" i="13" s="1"/>
  <c r="G34" i="13" s="1"/>
  <c r="J23" i="2" s="1"/>
  <c r="K38" i="4"/>
  <c r="D160" i="13" s="1"/>
  <c r="G160" i="13" s="1"/>
  <c r="AN26" i="2" s="1"/>
  <c r="K53" i="4"/>
  <c r="D163" i="13" s="1"/>
  <c r="G163" i="13" s="1"/>
  <c r="AN29" i="2" s="1"/>
  <c r="K110" i="4"/>
  <c r="D142" i="13" s="1"/>
  <c r="G142" i="13" s="1"/>
  <c r="Y40" i="2" s="1"/>
  <c r="K61" i="4"/>
  <c r="D63" i="13" s="1"/>
  <c r="G63" i="13" s="1"/>
  <c r="O34" i="2" s="1"/>
  <c r="H143" i="4"/>
  <c r="E86" i="13" s="1"/>
  <c r="G86" i="13" s="1"/>
  <c r="O57" i="2" s="1"/>
  <c r="K72" i="4"/>
  <c r="D10" i="13" s="1"/>
  <c r="G10" i="13" s="1"/>
  <c r="E28" i="2" s="1"/>
  <c r="H112" i="4"/>
  <c r="E169" i="13" s="1"/>
  <c r="H54" i="4"/>
  <c r="E61" i="13" s="1"/>
  <c r="H123" i="4"/>
  <c r="E113" i="13" s="1"/>
  <c r="H106" i="4"/>
  <c r="E75" i="13" s="1"/>
  <c r="H57" i="4"/>
  <c r="E62" i="13" s="1"/>
  <c r="G62" i="13" s="1"/>
  <c r="O33" i="2" s="1"/>
  <c r="H95" i="4"/>
  <c r="E110" i="13" s="1"/>
  <c r="G110" i="13" s="1"/>
  <c r="T37" i="2" s="1"/>
  <c r="H135" i="4"/>
  <c r="E118" i="13" s="1"/>
  <c r="H121" i="4"/>
  <c r="E172" i="13" s="1"/>
  <c r="H94" i="4"/>
  <c r="E16" i="13" s="1"/>
  <c r="G16" i="13" s="1"/>
  <c r="E34" i="2" s="1"/>
  <c r="H140" i="4"/>
  <c r="E189" i="13" s="1"/>
  <c r="G189" i="13" s="1"/>
  <c r="AI33" i="2" s="1"/>
  <c r="I187" i="4"/>
  <c r="F46" i="13" s="1"/>
  <c r="G46" i="13" s="1"/>
  <c r="J35" i="2" s="1"/>
  <c r="I180" i="4"/>
  <c r="F71" i="13" s="1"/>
  <c r="G71" i="13" s="1"/>
  <c r="O42" i="2" s="1"/>
  <c r="K30" i="4"/>
  <c r="D159" i="13" s="1"/>
  <c r="G159" i="13" s="1"/>
  <c r="AN25" i="2" s="1"/>
  <c r="K50" i="4"/>
  <c r="D102" i="13" s="1"/>
  <c r="G102" i="13" s="1"/>
  <c r="T29" i="2" s="1"/>
  <c r="K131" i="4"/>
  <c r="D116" i="13" s="1"/>
  <c r="G116" i="13" s="1"/>
  <c r="T43" i="2" s="1"/>
  <c r="K160" i="4"/>
  <c r="D174" i="13" s="1"/>
  <c r="G174" i="13" s="1"/>
  <c r="AN40" i="2" s="1"/>
  <c r="K63" i="4"/>
  <c r="D131" i="13" s="1"/>
  <c r="G131" i="13" s="1"/>
  <c r="Y29" i="2" s="1"/>
  <c r="K16" i="4"/>
  <c r="D125" i="13" s="1"/>
  <c r="G125" i="13" s="1"/>
  <c r="Y23" i="2" s="1"/>
  <c r="K118" i="4"/>
  <c r="D170" i="13" s="1"/>
  <c r="G170" i="13" s="1"/>
  <c r="AN36" i="2" s="1"/>
  <c r="K106" i="4"/>
  <c r="D75" i="13" s="1"/>
  <c r="G75" i="13" s="1"/>
  <c r="O46" i="2" s="1"/>
  <c r="K44" i="4"/>
  <c r="D162" i="13" s="1"/>
  <c r="G162" i="13" s="1"/>
  <c r="AN28" i="2" s="1"/>
  <c r="K74" i="4"/>
  <c r="D36" i="13" s="1"/>
  <c r="G36" i="13" s="1"/>
  <c r="J25" i="2" s="1"/>
  <c r="K129" i="4"/>
  <c r="D44" i="13" s="1"/>
  <c r="G44" i="13" s="1"/>
  <c r="J33" i="2" s="1"/>
  <c r="K85" i="4"/>
  <c r="D13" i="13" s="1"/>
  <c r="G13" i="13" s="1"/>
  <c r="E31" i="2" s="1"/>
  <c r="H66" i="4"/>
  <c r="E165" i="13" s="1"/>
  <c r="H75" i="4"/>
  <c r="E135" i="13" s="1"/>
  <c r="H117" i="4"/>
  <c r="E22" i="13" s="1"/>
  <c r="H155" i="4"/>
  <c r="E90" i="13" s="1"/>
  <c r="G90" i="13" s="1"/>
  <c r="O61" i="2" s="1"/>
  <c r="H127" i="4"/>
  <c r="E114" i="13" s="1"/>
  <c r="I179" i="4"/>
  <c r="F70" i="13" s="1"/>
  <c r="G70" i="13" s="1"/>
  <c r="O41" i="2" s="1"/>
  <c r="I178" i="4"/>
  <c r="F69" i="13" s="1"/>
  <c r="G69" i="13" s="1"/>
  <c r="O40" i="2" s="1"/>
  <c r="H32" i="4"/>
  <c r="E55" i="13" s="1"/>
  <c r="G55" i="13" s="1"/>
  <c r="O26" i="2" s="1"/>
  <c r="H122" i="4"/>
  <c r="E24" i="13" s="1"/>
  <c r="H35" i="4"/>
  <c r="E152" i="13" s="1"/>
  <c r="H59" i="4"/>
  <c r="E129" i="13" s="1"/>
  <c r="H125" i="4"/>
  <c r="E42" i="13" s="1"/>
  <c r="H27" i="4"/>
  <c r="E158" i="13" s="1"/>
  <c r="G158" i="13" s="1"/>
  <c r="AN24" i="2" s="1"/>
  <c r="H138" i="4"/>
  <c r="E145" i="13" s="1"/>
  <c r="H148" i="4"/>
  <c r="E87" i="13" s="1"/>
  <c r="G87" i="13" s="1"/>
  <c r="O58" i="2" s="1"/>
  <c r="I188" i="4"/>
  <c r="F48" i="13" s="1"/>
  <c r="G48" i="13" s="1"/>
  <c r="J37" i="2" s="1"/>
  <c r="I183" i="4"/>
  <c r="F115" i="13" s="1"/>
  <c r="G115" i="13" s="1"/>
  <c r="T42" i="2" s="1"/>
  <c r="K15" i="4"/>
  <c r="D195" i="13" s="1"/>
  <c r="G195" i="13" s="1"/>
  <c r="AS22" i="2" s="1"/>
  <c r="K86" i="4"/>
  <c r="D39" i="13" s="1"/>
  <c r="G39" i="13" s="1"/>
  <c r="J28" i="2" s="1"/>
  <c r="K128" i="4"/>
  <c r="D80" i="13" s="1"/>
  <c r="G80" i="13" s="1"/>
  <c r="O51" i="2" s="1"/>
  <c r="K46" i="4"/>
  <c r="D101" i="13" s="1"/>
  <c r="G101" i="13" s="1"/>
  <c r="T28" i="2" s="1"/>
  <c r="K80" i="4"/>
  <c r="D12" i="13" s="1"/>
  <c r="G12" i="13" s="1"/>
  <c r="E30" i="2" s="1"/>
  <c r="K112" i="4"/>
  <c r="D169" i="13" s="1"/>
  <c r="G169" i="13" s="1"/>
  <c r="AN35" i="2" s="1"/>
  <c r="K54" i="4"/>
  <c r="D61" i="13" s="1"/>
  <c r="G61" i="13" s="1"/>
  <c r="O32" i="2" s="1"/>
  <c r="K56" i="4"/>
  <c r="D103" i="13" s="1"/>
  <c r="G103" i="13" s="1"/>
  <c r="T30" i="2" s="1"/>
  <c r="K103" i="4"/>
  <c r="D19" i="13" s="1"/>
  <c r="G19" i="13" s="1"/>
  <c r="E37" i="2" s="1"/>
  <c r="K89" i="4"/>
  <c r="D108" i="13" s="1"/>
  <c r="G108" i="13" s="1"/>
  <c r="T35" i="2" s="1"/>
  <c r="K114" i="4"/>
  <c r="D79" i="13" s="1"/>
  <c r="G79" i="13" s="1"/>
  <c r="O50" i="2" s="1"/>
  <c r="K40" i="4"/>
  <c r="D161" i="13" s="1"/>
  <c r="G161" i="13" s="1"/>
  <c r="AN27" i="2" s="1"/>
  <c r="K78" i="4"/>
  <c r="D137" i="13" s="1"/>
  <c r="G137" i="13" s="1"/>
  <c r="Y35" i="2" s="1"/>
  <c r="H163" i="4"/>
  <c r="E30" i="13" s="1"/>
  <c r="H41" i="4"/>
  <c r="E58" i="13" s="1"/>
  <c r="G58" i="13" s="1"/>
  <c r="O29" i="2" s="1"/>
  <c r="H120" i="4"/>
  <c r="E171" i="13" s="1"/>
  <c r="G171" i="13" s="1"/>
  <c r="AN37" i="2" s="1"/>
  <c r="H58" i="4"/>
  <c r="E8" i="13" s="1"/>
  <c r="G8" i="13" s="1"/>
  <c r="E26" i="2" s="1"/>
  <c r="H21" i="4"/>
  <c r="E180" i="13" s="1"/>
  <c r="G180" i="13" s="1"/>
  <c r="AI24" i="2" s="1"/>
  <c r="H62" i="4"/>
  <c r="E104" i="13" s="1"/>
  <c r="G104" i="13" s="1"/>
  <c r="T31" i="2" s="1"/>
  <c r="H13" i="4"/>
  <c r="E96" i="13" s="1"/>
  <c r="G96" i="13" s="1"/>
  <c r="T23" i="2" s="1"/>
  <c r="H111" i="4"/>
  <c r="E197" i="13" s="1"/>
  <c r="H156" i="4"/>
  <c r="E120" i="13" s="1"/>
  <c r="G120" i="13" s="1"/>
  <c r="T47" i="2" s="1"/>
  <c r="H130" i="4"/>
  <c r="E81" i="13" s="1"/>
  <c r="H60" i="4"/>
  <c r="E130" i="13" s="1"/>
  <c r="H74" i="4"/>
  <c r="E36" i="13" s="1"/>
  <c r="H110" i="4"/>
  <c r="E142" i="13" s="1"/>
  <c r="H78" i="4"/>
  <c r="E137" i="13" s="1"/>
  <c r="AM42" i="2"/>
  <c r="D7" i="2" s="1"/>
  <c r="X48" i="2"/>
  <c r="D10" i="2" s="1"/>
  <c r="AR25" i="2"/>
  <c r="D6" i="2" s="1"/>
  <c r="S49" i="2"/>
  <c r="D11" i="2" s="1"/>
  <c r="N64" i="2"/>
  <c r="D12" i="2" s="1"/>
  <c r="I38" i="2"/>
  <c r="D13" i="2" s="1"/>
  <c r="D49" i="2"/>
  <c r="D14" i="2" s="1"/>
  <c r="C25" i="3" s="1"/>
  <c r="AS25" i="2" l="1"/>
  <c r="E6" i="2" s="1"/>
  <c r="AD24" i="2"/>
  <c r="E9" i="2" s="1"/>
  <c r="J38" i="2"/>
  <c r="E13" i="2" s="1"/>
  <c r="AI37" i="2"/>
  <c r="E8" i="2" s="1"/>
  <c r="O64" i="2"/>
  <c r="E12" i="2" s="1"/>
  <c r="T49" i="2"/>
  <c r="E11" i="2" s="1"/>
  <c r="AN42" i="2"/>
  <c r="E7" i="2" s="1"/>
  <c r="E49" i="2"/>
  <c r="E14" i="2" s="1"/>
  <c r="C26" i="3" s="1"/>
  <c r="Y48" i="2"/>
  <c r="E10" i="2" s="1"/>
  <c r="D16" i="2"/>
  <c r="E1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E13" authorId="0" shapeId="0" xr:uid="{91BCAB36-88B2-4D7F-B8AA-D7E05AB0F696}">
      <text>
        <r>
          <rPr>
            <b/>
            <sz val="9"/>
            <color indexed="81"/>
            <rFont val="Tahoma"/>
            <family val="2"/>
          </rPr>
          <t>jay prakash:</t>
        </r>
        <r>
          <rPr>
            <sz val="9"/>
            <color indexed="81"/>
            <rFont val="Tahoma"/>
            <family val="2"/>
          </rPr>
          <t xml:space="preserve">
The average volatility of equity markets over Bonds for all countries.</t>
        </r>
      </text>
    </comment>
    <comment ref="B16" authorId="0" shapeId="0" xr:uid="{3305BA8D-817F-4098-88F3-F4EA7052243C}">
      <text>
        <r>
          <rPr>
            <b/>
            <sz val="9"/>
            <color indexed="81"/>
            <rFont val="Tahoma"/>
            <family val="2"/>
          </rPr>
          <t>jay prakash:</t>
        </r>
        <r>
          <rPr>
            <sz val="9"/>
            <color indexed="81"/>
            <rFont val="Tahoma"/>
            <family val="2"/>
          </rPr>
          <t xml:space="preserve">
Used as proxy for represnting the volatility of the entire stock market, as the MSCI indice represents equity markets of 23 developed countries and 24 emerging countries.
The volatility on this indice is used a proxy for average volatility in equity market for all the countries.</t>
        </r>
      </text>
    </comment>
    <comment ref="F16" authorId="0" shapeId="0" xr:uid="{CA6D40CB-08CE-4160-BC52-BECA399D1AC9}">
      <text>
        <r>
          <rPr>
            <b/>
            <sz val="9"/>
            <color indexed="81"/>
            <rFont val="Tahoma"/>
            <family val="2"/>
          </rPr>
          <t>jay prakash:</t>
        </r>
        <r>
          <rPr>
            <sz val="9"/>
            <color indexed="81"/>
            <rFont val="Tahoma"/>
            <family val="2"/>
          </rPr>
          <t xml:space="preserve">
Used as proxy for represnting the volatility of dollar-denominated bonds for both developed and emerging countries,
As the indice is exposed to the bonds of both developed and emerging markets, This aggregate indice alligns well with MSCI ACWI ETF.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E4" authorId="0" shapeId="0" xr:uid="{95A477A4-5F47-4E47-848E-F6B356955B30}">
      <text>
        <r>
          <rPr>
            <b/>
            <sz val="9"/>
            <color indexed="81"/>
            <rFont val="Tahoma"/>
            <family val="2"/>
          </rPr>
          <t>jay prakash:</t>
        </r>
        <r>
          <rPr>
            <sz val="9"/>
            <color indexed="81"/>
            <rFont val="Tahoma"/>
            <family val="2"/>
          </rPr>
          <t xml:space="preserve">
Relative Volatility of Equity Markets</t>
        </r>
      </text>
    </comment>
    <comment ref="G7" authorId="0" shapeId="0" xr:uid="{6D1C7EF0-FC25-419F-81FB-858F5CD3DFDE}">
      <text>
        <r>
          <rPr>
            <b/>
            <sz val="9"/>
            <color indexed="81"/>
            <rFont val="Tahoma"/>
            <family val="2"/>
          </rPr>
          <t>jay prakash:</t>
        </r>
        <r>
          <rPr>
            <sz val="9"/>
            <color indexed="81"/>
            <rFont val="Tahoma"/>
            <family val="2"/>
          </rPr>
          <t xml:space="preserve">
Rating based Spread adjusted with Equity Market Volatility.</t>
        </r>
      </text>
    </comment>
    <comment ref="J7" authorId="0" shapeId="0" xr:uid="{F935ACCB-3681-4B45-B831-C536AE7FA6F6}">
      <text>
        <r>
          <rPr>
            <b/>
            <sz val="9"/>
            <color indexed="81"/>
            <rFont val="Tahoma"/>
            <family val="2"/>
          </rPr>
          <t xml:space="preserve">jay prakash:
</t>
        </r>
        <r>
          <rPr>
            <sz val="9"/>
            <color indexed="81"/>
            <rFont val="Tahoma"/>
            <family val="2"/>
          </rPr>
          <t>CDS spread adjusted with Equity Market Volatility.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C4" authorId="0" shapeId="0" xr:uid="{EF958C0D-E5F7-42B4-959A-225B936D91FC}">
      <text>
        <r>
          <rPr>
            <b/>
            <sz val="9"/>
            <color indexed="81"/>
            <rFont val="Tahoma"/>
            <family val="2"/>
          </rPr>
          <t>jay prakash:</t>
        </r>
        <r>
          <rPr>
            <sz val="9"/>
            <color indexed="81"/>
            <rFont val="Tahoma"/>
            <family val="2"/>
          </rPr>
          <t xml:space="preserve">
US CDS is assumed as a transaction cost and is used a benchmark.
So we reduce the CDS of US from all other countries.
I'm assuming if all countries become default free, their CDS will be equal to US's CDS.</t>
        </r>
      </text>
    </comment>
  </commentList>
</comments>
</file>

<file path=xl/sharedStrings.xml><?xml version="1.0" encoding="utf-8"?>
<sst xmlns="http://schemas.openxmlformats.org/spreadsheetml/2006/main" count="3462" uniqueCount="1617">
  <si>
    <t>Estimation of Regional Risk Premiums</t>
  </si>
  <si>
    <t>GDP</t>
  </si>
  <si>
    <t>ERP</t>
  </si>
  <si>
    <t>Default Spread</t>
  </si>
  <si>
    <t>CRP</t>
  </si>
  <si>
    <t>Figures in USD mln</t>
  </si>
  <si>
    <t>GDP of countries with no ERP data are ignored</t>
  </si>
  <si>
    <t>#</t>
  </si>
  <si>
    <t>Asia</t>
  </si>
  <si>
    <t>Middle East</t>
  </si>
  <si>
    <t>Africa</t>
  </si>
  <si>
    <t>Eastern Europe &amp; Russia</t>
  </si>
  <si>
    <t>Westeren Europe</t>
  </si>
  <si>
    <t>North America</t>
  </si>
  <si>
    <t>Caribbean</t>
  </si>
  <si>
    <t>Central and South America</t>
  </si>
  <si>
    <t>Australia &amp; New Zealand</t>
  </si>
  <si>
    <t>Bangladesh</t>
  </si>
  <si>
    <t>Abu Dhabi</t>
  </si>
  <si>
    <t>Algeria</t>
  </si>
  <si>
    <t>Albania</t>
  </si>
  <si>
    <t>Andorra (Principality of)</t>
  </si>
  <si>
    <t>Canada</t>
  </si>
  <si>
    <t>Aruba</t>
  </si>
  <si>
    <t>Argentina</t>
  </si>
  <si>
    <t>Australia</t>
  </si>
  <si>
    <t>Brunei</t>
  </si>
  <si>
    <t>Bahrain</t>
  </si>
  <si>
    <t>Angola</t>
  </si>
  <si>
    <t>Armenia</t>
  </si>
  <si>
    <t>Austria</t>
  </si>
  <si>
    <t>United States</t>
  </si>
  <si>
    <t>Bahamas</t>
  </si>
  <si>
    <t>Belize</t>
  </si>
  <si>
    <t>Cook Islands</t>
  </si>
  <si>
    <t>Cambodia</t>
  </si>
  <si>
    <t>Iran</t>
  </si>
  <si>
    <t>Benin</t>
  </si>
  <si>
    <t>Azerbaijan</t>
  </si>
  <si>
    <t>Belgium</t>
  </si>
  <si>
    <t>Barbados</t>
  </si>
  <si>
    <t>Bolivia</t>
  </si>
  <si>
    <t>New Zealand</t>
  </si>
  <si>
    <t>China</t>
  </si>
  <si>
    <t>Iraq</t>
  </si>
  <si>
    <t>Botswana</t>
  </si>
  <si>
    <t>Belarus</t>
  </si>
  <si>
    <t>Cyprus</t>
  </si>
  <si>
    <t>Bermuda</t>
  </si>
  <si>
    <t>Brazil</t>
  </si>
  <si>
    <t>Fiji</t>
  </si>
  <si>
    <t>Israel</t>
  </si>
  <si>
    <t>Burkina Faso</t>
  </si>
  <si>
    <t>Bosnia and Herzegovina</t>
  </si>
  <si>
    <t>Denmark</t>
  </si>
  <si>
    <t>Cayman Islands</t>
  </si>
  <si>
    <t>Chile</t>
  </si>
  <si>
    <t>Hong Kong</t>
  </si>
  <si>
    <t>Jordan</t>
  </si>
  <si>
    <t>Cameroon</t>
  </si>
  <si>
    <t>Bulgaria</t>
  </si>
  <si>
    <t>Finland</t>
  </si>
  <si>
    <t>Cuba</t>
  </si>
  <si>
    <t>Colombia</t>
  </si>
  <si>
    <t>India</t>
  </si>
  <si>
    <t>Kuwait</t>
  </si>
  <si>
    <t>Cape Verde</t>
  </si>
  <si>
    <t>Croatia</t>
  </si>
  <si>
    <t>France</t>
  </si>
  <si>
    <t>Curacao</t>
  </si>
  <si>
    <t>Costa Rica</t>
  </si>
  <si>
    <t>Indonesia</t>
  </si>
  <si>
    <t>Lebanon</t>
  </si>
  <si>
    <t>Congo (Democratic Republic of)</t>
  </si>
  <si>
    <t>Czech Republic</t>
  </si>
  <si>
    <t>Germany</t>
  </si>
  <si>
    <t>Dominican Republic</t>
  </si>
  <si>
    <t>Ecuador</t>
  </si>
  <si>
    <t>Japan</t>
  </si>
  <si>
    <t>Oman</t>
  </si>
  <si>
    <t>Congo (Republic of)</t>
  </si>
  <si>
    <t>Estonia</t>
  </si>
  <si>
    <t>Greece</t>
  </si>
  <si>
    <t>Haiti</t>
  </si>
  <si>
    <t>El Salvador</t>
  </si>
  <si>
    <t>Korea</t>
  </si>
  <si>
    <t>Qatar</t>
  </si>
  <si>
    <t>Côte d'Ivoire</t>
  </si>
  <si>
    <t>Georgia</t>
  </si>
  <si>
    <t>Guernsey (States of)</t>
  </si>
  <si>
    <t>Jamaica</t>
  </si>
  <si>
    <t>Guatemala</t>
  </si>
  <si>
    <t>Korea, D.P.R.</t>
  </si>
  <si>
    <t>Ras Al Khaimah (Emirate of)</t>
  </si>
  <si>
    <t>Democratic Republic of Congo</t>
  </si>
  <si>
    <t>Hungary</t>
  </si>
  <si>
    <t>Iceland</t>
  </si>
  <si>
    <t>Montserrat</t>
  </si>
  <si>
    <t>Guyana</t>
  </si>
  <si>
    <t>Laos</t>
  </si>
  <si>
    <t>Saudi Arabia</t>
  </si>
  <si>
    <t>Egypt</t>
  </si>
  <si>
    <t>Kazakhstan</t>
  </si>
  <si>
    <t>Ireland</t>
  </si>
  <si>
    <t>St. Maarten</t>
  </si>
  <si>
    <t>Honduras</t>
  </si>
  <si>
    <t>Macao</t>
  </si>
  <si>
    <t>Sharjah</t>
  </si>
  <si>
    <t>Ethiopia</t>
  </si>
  <si>
    <t>Kyrgyzstan</t>
  </si>
  <si>
    <t>Isle of Man</t>
  </si>
  <si>
    <t>St. Vincent &amp; the Grenadines</t>
  </si>
  <si>
    <t>Mexico</t>
  </si>
  <si>
    <t>Malaysia</t>
  </si>
  <si>
    <t>Syria</t>
  </si>
  <si>
    <t>Gabon</t>
  </si>
  <si>
    <t>Latvia</t>
  </si>
  <si>
    <t>Italy</t>
  </si>
  <si>
    <t>Trinidad and Tobago</t>
  </si>
  <si>
    <t>Nicaragua</t>
  </si>
  <si>
    <t>Maldives</t>
  </si>
  <si>
    <t>United Arab Emirates</t>
  </si>
  <si>
    <t>Gambia</t>
  </si>
  <si>
    <t>Lithuania</t>
  </si>
  <si>
    <t>Jersey (States of)</t>
  </si>
  <si>
    <t>Turks and Caicos Islands</t>
  </si>
  <si>
    <t>Panama</t>
  </si>
  <si>
    <t>Mongolia</t>
  </si>
  <si>
    <t>Yemen, Republic</t>
  </si>
  <si>
    <t>Ghana</t>
  </si>
  <si>
    <t>Macedonia</t>
  </si>
  <si>
    <t>Liechtenstein</t>
  </si>
  <si>
    <t>Paraguay</t>
  </si>
  <si>
    <t>Myanmar</t>
  </si>
  <si>
    <t>Guinea</t>
  </si>
  <si>
    <t>Moldova</t>
  </si>
  <si>
    <t>Luxembourg</t>
  </si>
  <si>
    <t>Peru</t>
  </si>
  <si>
    <t>Nepal</t>
  </si>
  <si>
    <t>Guinea-Bissau</t>
  </si>
  <si>
    <t>Montenegro</t>
  </si>
  <si>
    <t>Malta</t>
  </si>
  <si>
    <t>Suriname</t>
  </si>
  <si>
    <t>Pakistan</t>
  </si>
  <si>
    <t>Kenya</t>
  </si>
  <si>
    <t>Poland</t>
  </si>
  <si>
    <t>Netherlands</t>
  </si>
  <si>
    <t>Uruguay</t>
  </si>
  <si>
    <t>Papua New Guinea</t>
  </si>
  <si>
    <t>Liberia</t>
  </si>
  <si>
    <t>Romania</t>
  </si>
  <si>
    <t>Norway</t>
  </si>
  <si>
    <t>Venezuela</t>
  </si>
  <si>
    <t>Philippines</t>
  </si>
  <si>
    <t>Libya</t>
  </si>
  <si>
    <t>Russia</t>
  </si>
  <si>
    <t>Portugal</t>
  </si>
  <si>
    <t>Singapore</t>
  </si>
  <si>
    <t>Madagascar</t>
  </si>
  <si>
    <t>Spain</t>
  </si>
  <si>
    <t>Solomon Islands</t>
  </si>
  <si>
    <t>Malawi</t>
  </si>
  <si>
    <t>Serbia</t>
  </si>
  <si>
    <t>Sweden</t>
  </si>
  <si>
    <t>Sri Lanka</t>
  </si>
  <si>
    <t>Mali</t>
  </si>
  <si>
    <t>Slovakia</t>
  </si>
  <si>
    <t>Switzerland</t>
  </si>
  <si>
    <t>Taiwan</t>
  </si>
  <si>
    <t>Mauritius</t>
  </si>
  <si>
    <t>Slovenia</t>
  </si>
  <si>
    <t>Turkey</t>
  </si>
  <si>
    <t>Thailand</t>
  </si>
  <si>
    <t>Morocco</t>
  </si>
  <si>
    <t>Tajikistan</t>
  </si>
  <si>
    <t>United Kingdom</t>
  </si>
  <si>
    <t>Vietnam</t>
  </si>
  <si>
    <t>Mozambique</t>
  </si>
  <si>
    <t>Turkmenistan</t>
  </si>
  <si>
    <t>Namibia</t>
  </si>
  <si>
    <t>Ukraine</t>
  </si>
  <si>
    <t>Niger</t>
  </si>
  <si>
    <t>Uzbekistan</t>
  </si>
  <si>
    <t>Nigeria</t>
  </si>
  <si>
    <t>Republic of the Congo</t>
  </si>
  <si>
    <t>Rwanda</t>
  </si>
  <si>
    <t>Senegal</t>
  </si>
  <si>
    <t>Sierra Leone</t>
  </si>
  <si>
    <t>Somalia</t>
  </si>
  <si>
    <t>South Africa</t>
  </si>
  <si>
    <t>Sudan</t>
  </si>
  <si>
    <t>Swaziland</t>
  </si>
  <si>
    <t>Tanzania</t>
  </si>
  <si>
    <t>Togo</t>
  </si>
  <si>
    <t>Tunisia</t>
  </si>
  <si>
    <t>Uganda</t>
  </si>
  <si>
    <t>Zambia</t>
  </si>
  <si>
    <t>Zimbabwe</t>
  </si>
  <si>
    <t>Mature Market ERP</t>
  </si>
  <si>
    <t>Country</t>
  </si>
  <si>
    <t>&lt; select the country of which you to the ERP of.</t>
  </si>
  <si>
    <t>Country Rating</t>
  </si>
  <si>
    <t>ERP Estimation for continents</t>
  </si>
  <si>
    <t>&lt; select the continent of which you to the ERP of.</t>
  </si>
  <si>
    <t>ERP Estimation for Frontier Countries (Not Rated)</t>
  </si>
  <si>
    <t>PRS Score</t>
  </si>
  <si>
    <t>Default Spread (PRS)</t>
  </si>
  <si>
    <t>Country Risk Premium (PRS)</t>
  </si>
  <si>
    <t>Equity Risk Premium (PRS)</t>
  </si>
  <si>
    <t>Country and Equity Risk Premiums</t>
  </si>
  <si>
    <t>Current Equity Risk Premium of Mature Market</t>
  </si>
  <si>
    <t>Multiplier to use on Default Spread for estimating Country Risk Premium</t>
  </si>
  <si>
    <t>&lt; Relavtive volatility on equity markets</t>
  </si>
  <si>
    <t>Region</t>
  </si>
  <si>
    <t>Moody's rating</t>
  </si>
  <si>
    <t>Rating-based Default Spread</t>
  </si>
  <si>
    <t>Total Equity Risk Premium1</t>
  </si>
  <si>
    <t>Total Equity Risk Premium2</t>
  </si>
  <si>
    <t>S&amp;P</t>
  </si>
  <si>
    <t>Moody's</t>
  </si>
  <si>
    <t>ERP estimation for Frontier Markets with no sovereign Ratings</t>
  </si>
  <si>
    <t>PRS Score Lookup Table</t>
  </si>
  <si>
    <t>Synthetic Rating</t>
  </si>
  <si>
    <t>Default Spread on PRS Score</t>
  </si>
  <si>
    <t>Country Risk Premium</t>
  </si>
  <si>
    <t>More than</t>
  </si>
  <si>
    <t>Less than</t>
  </si>
  <si>
    <t>31.12.2024</t>
  </si>
  <si>
    <t>30.12.2024</t>
  </si>
  <si>
    <t>27.12.2024</t>
  </si>
  <si>
    <t>23.12.2024</t>
  </si>
  <si>
    <t>20.12.2024</t>
  </si>
  <si>
    <t>19.12.2024</t>
  </si>
  <si>
    <t>18.12.2024</t>
  </si>
  <si>
    <t>17.12.2024</t>
  </si>
  <si>
    <t>16.12.2024</t>
  </si>
  <si>
    <t>13.12.2024</t>
  </si>
  <si>
    <t>12.12.2024</t>
  </si>
  <si>
    <t>11.12.2024</t>
  </si>
  <si>
    <t>10.12.2024</t>
  </si>
  <si>
    <t>09.12.2024</t>
  </si>
  <si>
    <t>06.12.2024</t>
  </si>
  <si>
    <t>05.12.2024</t>
  </si>
  <si>
    <t>04.12.2024</t>
  </si>
  <si>
    <t>03.12.2024</t>
  </si>
  <si>
    <t>02.12.2024</t>
  </si>
  <si>
    <t>29.11.2024</t>
  </si>
  <si>
    <t>27.11.2024</t>
  </si>
  <si>
    <t>26.11.2024</t>
  </si>
  <si>
    <t>25.11.2024</t>
  </si>
  <si>
    <t>22.11.2024</t>
  </si>
  <si>
    <t>21.11.2024</t>
  </si>
  <si>
    <t>20.11.2024</t>
  </si>
  <si>
    <t>19.11.2024</t>
  </si>
  <si>
    <t>18.11.2024</t>
  </si>
  <si>
    <t>15.11.2024</t>
  </si>
  <si>
    <t>14.11.2024</t>
  </si>
  <si>
    <t>13.11.2024</t>
  </si>
  <si>
    <t>12.11.2024</t>
  </si>
  <si>
    <t>08.11.2024</t>
  </si>
  <si>
    <t>07.11.2024</t>
  </si>
  <si>
    <t>06.11.2024</t>
  </si>
  <si>
    <t>05.11.2024</t>
  </si>
  <si>
    <t>04.11.2024</t>
  </si>
  <si>
    <t>01.11.2024</t>
  </si>
  <si>
    <t>31.10.2024</t>
  </si>
  <si>
    <t>30.10.2024</t>
  </si>
  <si>
    <t>29.10.2024</t>
  </si>
  <si>
    <t>28.10.2024</t>
  </si>
  <si>
    <t>25.10.2024</t>
  </si>
  <si>
    <t>24.10.2024</t>
  </si>
  <si>
    <t>23.10.2024</t>
  </si>
  <si>
    <t>22.10.2024</t>
  </si>
  <si>
    <t>21.10.2024</t>
  </si>
  <si>
    <t>18.10.2024</t>
  </si>
  <si>
    <t>17.10.2024</t>
  </si>
  <si>
    <t>16.10.2024</t>
  </si>
  <si>
    <t>15.10.2024</t>
  </si>
  <si>
    <t>11.10.2024</t>
  </si>
  <si>
    <t>10.10.2024</t>
  </si>
  <si>
    <t>09.10.2024</t>
  </si>
  <si>
    <t>08.10.2024</t>
  </si>
  <si>
    <t>07.10.2024</t>
  </si>
  <si>
    <t>04.10.2024</t>
  </si>
  <si>
    <t>03.10.2024</t>
  </si>
  <si>
    <t>02.10.2024</t>
  </si>
  <si>
    <t>01.10.2024</t>
  </si>
  <si>
    <t>30.09.2024</t>
  </si>
  <si>
    <t>27.09.2024</t>
  </si>
  <si>
    <t>26.09.2024</t>
  </si>
  <si>
    <t>25.09.2024</t>
  </si>
  <si>
    <t>24.09.2024</t>
  </si>
  <si>
    <t>23.09.2024</t>
  </si>
  <si>
    <t>20.09.2024</t>
  </si>
  <si>
    <t>19.09.2024</t>
  </si>
  <si>
    <t>18.09.2024</t>
  </si>
  <si>
    <t>17.09.2024</t>
  </si>
  <si>
    <t>16.09.2024</t>
  </si>
  <si>
    <t>13.09.2024</t>
  </si>
  <si>
    <t>12.09.2024</t>
  </si>
  <si>
    <t>11.09.2024</t>
  </si>
  <si>
    <t>10.09.2024</t>
  </si>
  <si>
    <t>09.09.2024</t>
  </si>
  <si>
    <t>06.09.2024</t>
  </si>
  <si>
    <t>05.09.2024</t>
  </si>
  <si>
    <t>04.09.2024</t>
  </si>
  <si>
    <t>03.09.2024</t>
  </si>
  <si>
    <t>31.08.2024</t>
  </si>
  <si>
    <t>30.08.2024</t>
  </si>
  <si>
    <t>29.08.2024</t>
  </si>
  <si>
    <t>28.08.2024</t>
  </si>
  <si>
    <t>27.08.2024</t>
  </si>
  <si>
    <t>26.08.2024</t>
  </si>
  <si>
    <t>23.08.2024</t>
  </si>
  <si>
    <t>22.08.2024</t>
  </si>
  <si>
    <t>21.08.2024</t>
  </si>
  <si>
    <t>20.08.2024</t>
  </si>
  <si>
    <t>19.08.2024</t>
  </si>
  <si>
    <t>16.08.2024</t>
  </si>
  <si>
    <t>15.08.2024</t>
  </si>
  <si>
    <t>14.08.2024</t>
  </si>
  <si>
    <t>13.08.2024</t>
  </si>
  <si>
    <t>12.08.2024</t>
  </si>
  <si>
    <t>09.08.2024</t>
  </si>
  <si>
    <t>08.08.2024</t>
  </si>
  <si>
    <t>07.08.2024</t>
  </si>
  <si>
    <t>06.08.2024</t>
  </si>
  <si>
    <t>05.08.2024</t>
  </si>
  <si>
    <t>02.08.2024</t>
  </si>
  <si>
    <t>01.08.2024</t>
  </si>
  <si>
    <t>31.07.2024</t>
  </si>
  <si>
    <t>30.07.2024</t>
  </si>
  <si>
    <t>29.07.2024</t>
  </si>
  <si>
    <t>26.07.2024</t>
  </si>
  <si>
    <t>25.07.2024</t>
  </si>
  <si>
    <t>24.07.2024</t>
  </si>
  <si>
    <t>23.07.2024</t>
  </si>
  <si>
    <t>22.07.2024</t>
  </si>
  <si>
    <t>19.07.2024</t>
  </si>
  <si>
    <t>18.07.2024</t>
  </si>
  <si>
    <t>17.07.2024</t>
  </si>
  <si>
    <t>16.07.2024</t>
  </si>
  <si>
    <t>15.07.2024</t>
  </si>
  <si>
    <t>12.07.2024</t>
  </si>
  <si>
    <t>11.07.2024</t>
  </si>
  <si>
    <t>10.07.2024</t>
  </si>
  <si>
    <t>09.07.2024</t>
  </si>
  <si>
    <t>08.07.2024</t>
  </si>
  <si>
    <t>05.07.2024</t>
  </si>
  <si>
    <t>03.07.2024</t>
  </si>
  <si>
    <t>02.07.2024</t>
  </si>
  <si>
    <t>01.07.2024</t>
  </si>
  <si>
    <t>30.06.2024</t>
  </si>
  <si>
    <t>28.06.2024</t>
  </si>
  <si>
    <t>27.06.2024</t>
  </si>
  <si>
    <t>26.06.2024</t>
  </si>
  <si>
    <t>25.06.2024</t>
  </si>
  <si>
    <t>24.06.2024</t>
  </si>
  <si>
    <t>21.06.2024</t>
  </si>
  <si>
    <t>20.06.2024</t>
  </si>
  <si>
    <t>18.06.2024</t>
  </si>
  <si>
    <t>17.06.2024</t>
  </si>
  <si>
    <t>14.06.2024</t>
  </si>
  <si>
    <t>13.06.2024</t>
  </si>
  <si>
    <t>12.06.2024</t>
  </si>
  <si>
    <t>11.06.2024</t>
  </si>
  <si>
    <t>10.06.2024</t>
  </si>
  <si>
    <t>07.06.2024</t>
  </si>
  <si>
    <t>06.06.2024</t>
  </si>
  <si>
    <t>05.06.2024</t>
  </si>
  <si>
    <t>04.06.2024</t>
  </si>
  <si>
    <t>03.06.2024</t>
  </si>
  <si>
    <t>31.05.2024</t>
  </si>
  <si>
    <t>30.05.2024</t>
  </si>
  <si>
    <t>29.05.2024</t>
  </si>
  <si>
    <t>28.05.2024</t>
  </si>
  <si>
    <t>24.05.2024</t>
  </si>
  <si>
    <t>23.05.2024</t>
  </si>
  <si>
    <t>22.05.2024</t>
  </si>
  <si>
    <t>21.05.2024</t>
  </si>
  <si>
    <t>20.05.2024</t>
  </si>
  <si>
    <t>17.05.2024</t>
  </si>
  <si>
    <t>16.05.2024</t>
  </si>
  <si>
    <t>15.05.2024</t>
  </si>
  <si>
    <t>14.05.2024</t>
  </si>
  <si>
    <t>13.05.2024</t>
  </si>
  <si>
    <t>10.05.2024</t>
  </si>
  <si>
    <t>09.05.2024</t>
  </si>
  <si>
    <t>08.05.2024</t>
  </si>
  <si>
    <t>07.05.2024</t>
  </si>
  <si>
    <t>06.05.2024</t>
  </si>
  <si>
    <t>03.05.2024</t>
  </si>
  <si>
    <t>02.05.2024</t>
  </si>
  <si>
    <t>01.05.2024</t>
  </si>
  <si>
    <t>30.04.2024</t>
  </si>
  <si>
    <t>29.04.2024</t>
  </si>
  <si>
    <t>26.04.2024</t>
  </si>
  <si>
    <t>25.04.2024</t>
  </si>
  <si>
    <t>24.04.2024</t>
  </si>
  <si>
    <t>23.04.2024</t>
  </si>
  <si>
    <t>22.04.2024</t>
  </si>
  <si>
    <t>19.04.2024</t>
  </si>
  <si>
    <t>18.04.2024</t>
  </si>
  <si>
    <t>17.04.2024</t>
  </si>
  <si>
    <t>16.04.2024</t>
  </si>
  <si>
    <t>15.04.2024</t>
  </si>
  <si>
    <t>12.04.2024</t>
  </si>
  <si>
    <t>11.04.2024</t>
  </si>
  <si>
    <t>10.04.2024</t>
  </si>
  <si>
    <t>09.04.2024</t>
  </si>
  <si>
    <t>08.04.2024</t>
  </si>
  <si>
    <t>05.04.2024</t>
  </si>
  <si>
    <t>04.04.2024</t>
  </si>
  <si>
    <t>03.04.2024</t>
  </si>
  <si>
    <t>02.04.2024</t>
  </si>
  <si>
    <t>31.03.2024</t>
  </si>
  <si>
    <t>28.03.2024</t>
  </si>
  <si>
    <t>27.03.2024</t>
  </si>
  <si>
    <t>26.03.2024</t>
  </si>
  <si>
    <t>25.03.2024</t>
  </si>
  <si>
    <t>22.03.2024</t>
  </si>
  <si>
    <t>21.03.2024</t>
  </si>
  <si>
    <t>20.03.2024</t>
  </si>
  <si>
    <t>19.03.2024</t>
  </si>
  <si>
    <t>18.03.2024</t>
  </si>
  <si>
    <t>15.03.2024</t>
  </si>
  <si>
    <t>14.03.2024</t>
  </si>
  <si>
    <t>13.03.2024</t>
  </si>
  <si>
    <t>12.03.2024</t>
  </si>
  <si>
    <t>11.03.2024</t>
  </si>
  <si>
    <t>08.03.2024</t>
  </si>
  <si>
    <t>07.03.2024</t>
  </si>
  <si>
    <t>06.03.2024</t>
  </si>
  <si>
    <t>05.03.2024</t>
  </si>
  <si>
    <t>04.03.2024</t>
  </si>
  <si>
    <t>01.03.2024</t>
  </si>
  <si>
    <t>29.02.2024</t>
  </si>
  <si>
    <t>28.02.2024</t>
  </si>
  <si>
    <t>27.02.2024</t>
  </si>
  <si>
    <t>26.02.2024</t>
  </si>
  <si>
    <t>23.02.2024</t>
  </si>
  <si>
    <t>22.02.2024</t>
  </si>
  <si>
    <t>21.02.2024</t>
  </si>
  <si>
    <t>20.02.2024</t>
  </si>
  <si>
    <t>16.02.2024</t>
  </si>
  <si>
    <t>15.02.2024</t>
  </si>
  <si>
    <t>14.02.2024</t>
  </si>
  <si>
    <t>13.02.2024</t>
  </si>
  <si>
    <t>12.02.2024</t>
  </si>
  <si>
    <t>09.02.2024</t>
  </si>
  <si>
    <t>08.02.2024</t>
  </si>
  <si>
    <t>07.02.2024</t>
  </si>
  <si>
    <t>06.02.2024</t>
  </si>
  <si>
    <t>05.02.2024</t>
  </si>
  <si>
    <t>02.02.2024</t>
  </si>
  <si>
    <t>01.02.2024</t>
  </si>
  <si>
    <t>31.01.2024</t>
  </si>
  <si>
    <t>30.01.2024</t>
  </si>
  <si>
    <t>29.01.2024</t>
  </si>
  <si>
    <t>26.01.2024</t>
  </si>
  <si>
    <t>25.01.2024</t>
  </si>
  <si>
    <t>24.01.2024</t>
  </si>
  <si>
    <t>23.01.2024</t>
  </si>
  <si>
    <t>22.01.2024</t>
  </si>
  <si>
    <t>19.01.2024</t>
  </si>
  <si>
    <t>18.01.2024</t>
  </si>
  <si>
    <t>17.01.2024</t>
  </si>
  <si>
    <t>16.01.2024</t>
  </si>
  <si>
    <t>12.01.2024</t>
  </si>
  <si>
    <t>11.01.2024</t>
  </si>
  <si>
    <t>10.01.2024</t>
  </si>
  <si>
    <t>09.01.2024</t>
  </si>
  <si>
    <t>08.01.2024</t>
  </si>
  <si>
    <t>05.01.2024</t>
  </si>
  <si>
    <t>04.01.2024</t>
  </si>
  <si>
    <t>03.01.2024</t>
  </si>
  <si>
    <t>02.01.2024</t>
  </si>
  <si>
    <t>31.12.2023</t>
  </si>
  <si>
    <t>29.12.2023</t>
  </si>
  <si>
    <t>28.12.2023</t>
  </si>
  <si>
    <t>27.12.2023</t>
  </si>
  <si>
    <t>22.12.2023</t>
  </si>
  <si>
    <t>21.12.2023</t>
  </si>
  <si>
    <t>20.12.2023</t>
  </si>
  <si>
    <t>19.12.2023</t>
  </si>
  <si>
    <t>18.12.2023</t>
  </si>
  <si>
    <t>15.12.2023</t>
  </si>
  <si>
    <t>14.12.2023</t>
  </si>
  <si>
    <t>13.12.2023</t>
  </si>
  <si>
    <t>12.12.2023</t>
  </si>
  <si>
    <t>11.12.2023</t>
  </si>
  <si>
    <t>08.12.2023</t>
  </si>
  <si>
    <t>07.12.2023</t>
  </si>
  <si>
    <t>06.12.2023</t>
  </si>
  <si>
    <t>05.12.2023</t>
  </si>
  <si>
    <t>04.12.2023</t>
  </si>
  <si>
    <t>01.12.2023</t>
  </si>
  <si>
    <t>30.11.2023</t>
  </si>
  <si>
    <t>29.11.2023</t>
  </si>
  <si>
    <t>28.11.2023</t>
  </si>
  <si>
    <t>27.11.2023</t>
  </si>
  <si>
    <t>24.11.2023</t>
  </si>
  <si>
    <t>22.11.2023</t>
  </si>
  <si>
    <t>21.11.2023</t>
  </si>
  <si>
    <t>20.11.2023</t>
  </si>
  <si>
    <t>17.11.2023</t>
  </si>
  <si>
    <t>16.11.2023</t>
  </si>
  <si>
    <t>15.11.2023</t>
  </si>
  <si>
    <t>14.11.2023</t>
  </si>
  <si>
    <t>13.11.2023</t>
  </si>
  <si>
    <t>10.11.2023</t>
  </si>
  <si>
    <t>09.11.2023</t>
  </si>
  <si>
    <t>08.11.2023</t>
  </si>
  <si>
    <t>07.11.2023</t>
  </si>
  <si>
    <t>06.11.2023</t>
  </si>
  <si>
    <t>03.11.2023</t>
  </si>
  <si>
    <t>02.11.2023</t>
  </si>
  <si>
    <t>01.11.2023</t>
  </si>
  <si>
    <t>31.10.2023</t>
  </si>
  <si>
    <t>30.10.2023</t>
  </si>
  <si>
    <t>27.10.2023</t>
  </si>
  <si>
    <t>26.10.2023</t>
  </si>
  <si>
    <t>25.10.2023</t>
  </si>
  <si>
    <t>24.10.2023</t>
  </si>
  <si>
    <t>23.10.2023</t>
  </si>
  <si>
    <t>20.10.2023</t>
  </si>
  <si>
    <t>19.10.2023</t>
  </si>
  <si>
    <t>18.10.2023</t>
  </si>
  <si>
    <t>16.10.2023</t>
  </si>
  <si>
    <t>13.10.2023</t>
  </si>
  <si>
    <t>12.10.2023</t>
  </si>
  <si>
    <t>11.10.2023</t>
  </si>
  <si>
    <t>10.10.2023</t>
  </si>
  <si>
    <t>06.10.2023</t>
  </si>
  <si>
    <t>05.10.2023</t>
  </si>
  <si>
    <t>04.10.2023</t>
  </si>
  <si>
    <t>03.10.2023</t>
  </si>
  <si>
    <t>02.10.2023</t>
  </si>
  <si>
    <t>30.09.2023</t>
  </si>
  <si>
    <t>29.09.2023</t>
  </si>
  <si>
    <t>28.09.2023</t>
  </si>
  <si>
    <t>27.09.2023</t>
  </si>
  <si>
    <t>26.09.2023</t>
  </si>
  <si>
    <t>25.09.2023</t>
  </si>
  <si>
    <t>22.09.2023</t>
  </si>
  <si>
    <t>21.09.2023</t>
  </si>
  <si>
    <t>20.09.2023</t>
  </si>
  <si>
    <t>19.09.2023</t>
  </si>
  <si>
    <t>18.09.2023</t>
  </si>
  <si>
    <t>15.09.2023</t>
  </si>
  <si>
    <t>14.09.2023</t>
  </si>
  <si>
    <t>13.09.2023</t>
  </si>
  <si>
    <t>12.09.2023</t>
  </si>
  <si>
    <t>11.09.2023</t>
  </si>
  <si>
    <t>08.09.2023</t>
  </si>
  <si>
    <t>07.09.2023</t>
  </si>
  <si>
    <t>06.09.2023</t>
  </si>
  <si>
    <t>05.09.2023</t>
  </si>
  <si>
    <t>01.09.2023</t>
  </si>
  <si>
    <t>31.08.2023</t>
  </si>
  <si>
    <t>30.08.2023</t>
  </si>
  <si>
    <t>29.08.2023</t>
  </si>
  <si>
    <t>28.08.2023</t>
  </si>
  <si>
    <t>25.08.2023</t>
  </si>
  <si>
    <t>24.08.2023</t>
  </si>
  <si>
    <t>23.08.2023</t>
  </si>
  <si>
    <t>22.08.2023</t>
  </si>
  <si>
    <t>21.08.2023</t>
  </si>
  <si>
    <t>18.08.2023</t>
  </si>
  <si>
    <t>17.08.2023</t>
  </si>
  <si>
    <t>16.08.2023</t>
  </si>
  <si>
    <t>15.08.2023</t>
  </si>
  <si>
    <t>14.08.2023</t>
  </si>
  <si>
    <t>11.08.2023</t>
  </si>
  <si>
    <t>10.08.2023</t>
  </si>
  <si>
    <t>09.08.2023</t>
  </si>
  <si>
    <t>08.08.2023</t>
  </si>
  <si>
    <t>07.08.2023</t>
  </si>
  <si>
    <t>04.08.2023</t>
  </si>
  <si>
    <t>03.08.2023</t>
  </si>
  <si>
    <t>02.08.2023</t>
  </si>
  <si>
    <t>01.08.2023</t>
  </si>
  <si>
    <t>31.07.2023</t>
  </si>
  <si>
    <t>28.07.2023</t>
  </si>
  <si>
    <t>27.07.2023</t>
  </si>
  <si>
    <t>26.07.2023</t>
  </si>
  <si>
    <t>25.07.2023</t>
  </si>
  <si>
    <t>24.07.2023</t>
  </si>
  <si>
    <t>21.07.2023</t>
  </si>
  <si>
    <t>20.07.2023</t>
  </si>
  <si>
    <t>19.07.2023</t>
  </si>
  <si>
    <t>18.07.2023</t>
  </si>
  <si>
    <t>17.07.2023</t>
  </si>
  <si>
    <t>14.07.2023</t>
  </si>
  <si>
    <t>13.07.2023</t>
  </si>
  <si>
    <t>12.07.2023</t>
  </si>
  <si>
    <t>11.07.2023</t>
  </si>
  <si>
    <t>10.07.2023</t>
  </si>
  <si>
    <t>07.07.2023</t>
  </si>
  <si>
    <t>06.07.2023</t>
  </si>
  <si>
    <t>05.07.2023</t>
  </si>
  <si>
    <t>03.07.2023</t>
  </si>
  <si>
    <t>30.06.2023</t>
  </si>
  <si>
    <t>29.06.2023</t>
  </si>
  <si>
    <t>28.06.2023</t>
  </si>
  <si>
    <t>27.06.2023</t>
  </si>
  <si>
    <t>26.06.2023</t>
  </si>
  <si>
    <t>23.06.2023</t>
  </si>
  <si>
    <t>22.06.2023</t>
  </si>
  <si>
    <t>21.06.2023</t>
  </si>
  <si>
    <t>20.06.2023</t>
  </si>
  <si>
    <t>16.06.2023</t>
  </si>
  <si>
    <t>15.06.2023</t>
  </si>
  <si>
    <t>14.06.2023</t>
  </si>
  <si>
    <t>13.06.2023</t>
  </si>
  <si>
    <t>12.06.2023</t>
  </si>
  <si>
    <t>09.06.2023</t>
  </si>
  <si>
    <t>08.06.2023</t>
  </si>
  <si>
    <t>07.06.2023</t>
  </si>
  <si>
    <t>06.06.2023</t>
  </si>
  <si>
    <t>05.06.2023</t>
  </si>
  <si>
    <t>02.06.2023</t>
  </si>
  <si>
    <t>01.06.2023</t>
  </si>
  <si>
    <t>31.05.2023</t>
  </si>
  <si>
    <t>30.05.2023</t>
  </si>
  <si>
    <t>26.05.2023</t>
  </si>
  <si>
    <t>25.05.2023</t>
  </si>
  <si>
    <t>24.05.2023</t>
  </si>
  <si>
    <t>23.05.2023</t>
  </si>
  <si>
    <t>22.05.2023</t>
  </si>
  <si>
    <t>19.05.2023</t>
  </si>
  <si>
    <t>18.05.2023</t>
  </si>
  <si>
    <t>17.05.2023</t>
  </si>
  <si>
    <t>16.05.2023</t>
  </si>
  <si>
    <t>15.05.2023</t>
  </si>
  <si>
    <t>12.05.2023</t>
  </si>
  <si>
    <t>11.05.2023</t>
  </si>
  <si>
    <t>10.05.2023</t>
  </si>
  <si>
    <t>09.05.2023</t>
  </si>
  <si>
    <t>08.05.2023</t>
  </si>
  <si>
    <t>05.05.2023</t>
  </si>
  <si>
    <t>04.05.2023</t>
  </si>
  <si>
    <t>03.05.2023</t>
  </si>
  <si>
    <t>02.05.2023</t>
  </si>
  <si>
    <t>01.05.2023</t>
  </si>
  <si>
    <t>30.04.2023</t>
  </si>
  <si>
    <t>28.04.2023</t>
  </si>
  <si>
    <t>27.04.2023</t>
  </si>
  <si>
    <t>26.04.2023</t>
  </si>
  <si>
    <t>25.04.2023</t>
  </si>
  <si>
    <t>24.04.2023</t>
  </si>
  <si>
    <t>21.04.2023</t>
  </si>
  <si>
    <t>20.04.2023</t>
  </si>
  <si>
    <t>19.04.2023</t>
  </si>
  <si>
    <t>18.04.2023</t>
  </si>
  <si>
    <t>17.04.2023</t>
  </si>
  <si>
    <t>14.04.2023</t>
  </si>
  <si>
    <t>13.04.2023</t>
  </si>
  <si>
    <t>12.04.2023</t>
  </si>
  <si>
    <t>11.04.2023</t>
  </si>
  <si>
    <t>07.04.2023</t>
  </si>
  <si>
    <t>06.04.2023</t>
  </si>
  <si>
    <t>05.04.2023</t>
  </si>
  <si>
    <t>04.04.2023</t>
  </si>
  <si>
    <t>03.04.2023</t>
  </si>
  <si>
    <t>31.03.2023</t>
  </si>
  <si>
    <t>30.03.2023</t>
  </si>
  <si>
    <t>29.03.2023</t>
  </si>
  <si>
    <t>28.03.2023</t>
  </si>
  <si>
    <t>27.03.2023</t>
  </si>
  <si>
    <t>24.03.2023</t>
  </si>
  <si>
    <t>23.03.2023</t>
  </si>
  <si>
    <t>22.03.2023</t>
  </si>
  <si>
    <t>21.03.2023</t>
  </si>
  <si>
    <t>20.03.2023</t>
  </si>
  <si>
    <t>17.03.2023</t>
  </si>
  <si>
    <t>16.03.2023</t>
  </si>
  <si>
    <t>15.03.2023</t>
  </si>
  <si>
    <t>14.03.2023</t>
  </si>
  <si>
    <t>13.03.2023</t>
  </si>
  <si>
    <t>10.03.2023</t>
  </si>
  <si>
    <t>09.03.2023</t>
  </si>
  <si>
    <t>08.03.2023</t>
  </si>
  <si>
    <t>07.03.2023</t>
  </si>
  <si>
    <t>06.03.2023</t>
  </si>
  <si>
    <t>03.03.2023</t>
  </si>
  <si>
    <t>02.03.2023</t>
  </si>
  <si>
    <t>01.03.2023</t>
  </si>
  <si>
    <t>28.02.2023</t>
  </si>
  <si>
    <t>27.02.2023</t>
  </si>
  <si>
    <t>24.02.2023</t>
  </si>
  <si>
    <t>23.02.2023</t>
  </si>
  <si>
    <t>22.02.2023</t>
  </si>
  <si>
    <t>21.02.2023</t>
  </si>
  <si>
    <t>17.02.2023</t>
  </si>
  <si>
    <t>16.02.2023</t>
  </si>
  <si>
    <t>15.02.2023</t>
  </si>
  <si>
    <t>14.02.2023</t>
  </si>
  <si>
    <t>13.02.2023</t>
  </si>
  <si>
    <t>10.02.2023</t>
  </si>
  <si>
    <t>09.02.2023</t>
  </si>
  <si>
    <t>08.02.2023</t>
  </si>
  <si>
    <t>07.02.2023</t>
  </si>
  <si>
    <t>06.02.2023</t>
  </si>
  <si>
    <t>03.02.2023</t>
  </si>
  <si>
    <t>02.02.2023</t>
  </si>
  <si>
    <t>01.02.2023</t>
  </si>
  <si>
    <t>31.01.2023</t>
  </si>
  <si>
    <t>30.01.2023</t>
  </si>
  <si>
    <t>27.01.2023</t>
  </si>
  <si>
    <t>26.01.2023</t>
  </si>
  <si>
    <t>25.01.2023</t>
  </si>
  <si>
    <t>24.01.2023</t>
  </si>
  <si>
    <t>23.01.2023</t>
  </si>
  <si>
    <t>20.01.2023</t>
  </si>
  <si>
    <t>19.01.2023</t>
  </si>
  <si>
    <t>18.01.2023</t>
  </si>
  <si>
    <t>17.01.2023</t>
  </si>
  <si>
    <t>13.01.2023</t>
  </si>
  <si>
    <t>12.01.2023</t>
  </si>
  <si>
    <t>11.01.2023</t>
  </si>
  <si>
    <t>10.01.2023</t>
  </si>
  <si>
    <t>09.01.2023</t>
  </si>
  <si>
    <t>06.01.2023</t>
  </si>
  <si>
    <t>05.01.2023</t>
  </si>
  <si>
    <t>04.01.2023</t>
  </si>
  <si>
    <t>03.01.2023</t>
  </si>
  <si>
    <t>31.12.2022</t>
  </si>
  <si>
    <t>30.12.2022</t>
  </si>
  <si>
    <t>29.12.2022</t>
  </si>
  <si>
    <t>28.12.2022</t>
  </si>
  <si>
    <t>27.12.2022</t>
  </si>
  <si>
    <t>23.12.2022</t>
  </si>
  <si>
    <t>22.12.2022</t>
  </si>
  <si>
    <t>21.12.2022</t>
  </si>
  <si>
    <t>20.12.2022</t>
  </si>
  <si>
    <t>19.12.2022</t>
  </si>
  <si>
    <t>16.12.2022</t>
  </si>
  <si>
    <t>15.12.2022</t>
  </si>
  <si>
    <t>14.12.2022</t>
  </si>
  <si>
    <t>13.12.2022</t>
  </si>
  <si>
    <t>12.12.2022</t>
  </si>
  <si>
    <t>09.12.2022</t>
  </si>
  <si>
    <t>08.12.2022</t>
  </si>
  <si>
    <t>07.12.2022</t>
  </si>
  <si>
    <t>06.12.2022</t>
  </si>
  <si>
    <t>05.12.2022</t>
  </si>
  <si>
    <t>02.12.2022</t>
  </si>
  <si>
    <t>01.12.2022</t>
  </si>
  <si>
    <t>30.11.2022</t>
  </si>
  <si>
    <t>29.11.2022</t>
  </si>
  <si>
    <t>28.11.2022</t>
  </si>
  <si>
    <t>25.11.2022</t>
  </si>
  <si>
    <t>23.11.2022</t>
  </si>
  <si>
    <t>22.11.2022</t>
  </si>
  <si>
    <t>21.11.2022</t>
  </si>
  <si>
    <t>18.11.2022</t>
  </si>
  <si>
    <t>17.11.2022</t>
  </si>
  <si>
    <t>16.11.2022</t>
  </si>
  <si>
    <t>15.11.2022</t>
  </si>
  <si>
    <t>14.11.2022</t>
  </si>
  <si>
    <t>10.11.2022</t>
  </si>
  <si>
    <t>09.11.2022</t>
  </si>
  <si>
    <t>08.11.2022</t>
  </si>
  <si>
    <t>07.11.2022</t>
  </si>
  <si>
    <t>04.11.2022</t>
  </si>
  <si>
    <t>03.11.2022</t>
  </si>
  <si>
    <t>02.11.2022</t>
  </si>
  <si>
    <t>01.11.2022</t>
  </si>
  <si>
    <t>31.10.2022</t>
  </si>
  <si>
    <t>28.10.2022</t>
  </si>
  <si>
    <t>27.10.2022</t>
  </si>
  <si>
    <t>26.10.2022</t>
  </si>
  <si>
    <t>25.10.2022</t>
  </si>
  <si>
    <t>24.10.2022</t>
  </si>
  <si>
    <t>21.10.2022</t>
  </si>
  <si>
    <t>20.10.2022</t>
  </si>
  <si>
    <t>19.10.2022</t>
  </si>
  <si>
    <t>18.10.2022</t>
  </si>
  <si>
    <t>17.10.2022</t>
  </si>
  <si>
    <t>14.10.2022</t>
  </si>
  <si>
    <t>13.10.2022</t>
  </si>
  <si>
    <t>12.10.2022</t>
  </si>
  <si>
    <t>11.10.2022</t>
  </si>
  <si>
    <t>07.10.2022</t>
  </si>
  <si>
    <t>06.10.2022</t>
  </si>
  <si>
    <t>05.10.2022</t>
  </si>
  <si>
    <t>04.10.2022</t>
  </si>
  <si>
    <t>03.10.2022</t>
  </si>
  <si>
    <t>30.09.2022</t>
  </si>
  <si>
    <t>29.09.2022</t>
  </si>
  <si>
    <t>28.09.2022</t>
  </si>
  <si>
    <t>27.09.2022</t>
  </si>
  <si>
    <t>26.09.2022</t>
  </si>
  <si>
    <t>23.09.2022</t>
  </si>
  <si>
    <t>22.09.2022</t>
  </si>
  <si>
    <t>21.09.2022</t>
  </si>
  <si>
    <t>20.09.2022</t>
  </si>
  <si>
    <t>19.09.2022</t>
  </si>
  <si>
    <t>16.09.2022</t>
  </si>
  <si>
    <t>15.09.2022</t>
  </si>
  <si>
    <t>14.09.2022</t>
  </si>
  <si>
    <t>13.09.2022</t>
  </si>
  <si>
    <t>12.09.2022</t>
  </si>
  <si>
    <t>09.09.2022</t>
  </si>
  <si>
    <t>08.09.2022</t>
  </si>
  <si>
    <t>07.09.2022</t>
  </si>
  <si>
    <t>06.09.2022</t>
  </si>
  <si>
    <t>02.09.2022</t>
  </si>
  <si>
    <t>01.09.2022</t>
  </si>
  <si>
    <t>31.08.2022</t>
  </si>
  <si>
    <t>30.08.2022</t>
  </si>
  <si>
    <t>29.08.2022</t>
  </si>
  <si>
    <t>26.08.2022</t>
  </si>
  <si>
    <t>25.08.2022</t>
  </si>
  <si>
    <t>24.08.2022</t>
  </si>
  <si>
    <t>23.08.2022</t>
  </si>
  <si>
    <t>22.08.2022</t>
  </si>
  <si>
    <t>19.08.2022</t>
  </si>
  <si>
    <t>18.08.2022</t>
  </si>
  <si>
    <t>17.08.2022</t>
  </si>
  <si>
    <t>16.08.2022</t>
  </si>
  <si>
    <t>15.08.2022</t>
  </si>
  <si>
    <t>12.08.2022</t>
  </si>
  <si>
    <t>11.08.2022</t>
  </si>
  <si>
    <t>10.08.2022</t>
  </si>
  <si>
    <t>09.08.2022</t>
  </si>
  <si>
    <t>08.08.2022</t>
  </si>
  <si>
    <t>05.08.2022</t>
  </si>
  <si>
    <t>04.08.2022</t>
  </si>
  <si>
    <t>03.08.2022</t>
  </si>
  <si>
    <t>02.08.2022</t>
  </si>
  <si>
    <t>01.08.2022</t>
  </si>
  <si>
    <t>31.07.2022</t>
  </si>
  <si>
    <t>29.07.2022</t>
  </si>
  <si>
    <t>28.07.2022</t>
  </si>
  <si>
    <t>27.07.2022</t>
  </si>
  <si>
    <t>26.07.2022</t>
  </si>
  <si>
    <t>25.07.2022</t>
  </si>
  <si>
    <t>22.07.2022</t>
  </si>
  <si>
    <t>21.07.2022</t>
  </si>
  <si>
    <t>20.07.2022</t>
  </si>
  <si>
    <t>19.07.2022</t>
  </si>
  <si>
    <t>18.07.2022</t>
  </si>
  <si>
    <t>15.07.2022</t>
  </si>
  <si>
    <t>14.07.2022</t>
  </si>
  <si>
    <t>13.07.2022</t>
  </si>
  <si>
    <t>12.07.2022</t>
  </si>
  <si>
    <t>11.07.2022</t>
  </si>
  <si>
    <t>08.07.2022</t>
  </si>
  <si>
    <t>07.07.2022</t>
  </si>
  <si>
    <t>06.07.2022</t>
  </si>
  <si>
    <t>05.07.2022</t>
  </si>
  <si>
    <t>01.07.2022</t>
  </si>
  <si>
    <t>30.06.2022</t>
  </si>
  <si>
    <t>29.06.2022</t>
  </si>
  <si>
    <t>28.06.2022</t>
  </si>
  <si>
    <t>27.06.2022</t>
  </si>
  <si>
    <t>24.06.2022</t>
  </si>
  <si>
    <t>23.06.2022</t>
  </si>
  <si>
    <t>22.06.2022</t>
  </si>
  <si>
    <t>21.06.2022</t>
  </si>
  <si>
    <t>17.06.2022</t>
  </si>
  <si>
    <t>16.06.2022</t>
  </si>
  <si>
    <t>15.06.2022</t>
  </si>
  <si>
    <t>14.06.2022</t>
  </si>
  <si>
    <t>13.06.2022</t>
  </si>
  <si>
    <t>10.06.2022</t>
  </si>
  <si>
    <t>09.06.2022</t>
  </si>
  <si>
    <t>08.06.2022</t>
  </si>
  <si>
    <t>07.06.2022</t>
  </si>
  <si>
    <t>06.06.2022</t>
  </si>
  <si>
    <t>03.06.2022</t>
  </si>
  <si>
    <t>02.06.2022</t>
  </si>
  <si>
    <t>01.06.2022</t>
  </si>
  <si>
    <t>31.05.2022</t>
  </si>
  <si>
    <t>27.05.2022</t>
  </si>
  <si>
    <t>26.05.2022</t>
  </si>
  <si>
    <t>25.05.2022</t>
  </si>
  <si>
    <t>24.05.2022</t>
  </si>
  <si>
    <t>23.05.2022</t>
  </si>
  <si>
    <t>20.05.2022</t>
  </si>
  <si>
    <t>19.05.2022</t>
  </si>
  <si>
    <t>18.05.2022</t>
  </si>
  <si>
    <t>17.05.2022</t>
  </si>
  <si>
    <t>16.05.2022</t>
  </si>
  <si>
    <t>13.05.2022</t>
  </si>
  <si>
    <t>12.05.2022</t>
  </si>
  <si>
    <t>11.05.2022</t>
  </si>
  <si>
    <t>10.05.2022</t>
  </si>
  <si>
    <t>09.05.2022</t>
  </si>
  <si>
    <t>06.05.2022</t>
  </si>
  <si>
    <t>05.05.2022</t>
  </si>
  <si>
    <t>04.05.2022</t>
  </si>
  <si>
    <t>03.05.2022</t>
  </si>
  <si>
    <t>02.05.2022</t>
  </si>
  <si>
    <t>30.04.2022</t>
  </si>
  <si>
    <t>29.04.2022</t>
  </si>
  <si>
    <t>28.04.2022</t>
  </si>
  <si>
    <t>27.04.2022</t>
  </si>
  <si>
    <t>26.04.2022</t>
  </si>
  <si>
    <t>25.04.2022</t>
  </si>
  <si>
    <t>22.04.2022</t>
  </si>
  <si>
    <t>21.04.2022</t>
  </si>
  <si>
    <t>20.04.2022</t>
  </si>
  <si>
    <t>19.04.2022</t>
  </si>
  <si>
    <t>14.04.2022</t>
  </si>
  <si>
    <t>13.04.2022</t>
  </si>
  <si>
    <t>12.04.2022</t>
  </si>
  <si>
    <t>11.04.2022</t>
  </si>
  <si>
    <t>08.04.2022</t>
  </si>
  <si>
    <t>07.04.2022</t>
  </si>
  <si>
    <t>06.04.2022</t>
  </si>
  <si>
    <t>05.04.2022</t>
  </si>
  <si>
    <t>04.04.2022</t>
  </si>
  <si>
    <t>01.04.2022</t>
  </si>
  <si>
    <t>31.03.2022</t>
  </si>
  <si>
    <t>30.03.2022</t>
  </si>
  <si>
    <t>29.03.2022</t>
  </si>
  <si>
    <t>28.03.2022</t>
  </si>
  <si>
    <t>25.03.2022</t>
  </si>
  <si>
    <t>24.03.2022</t>
  </si>
  <si>
    <t>23.03.2022</t>
  </si>
  <si>
    <t>22.03.2022</t>
  </si>
  <si>
    <t>21.03.2022</t>
  </si>
  <si>
    <t>18.03.2022</t>
  </si>
  <si>
    <t>17.03.2022</t>
  </si>
  <si>
    <t>16.03.2022</t>
  </si>
  <si>
    <t>15.03.2022</t>
  </si>
  <si>
    <t>14.03.2022</t>
  </si>
  <si>
    <t>11.03.2022</t>
  </si>
  <si>
    <t>10.03.2022</t>
  </si>
  <si>
    <t>09.03.2022</t>
  </si>
  <si>
    <t>08.03.2022</t>
  </si>
  <si>
    <t>07.03.2022</t>
  </si>
  <si>
    <t>04.03.2022</t>
  </si>
  <si>
    <t>03.03.2022</t>
  </si>
  <si>
    <t>02.03.2022</t>
  </si>
  <si>
    <t>01.03.2022</t>
  </si>
  <si>
    <t>28.02.2022</t>
  </si>
  <si>
    <t>25.02.2022</t>
  </si>
  <si>
    <t>24.02.2022</t>
  </si>
  <si>
    <t>23.02.2022</t>
  </si>
  <si>
    <t>22.02.2022</t>
  </si>
  <si>
    <t>18.02.2022</t>
  </si>
  <si>
    <t>17.02.2022</t>
  </si>
  <si>
    <t>16.02.2022</t>
  </si>
  <si>
    <t>15.02.2022</t>
  </si>
  <si>
    <t>14.02.2022</t>
  </si>
  <si>
    <t>11.02.2022</t>
  </si>
  <si>
    <t>10.02.2022</t>
  </si>
  <si>
    <t>09.02.2022</t>
  </si>
  <si>
    <t>08.02.2022</t>
  </si>
  <si>
    <t>07.02.2022</t>
  </si>
  <si>
    <t>04.02.2022</t>
  </si>
  <si>
    <t>03.02.2022</t>
  </si>
  <si>
    <t>02.02.2022</t>
  </si>
  <si>
    <t>01.02.2022</t>
  </si>
  <si>
    <t>31.01.2022</t>
  </si>
  <si>
    <t>28.01.2022</t>
  </si>
  <si>
    <t>27.01.2022</t>
  </si>
  <si>
    <t>26.01.2022</t>
  </si>
  <si>
    <t>25.01.2022</t>
  </si>
  <si>
    <t>24.01.2022</t>
  </si>
  <si>
    <t>21.01.2022</t>
  </si>
  <si>
    <t>20.01.2022</t>
  </si>
  <si>
    <t>19.01.2022</t>
  </si>
  <si>
    <t>18.01.2022</t>
  </si>
  <si>
    <t>14.01.2022</t>
  </si>
  <si>
    <t>13.01.2022</t>
  </si>
  <si>
    <t>12.01.2022</t>
  </si>
  <si>
    <t>11.01.2022</t>
  </si>
  <si>
    <t>10.01.2022</t>
  </si>
  <si>
    <t>07.01.2022</t>
  </si>
  <si>
    <t>06.01.2022</t>
  </si>
  <si>
    <t>05.01.2022</t>
  </si>
  <si>
    <t>04.01.2022</t>
  </si>
  <si>
    <t>03.01.2022</t>
  </si>
  <si>
    <t>31.12.2021</t>
  </si>
  <si>
    <t>30.12.2021</t>
  </si>
  <si>
    <t>29.12.2021</t>
  </si>
  <si>
    <t>28.12.2021</t>
  </si>
  <si>
    <t>27.12.2021</t>
  </si>
  <si>
    <t>23.12.2021</t>
  </si>
  <si>
    <t>22.12.2021</t>
  </si>
  <si>
    <t>21.12.2021</t>
  </si>
  <si>
    <t>20.12.2021</t>
  </si>
  <si>
    <t>17.12.2021</t>
  </si>
  <si>
    <t>16.12.2021</t>
  </si>
  <si>
    <t>15.12.2021</t>
  </si>
  <si>
    <t>14.12.2021</t>
  </si>
  <si>
    <t>13.12.2021</t>
  </si>
  <si>
    <t>10.12.2021</t>
  </si>
  <si>
    <t>09.12.2021</t>
  </si>
  <si>
    <t>08.12.2021</t>
  </si>
  <si>
    <t>07.12.2021</t>
  </si>
  <si>
    <t>06.12.2021</t>
  </si>
  <si>
    <t>03.12.2021</t>
  </si>
  <si>
    <t>02.12.2021</t>
  </si>
  <si>
    <t>01.12.2021</t>
  </si>
  <si>
    <t>30.11.2021</t>
  </si>
  <si>
    <t>29.11.2021</t>
  </si>
  <si>
    <t>26.11.2021</t>
  </si>
  <si>
    <t>24.11.2021</t>
  </si>
  <si>
    <t>23.11.2021</t>
  </si>
  <si>
    <t>22.11.2021</t>
  </si>
  <si>
    <t>19.11.2021</t>
  </si>
  <si>
    <t>18.11.2021</t>
  </si>
  <si>
    <t>17.11.2021</t>
  </si>
  <si>
    <t>16.11.2021</t>
  </si>
  <si>
    <t>15.11.2021</t>
  </si>
  <si>
    <t>12.11.2021</t>
  </si>
  <si>
    <t>10.11.2021</t>
  </si>
  <si>
    <t>09.11.2021</t>
  </si>
  <si>
    <t>08.11.2021</t>
  </si>
  <si>
    <t>05.11.2021</t>
  </si>
  <si>
    <t>04.11.2021</t>
  </si>
  <si>
    <t>03.11.2021</t>
  </si>
  <si>
    <t>02.11.2021</t>
  </si>
  <si>
    <t>01.11.2021</t>
  </si>
  <si>
    <t>31.10.2021</t>
  </si>
  <si>
    <t>29.10.2021</t>
  </si>
  <si>
    <t>28.10.2021</t>
  </si>
  <si>
    <t>27.10.2021</t>
  </si>
  <si>
    <t>26.10.2021</t>
  </si>
  <si>
    <t>25.10.2021</t>
  </si>
  <si>
    <t>22.10.2021</t>
  </si>
  <si>
    <t>21.10.2021</t>
  </si>
  <si>
    <t>20.10.2021</t>
  </si>
  <si>
    <t>19.10.2021</t>
  </si>
  <si>
    <t>18.10.2021</t>
  </si>
  <si>
    <t>15.10.2021</t>
  </si>
  <si>
    <t>14.10.2021</t>
  </si>
  <si>
    <t>13.10.2021</t>
  </si>
  <si>
    <t>12.10.2021</t>
  </si>
  <si>
    <t>08.10.2021</t>
  </si>
  <si>
    <t>07.10.2021</t>
  </si>
  <si>
    <t>06.10.2021</t>
  </si>
  <si>
    <t>05.10.2021</t>
  </si>
  <si>
    <t>04.10.2021</t>
  </si>
  <si>
    <t>01.10.2021</t>
  </si>
  <si>
    <t>30.09.2021</t>
  </si>
  <si>
    <t>29.09.2021</t>
  </si>
  <si>
    <t>28.09.2021</t>
  </si>
  <si>
    <t>27.09.2021</t>
  </si>
  <si>
    <t>24.09.2021</t>
  </si>
  <si>
    <t>23.09.2021</t>
  </si>
  <si>
    <t>22.09.2021</t>
  </si>
  <si>
    <t>21.09.2021</t>
  </si>
  <si>
    <t>20.09.2021</t>
  </si>
  <si>
    <t>17.09.2021</t>
  </si>
  <si>
    <t>16.09.2021</t>
  </si>
  <si>
    <t>15.09.2021</t>
  </si>
  <si>
    <t>14.09.2021</t>
  </si>
  <si>
    <t>13.09.2021</t>
  </si>
  <si>
    <t>10.09.2021</t>
  </si>
  <si>
    <t>09.09.2021</t>
  </si>
  <si>
    <t>08.09.2021</t>
  </si>
  <si>
    <t>07.09.2021</t>
  </si>
  <si>
    <t>03.09.2021</t>
  </si>
  <si>
    <t>02.09.2021</t>
  </si>
  <si>
    <t>01.09.2021</t>
  </si>
  <si>
    <t>31.08.2021</t>
  </si>
  <si>
    <t>30.08.2021</t>
  </si>
  <si>
    <t>27.08.2021</t>
  </si>
  <si>
    <t>26.08.2021</t>
  </si>
  <si>
    <t>25.08.2021</t>
  </si>
  <si>
    <t>24.08.2021</t>
  </si>
  <si>
    <t>23.08.2021</t>
  </si>
  <si>
    <t>20.08.2021</t>
  </si>
  <si>
    <t>19.08.2021</t>
  </si>
  <si>
    <t>18.08.2021</t>
  </si>
  <si>
    <t>17.08.2021</t>
  </si>
  <si>
    <t>16.08.2021</t>
  </si>
  <si>
    <t>13.08.2021</t>
  </si>
  <si>
    <t>12.08.2021</t>
  </si>
  <si>
    <t>11.08.2021</t>
  </si>
  <si>
    <t>10.08.2021</t>
  </si>
  <si>
    <t>09.08.2021</t>
  </si>
  <si>
    <t>06.08.2021</t>
  </si>
  <si>
    <t>05.08.2021</t>
  </si>
  <si>
    <t>04.08.2021</t>
  </si>
  <si>
    <t>03.08.2021</t>
  </si>
  <si>
    <t>02.08.2021</t>
  </si>
  <si>
    <t>31.07.2021</t>
  </si>
  <si>
    <t>30.07.2021</t>
  </si>
  <si>
    <t>29.07.2021</t>
  </si>
  <si>
    <t>28.07.2021</t>
  </si>
  <si>
    <t>27.07.2021</t>
  </si>
  <si>
    <t>26.07.2021</t>
  </si>
  <si>
    <t>23.07.2021</t>
  </si>
  <si>
    <t>22.07.2021</t>
  </si>
  <si>
    <t>21.07.2021</t>
  </si>
  <si>
    <t>20.07.2021</t>
  </si>
  <si>
    <t>19.07.2021</t>
  </si>
  <si>
    <t>16.07.2021</t>
  </si>
  <si>
    <t>15.07.2021</t>
  </si>
  <si>
    <t>14.07.2021</t>
  </si>
  <si>
    <t>13.07.2021</t>
  </si>
  <si>
    <t>12.07.2021</t>
  </si>
  <si>
    <t>09.07.2021</t>
  </si>
  <si>
    <t>08.07.2021</t>
  </si>
  <si>
    <t>07.07.2021</t>
  </si>
  <si>
    <t>06.07.2021</t>
  </si>
  <si>
    <t>02.07.2021</t>
  </si>
  <si>
    <t>01.07.2021</t>
  </si>
  <si>
    <t>30.06.2021</t>
  </si>
  <si>
    <t>29.06.2021</t>
  </si>
  <si>
    <t>28.06.2021</t>
  </si>
  <si>
    <t>25.06.2021</t>
  </si>
  <si>
    <t>24.06.2021</t>
  </si>
  <si>
    <t>23.06.2021</t>
  </si>
  <si>
    <t>22.06.2021</t>
  </si>
  <si>
    <t>21.06.2021</t>
  </si>
  <si>
    <t>18.06.2021</t>
  </si>
  <si>
    <t>17.06.2021</t>
  </si>
  <si>
    <t>16.06.2021</t>
  </si>
  <si>
    <t>15.06.2021</t>
  </si>
  <si>
    <t>14.06.2021</t>
  </si>
  <si>
    <t>11.06.2021</t>
  </si>
  <si>
    <t>10.06.2021</t>
  </si>
  <si>
    <t>09.06.2021</t>
  </si>
  <si>
    <t>08.06.2021</t>
  </si>
  <si>
    <t>07.06.2021</t>
  </si>
  <si>
    <t>04.06.2021</t>
  </si>
  <si>
    <t>03.06.2021</t>
  </si>
  <si>
    <t>02.06.2021</t>
  </si>
  <si>
    <t>01.06.2021</t>
  </si>
  <si>
    <t>31.05.2021</t>
  </si>
  <si>
    <t>28.05.2021</t>
  </si>
  <si>
    <t>27.05.2021</t>
  </si>
  <si>
    <t>26.05.2021</t>
  </si>
  <si>
    <t>25.05.2021</t>
  </si>
  <si>
    <t>24.05.2021</t>
  </si>
  <si>
    <t>21.05.2021</t>
  </si>
  <si>
    <t>20.05.2021</t>
  </si>
  <si>
    <t>19.05.2021</t>
  </si>
  <si>
    <t>18.05.2021</t>
  </si>
  <si>
    <t>17.05.2021</t>
  </si>
  <si>
    <t>14.05.2021</t>
  </si>
  <si>
    <t>13.05.2021</t>
  </si>
  <si>
    <t>12.05.2021</t>
  </si>
  <si>
    <t>11.05.2021</t>
  </si>
  <si>
    <t>10.05.2021</t>
  </si>
  <si>
    <t>07.05.2021</t>
  </si>
  <si>
    <t>06.05.2021</t>
  </si>
  <si>
    <t>05.05.2021</t>
  </si>
  <si>
    <t>04.05.2021</t>
  </si>
  <si>
    <t>03.05.2021</t>
  </si>
  <si>
    <t>30.04.2021</t>
  </si>
  <si>
    <t>29.04.2021</t>
  </si>
  <si>
    <t>28.04.2021</t>
  </si>
  <si>
    <t>27.04.2021</t>
  </si>
  <si>
    <t>26.04.2021</t>
  </si>
  <si>
    <t>23.04.2021</t>
  </si>
  <si>
    <t>22.04.2021</t>
  </si>
  <si>
    <t>21.04.2021</t>
  </si>
  <si>
    <t>20.04.2021</t>
  </si>
  <si>
    <t>19.04.2021</t>
  </si>
  <si>
    <t>16.04.2021</t>
  </si>
  <si>
    <t>15.04.2021</t>
  </si>
  <si>
    <t>14.04.2021</t>
  </si>
  <si>
    <t>13.04.2021</t>
  </si>
  <si>
    <t>12.04.2021</t>
  </si>
  <si>
    <t>09.04.2021</t>
  </si>
  <si>
    <t>08.04.2021</t>
  </si>
  <si>
    <t>07.04.2021</t>
  </si>
  <si>
    <t>06.04.2021</t>
  </si>
  <si>
    <t>02.04.2021</t>
  </si>
  <si>
    <t>01.04.2021</t>
  </si>
  <si>
    <t>31.03.2021</t>
  </si>
  <si>
    <t>30.03.2021</t>
  </si>
  <si>
    <t>29.03.2021</t>
  </si>
  <si>
    <t>26.03.2021</t>
  </si>
  <si>
    <t>25.03.2021</t>
  </si>
  <si>
    <t>24.03.2021</t>
  </si>
  <si>
    <t>23.03.2021</t>
  </si>
  <si>
    <t>22.03.2021</t>
  </si>
  <si>
    <t>19.03.2021</t>
  </si>
  <si>
    <t>18.03.2021</t>
  </si>
  <si>
    <t>17.03.2021</t>
  </si>
  <si>
    <t>16.03.2021</t>
  </si>
  <si>
    <t>15.03.2021</t>
  </si>
  <si>
    <t>12.03.2021</t>
  </si>
  <si>
    <t>11.03.2021</t>
  </si>
  <si>
    <t>10.03.2021</t>
  </si>
  <si>
    <t>09.03.2021</t>
  </si>
  <si>
    <t>08.03.2021</t>
  </si>
  <si>
    <t>05.03.2021</t>
  </si>
  <si>
    <t>04.03.2021</t>
  </si>
  <si>
    <t>03.03.2021</t>
  </si>
  <si>
    <t>02.03.2021</t>
  </si>
  <si>
    <t>01.03.2021</t>
  </si>
  <si>
    <t>28.02.2021</t>
  </si>
  <si>
    <t>26.02.2021</t>
  </si>
  <si>
    <t>25.02.2021</t>
  </si>
  <si>
    <t>24.02.2021</t>
  </si>
  <si>
    <t>23.02.2021</t>
  </si>
  <si>
    <t>22.02.2021</t>
  </si>
  <si>
    <t>19.02.2021</t>
  </si>
  <si>
    <t>18.02.2021</t>
  </si>
  <si>
    <t>17.02.2021</t>
  </si>
  <si>
    <t>16.02.2021</t>
  </si>
  <si>
    <t>12.02.2021</t>
  </si>
  <si>
    <t>11.02.2021</t>
  </si>
  <si>
    <t>10.02.2021</t>
  </si>
  <si>
    <t>09.02.2021</t>
  </si>
  <si>
    <t>08.02.2021</t>
  </si>
  <si>
    <t>05.02.2021</t>
  </si>
  <si>
    <t>04.02.2021</t>
  </si>
  <si>
    <t>03.02.2021</t>
  </si>
  <si>
    <t>02.02.2021</t>
  </si>
  <si>
    <t>01.02.2021</t>
  </si>
  <si>
    <t>31.01.2021</t>
  </si>
  <si>
    <t>29.01.2021</t>
  </si>
  <si>
    <t>28.01.2021</t>
  </si>
  <si>
    <t>27.01.2021</t>
  </si>
  <si>
    <t>26.01.2021</t>
  </si>
  <si>
    <t>25.01.2021</t>
  </si>
  <si>
    <t>22.01.2021</t>
  </si>
  <si>
    <t>21.01.2021</t>
  </si>
  <si>
    <t>20.01.2021</t>
  </si>
  <si>
    <t>19.01.2021</t>
  </si>
  <si>
    <t>15.01.2021</t>
  </si>
  <si>
    <t>14.01.2021</t>
  </si>
  <si>
    <t>13.01.2021</t>
  </si>
  <si>
    <t>12.01.2021</t>
  </si>
  <si>
    <t>11.01.2021</t>
  </si>
  <si>
    <t>08.01.2021</t>
  </si>
  <si>
    <t>07.01.2021</t>
  </si>
  <si>
    <t>06.01.2021</t>
  </si>
  <si>
    <t>05.01.2021</t>
  </si>
  <si>
    <t>04.01.2021</t>
  </si>
  <si>
    <t>31.12.2020</t>
  </si>
  <si>
    <t>30.12.2020</t>
  </si>
  <si>
    <t>29.12.2020</t>
  </si>
  <si>
    <t>28.12.2020</t>
  </si>
  <si>
    <t>23.12.2020</t>
  </si>
  <si>
    <t>22.12.2020</t>
  </si>
  <si>
    <t>21.12.2020</t>
  </si>
  <si>
    <t>18.12.2020</t>
  </si>
  <si>
    <t>17.12.2020</t>
  </si>
  <si>
    <t>16.12.2020</t>
  </si>
  <si>
    <t>15.12.2020</t>
  </si>
  <si>
    <t>14.12.2020</t>
  </si>
  <si>
    <t>11.12.2020</t>
  </si>
  <si>
    <t>10.12.2020</t>
  </si>
  <si>
    <t>09.12.2020</t>
  </si>
  <si>
    <t>08.12.2020</t>
  </si>
  <si>
    <t>07.12.2020</t>
  </si>
  <si>
    <t>04.12.2020</t>
  </si>
  <si>
    <t>03.12.2020</t>
  </si>
  <si>
    <t>02.12.2020</t>
  </si>
  <si>
    <t>01.12.2020</t>
  </si>
  <si>
    <t>30.11.2020</t>
  </si>
  <si>
    <t>27.11.2020</t>
  </si>
  <si>
    <t>25.11.2020</t>
  </si>
  <si>
    <t>24.11.2020</t>
  </si>
  <si>
    <t>23.11.2020</t>
  </si>
  <si>
    <t>20.11.2020</t>
  </si>
  <si>
    <t>19.11.2020</t>
  </si>
  <si>
    <t>18.11.2020</t>
  </si>
  <si>
    <t>17.11.2020</t>
  </si>
  <si>
    <t>16.11.2020</t>
  </si>
  <si>
    <t>13.11.2020</t>
  </si>
  <si>
    <t>12.11.2020</t>
  </si>
  <si>
    <t>10.11.2020</t>
  </si>
  <si>
    <t>09.11.2020</t>
  </si>
  <si>
    <t>06.11.2020</t>
  </si>
  <si>
    <t>05.11.2020</t>
  </si>
  <si>
    <t>04.11.2020</t>
  </si>
  <si>
    <t>03.11.2020</t>
  </si>
  <si>
    <t>02.11.2020</t>
  </si>
  <si>
    <t>31.10.2020</t>
  </si>
  <si>
    <t>30.10.2020</t>
  </si>
  <si>
    <t>29.10.2020</t>
  </si>
  <si>
    <t>28.10.2020</t>
  </si>
  <si>
    <t>27.10.2020</t>
  </si>
  <si>
    <t>26.10.2020</t>
  </si>
  <si>
    <t>23.10.2020</t>
  </si>
  <si>
    <t>22.10.2020</t>
  </si>
  <si>
    <t>21.10.2020</t>
  </si>
  <si>
    <t>20.10.2020</t>
  </si>
  <si>
    <t>19.10.2020</t>
  </si>
  <si>
    <t>16.10.2020</t>
  </si>
  <si>
    <t>15.10.2020</t>
  </si>
  <si>
    <t>14.10.2020</t>
  </si>
  <si>
    <t>13.10.2020</t>
  </si>
  <si>
    <t>09.10.2020</t>
  </si>
  <si>
    <t>08.10.2020</t>
  </si>
  <si>
    <t>07.10.2020</t>
  </si>
  <si>
    <t>06.10.2020</t>
  </si>
  <si>
    <t>05.10.2020</t>
  </si>
  <si>
    <t>02.10.2020</t>
  </si>
  <si>
    <t>01.10.2020</t>
  </si>
  <si>
    <t>30.09.2020</t>
  </si>
  <si>
    <t>29.09.2020</t>
  </si>
  <si>
    <t>28.09.2020</t>
  </si>
  <si>
    <t>25.09.2020</t>
  </si>
  <si>
    <t>24.09.2020</t>
  </si>
  <si>
    <t>23.09.2020</t>
  </si>
  <si>
    <t>22.09.2020</t>
  </si>
  <si>
    <t>21.09.2020</t>
  </si>
  <si>
    <t>18.09.2020</t>
  </si>
  <si>
    <t>17.09.2020</t>
  </si>
  <si>
    <t>16.09.2020</t>
  </si>
  <si>
    <t>15.09.2020</t>
  </si>
  <si>
    <t>14.09.2020</t>
  </si>
  <si>
    <t>11.09.2020</t>
  </si>
  <si>
    <t>10.09.2020</t>
  </si>
  <si>
    <t>09.09.2020</t>
  </si>
  <si>
    <t>08.09.2020</t>
  </si>
  <si>
    <t>04.09.2020</t>
  </si>
  <si>
    <t>03.09.2020</t>
  </si>
  <si>
    <t>02.09.2020</t>
  </si>
  <si>
    <t>01.09.2020</t>
  </si>
  <si>
    <t>31.08.2020</t>
  </si>
  <si>
    <t>28.08.2020</t>
  </si>
  <si>
    <t>27.08.2020</t>
  </si>
  <si>
    <t>26.08.2020</t>
  </si>
  <si>
    <t>25.08.2020</t>
  </si>
  <si>
    <t>24.08.2020</t>
  </si>
  <si>
    <t>21.08.2020</t>
  </si>
  <si>
    <t>20.08.2020</t>
  </si>
  <si>
    <t>19.08.2020</t>
  </si>
  <si>
    <t>18.08.2020</t>
  </si>
  <si>
    <t>17.08.2020</t>
  </si>
  <si>
    <t>14.08.2020</t>
  </si>
  <si>
    <t>13.08.2020</t>
  </si>
  <si>
    <t>12.08.2020</t>
  </si>
  <si>
    <t>11.08.2020</t>
  </si>
  <si>
    <t>10.08.2020</t>
  </si>
  <si>
    <t>07.08.2020</t>
  </si>
  <si>
    <t>06.08.2020</t>
  </si>
  <si>
    <t>05.08.2020</t>
  </si>
  <si>
    <t>04.08.2020</t>
  </si>
  <si>
    <t>03.08.2020</t>
  </si>
  <si>
    <t>31.07.2020</t>
  </si>
  <si>
    <t>30.07.2020</t>
  </si>
  <si>
    <t>29.07.2020</t>
  </si>
  <si>
    <t>28.07.2020</t>
  </si>
  <si>
    <t>27.07.2020</t>
  </si>
  <si>
    <t>24.07.2020</t>
  </si>
  <si>
    <t>23.07.2020</t>
  </si>
  <si>
    <t>22.07.2020</t>
  </si>
  <si>
    <t>21.07.2020</t>
  </si>
  <si>
    <t>20.07.2020</t>
  </si>
  <si>
    <t>17.07.2020</t>
  </si>
  <si>
    <t>16.07.2020</t>
  </si>
  <si>
    <t>15.07.2020</t>
  </si>
  <si>
    <t>14.07.2020</t>
  </si>
  <si>
    <t>13.07.2020</t>
  </si>
  <si>
    <t>10.07.2020</t>
  </si>
  <si>
    <t>09.07.2020</t>
  </si>
  <si>
    <t>08.07.2020</t>
  </si>
  <si>
    <t>07.07.2020</t>
  </si>
  <si>
    <t>06.07.2020</t>
  </si>
  <si>
    <t>02.07.2020</t>
  </si>
  <si>
    <t>01.07.2020</t>
  </si>
  <si>
    <t>30.06.2020</t>
  </si>
  <si>
    <t>29.06.2020</t>
  </si>
  <si>
    <t>26.06.2020</t>
  </si>
  <si>
    <t>25.06.2020</t>
  </si>
  <si>
    <t>24.06.2020</t>
  </si>
  <si>
    <t>23.06.2020</t>
  </si>
  <si>
    <t>22.06.2020</t>
  </si>
  <si>
    <t>19.06.2020</t>
  </si>
  <si>
    <t>18.06.2020</t>
  </si>
  <si>
    <t>17.06.2020</t>
  </si>
  <si>
    <t>16.06.2020</t>
  </si>
  <si>
    <t>15.06.2020</t>
  </si>
  <si>
    <t>12.06.2020</t>
  </si>
  <si>
    <t>11.06.2020</t>
  </si>
  <si>
    <t>10.06.2020</t>
  </si>
  <si>
    <t>09.06.2020</t>
  </si>
  <si>
    <t>08.06.2020</t>
  </si>
  <si>
    <t>05.06.2020</t>
  </si>
  <si>
    <t>04.06.2020</t>
  </si>
  <si>
    <t>03.06.2020</t>
  </si>
  <si>
    <t>02.06.2020</t>
  </si>
  <si>
    <t>01.06.2020</t>
  </si>
  <si>
    <t>31.05.2020</t>
  </si>
  <si>
    <t>29.05.2020</t>
  </si>
  <si>
    <t>28.05.2020</t>
  </si>
  <si>
    <t>27.05.2020</t>
  </si>
  <si>
    <t>26.05.2020</t>
  </si>
  <si>
    <t>22.05.2020</t>
  </si>
  <si>
    <t>21.05.2020</t>
  </si>
  <si>
    <t>20.05.2020</t>
  </si>
  <si>
    <t>19.05.2020</t>
  </si>
  <si>
    <t>18.05.2020</t>
  </si>
  <si>
    <t>15.05.2020</t>
  </si>
  <si>
    <t>14.05.2020</t>
  </si>
  <si>
    <t>13.05.2020</t>
  </si>
  <si>
    <t>12.05.2020</t>
  </si>
  <si>
    <t>11.05.2020</t>
  </si>
  <si>
    <t>08.05.2020</t>
  </si>
  <si>
    <t>07.05.2020</t>
  </si>
  <si>
    <t>06.05.2020</t>
  </si>
  <si>
    <t>05.05.2020</t>
  </si>
  <si>
    <t>04.05.2020</t>
  </si>
  <si>
    <t>01.05.2020</t>
  </si>
  <si>
    <t>30.04.2020</t>
  </si>
  <si>
    <t>29.04.2020</t>
  </si>
  <si>
    <t>28.04.2020</t>
  </si>
  <si>
    <t>27.04.2020</t>
  </si>
  <si>
    <t>24.04.2020</t>
  </si>
  <si>
    <t>23.04.2020</t>
  </si>
  <si>
    <t>22.04.2020</t>
  </si>
  <si>
    <t>21.04.2020</t>
  </si>
  <si>
    <t>20.04.2020</t>
  </si>
  <si>
    <t>17.04.2020</t>
  </si>
  <si>
    <t>16.04.2020</t>
  </si>
  <si>
    <t>15.04.2020</t>
  </si>
  <si>
    <t>14.04.2020</t>
  </si>
  <si>
    <t>09.04.2020</t>
  </si>
  <si>
    <t>08.04.2020</t>
  </si>
  <si>
    <t>07.04.2020</t>
  </si>
  <si>
    <t>06.04.2020</t>
  </si>
  <si>
    <t>03.04.2020</t>
  </si>
  <si>
    <t>02.04.2020</t>
  </si>
  <si>
    <t>01.04.2020</t>
  </si>
  <si>
    <t>31.03.2020</t>
  </si>
  <si>
    <t>30.03.2020</t>
  </si>
  <si>
    <t>27.03.2020</t>
  </si>
  <si>
    <t>26.03.2020</t>
  </si>
  <si>
    <t>25.03.2020</t>
  </si>
  <si>
    <t>24.03.2020</t>
  </si>
  <si>
    <t>23.03.2020</t>
  </si>
  <si>
    <t>20.03.2020</t>
  </si>
  <si>
    <t>19.03.2020</t>
  </si>
  <si>
    <t>18.03.2020</t>
  </si>
  <si>
    <t>17.03.2020</t>
  </si>
  <si>
    <t>16.03.2020</t>
  </si>
  <si>
    <t>13.03.2020</t>
  </si>
  <si>
    <t>12.03.2020</t>
  </si>
  <si>
    <t>11.03.2020</t>
  </si>
  <si>
    <t>10.03.2020</t>
  </si>
  <si>
    <t>09.03.2020</t>
  </si>
  <si>
    <t>06.03.2020</t>
  </si>
  <si>
    <t>05.03.2020</t>
  </si>
  <si>
    <t>04.03.2020</t>
  </si>
  <si>
    <t>03.03.2020</t>
  </si>
  <si>
    <t>02.03.2020</t>
  </si>
  <si>
    <t>29.02.2020</t>
  </si>
  <si>
    <t>28.02.2020</t>
  </si>
  <si>
    <t>27.02.2020</t>
  </si>
  <si>
    <t>26.02.2020</t>
  </si>
  <si>
    <t>25.02.2020</t>
  </si>
  <si>
    <t>24.02.2020</t>
  </si>
  <si>
    <t>21.02.2020</t>
  </si>
  <si>
    <t>20.02.2020</t>
  </si>
  <si>
    <t>19.02.2020</t>
  </si>
  <si>
    <t>18.02.2020</t>
  </si>
  <si>
    <t>14.02.2020</t>
  </si>
  <si>
    <t>13.02.2020</t>
  </si>
  <si>
    <t>12.02.2020</t>
  </si>
  <si>
    <t>11.02.2020</t>
  </si>
  <si>
    <t>10.02.2020</t>
  </si>
  <si>
    <t>07.02.2020</t>
  </si>
  <si>
    <t>06.02.2020</t>
  </si>
  <si>
    <t>05.02.2020</t>
  </si>
  <si>
    <t>04.02.2020</t>
  </si>
  <si>
    <t>03.02.2020</t>
  </si>
  <si>
    <t>31.01.2020</t>
  </si>
  <si>
    <t>30.01.2020</t>
  </si>
  <si>
    <t>29.01.2020</t>
  </si>
  <si>
    <t>28.01.2020</t>
  </si>
  <si>
    <t>27.01.2020</t>
  </si>
  <si>
    <t>24.01.2020</t>
  </si>
  <si>
    <t>23.01.2020</t>
  </si>
  <si>
    <t>22.01.2020</t>
  </si>
  <si>
    <t>21.01.2020</t>
  </si>
  <si>
    <t>17.01.2020</t>
  </si>
  <si>
    <t>16.01.2020</t>
  </si>
  <si>
    <t>15.01.2020</t>
  </si>
  <si>
    <t>14.01.2020</t>
  </si>
  <si>
    <t>13.01.2020</t>
  </si>
  <si>
    <t>10.01.2020</t>
  </si>
  <si>
    <t>09.01.2020</t>
  </si>
  <si>
    <t>08.01.2020</t>
  </si>
  <si>
    <t>07.01.2020</t>
  </si>
  <si>
    <t>06.01.2020</t>
  </si>
  <si>
    <t>03.01.2020</t>
  </si>
  <si>
    <t>02.01.2020</t>
  </si>
  <si>
    <t>31.12.2019</t>
  </si>
  <si>
    <t>Return</t>
  </si>
  <si>
    <t>Adj Close</t>
  </si>
  <si>
    <t>Date</t>
  </si>
  <si>
    <t>Daily</t>
  </si>
  <si>
    <t>Interval:</t>
  </si>
  <si>
    <t>Period:</t>
  </si>
  <si>
    <t>JPMorgan Funds - Global Aggregate Bond Fund</t>
  </si>
  <si>
    <t>Index:</t>
  </si>
  <si>
    <t>iShares MSCI ACWI ETF (ACWI)</t>
  </si>
  <si>
    <t>Relative Volatility</t>
  </si>
  <si>
    <t>Stdev (JPM Bond)</t>
  </si>
  <si>
    <t>Stdev (ACWI)</t>
  </si>
  <si>
    <t>Year</t>
  </si>
  <si>
    <t>Relative Volatility for Equity Markets</t>
  </si>
  <si>
    <t>NR</t>
  </si>
  <si>
    <t>SD</t>
  </si>
  <si>
    <t>Caa2</t>
  </si>
  <si>
    <t>BB+</t>
  </si>
  <si>
    <t>Ba2</t>
  </si>
  <si>
    <t>C</t>
  </si>
  <si>
    <t>BB-</t>
  </si>
  <si>
    <t>Ba3</t>
  </si>
  <si>
    <t>BBB</t>
  </si>
  <si>
    <t>BBB+</t>
  </si>
  <si>
    <t>Baa1</t>
  </si>
  <si>
    <t>AA+</t>
  </si>
  <si>
    <t>Aaa</t>
  </si>
  <si>
    <t>AA-</t>
  </si>
  <si>
    <t>AA</t>
  </si>
  <si>
    <t>Aa3</t>
  </si>
  <si>
    <t>Aa2</t>
  </si>
  <si>
    <t>Ca</t>
  </si>
  <si>
    <t>B</t>
  </si>
  <si>
    <t>B-</t>
  </si>
  <si>
    <t>B3</t>
  </si>
  <si>
    <t>B+</t>
  </si>
  <si>
    <t>B1</t>
  </si>
  <si>
    <t>CCC+</t>
  </si>
  <si>
    <t>BBB-</t>
  </si>
  <si>
    <t>B </t>
  </si>
  <si>
    <t>AAA</t>
  </si>
  <si>
    <t>B2</t>
  </si>
  <si>
    <t>Caa1</t>
  </si>
  <si>
    <t>A-</t>
  </si>
  <si>
    <t>A- </t>
  </si>
  <si>
    <t>BB- </t>
  </si>
  <si>
    <t>A</t>
  </si>
  <si>
    <t>AA- </t>
  </si>
  <si>
    <t>A3</t>
  </si>
  <si>
    <t>Trinidad &amp; Tobago</t>
  </si>
  <si>
    <t>A+</t>
  </si>
  <si>
    <t>Ba1</t>
  </si>
  <si>
    <t>B+ </t>
  </si>
  <si>
    <t>A </t>
  </si>
  <si>
    <t>Baa3</t>
  </si>
  <si>
    <t>A2</t>
  </si>
  <si>
    <t>BBB+ </t>
  </si>
  <si>
    <t>Baa2</t>
  </si>
  <si>
    <t xml:space="preserve">Serbia </t>
  </si>
  <si>
    <t>Caa3</t>
  </si>
  <si>
    <t>BB</t>
  </si>
  <si>
    <t>CCC</t>
  </si>
  <si>
    <t>BB+ </t>
  </si>
  <si>
    <t>CC</t>
  </si>
  <si>
    <t>D</t>
  </si>
  <si>
    <t>CCC-</t>
  </si>
  <si>
    <t>A1</t>
  </si>
  <si>
    <t>Korea, Republic</t>
  </si>
  <si>
    <t>AA </t>
  </si>
  <si>
    <t>BBB- </t>
  </si>
  <si>
    <t>BB </t>
  </si>
  <si>
    <t>Aa1</t>
  </si>
  <si>
    <t>B- </t>
  </si>
  <si>
    <t>Cote d'Ivoire</t>
  </si>
  <si>
    <t>Congo, Republic</t>
  </si>
  <si>
    <t>Congo, Dem. Republic</t>
  </si>
  <si>
    <t>BBB </t>
  </si>
  <si>
    <t>China, Peoples' Rep.</t>
  </si>
  <si>
    <t>CCC+ </t>
  </si>
  <si>
    <t>AA+ </t>
  </si>
  <si>
    <t>Source: NYU Stern website, Damodaran online</t>
  </si>
  <si>
    <t>PRS Score in Jan 2025</t>
  </si>
  <si>
    <t>FITCH Rating</t>
  </si>
  <si>
    <t>S&amp;P Rating</t>
  </si>
  <si>
    <t>Moody's Rating</t>
  </si>
  <si>
    <t>Western Europe</t>
  </si>
  <si>
    <t>10 Year Credit Default Spread</t>
  </si>
  <si>
    <t>Dubai</t>
  </si>
  <si>
    <t>NA</t>
  </si>
  <si>
    <t>CDS November 2025</t>
  </si>
  <si>
    <t>Switzerland CDS</t>
  </si>
  <si>
    <t xml:space="preserve">Net of Switzerland </t>
  </si>
  <si>
    <t xml:space="preserve">CDS, net of Switzerland </t>
  </si>
  <si>
    <t xml:space="preserve">Equity Risk Premium </t>
  </si>
  <si>
    <t>&lt; Enter the implied ERP of the US.</t>
  </si>
  <si>
    <t>Implied ERP of S&amp;P 500</t>
  </si>
  <si>
    <t>Mature Market</t>
  </si>
  <si>
    <t xml:space="preserve">Model by: </t>
  </si>
  <si>
    <t>Jay Prakash</t>
  </si>
  <si>
    <t xml:space="preserve">Website: </t>
  </si>
  <si>
    <t>https://jay-finance.github.io/portfolio/</t>
  </si>
  <si>
    <t>Equity Risk Premium 2 (CRP on Ratings)</t>
  </si>
  <si>
    <t xml:space="preserve">Avg Volatility </t>
  </si>
  <si>
    <t>Regions</t>
  </si>
  <si>
    <t>5 Years (1st Jan 2020 - April 2026)</t>
  </si>
  <si>
    <t>ERP (PRS Score)</t>
  </si>
  <si>
    <t>ERP (CDS CRP)</t>
  </si>
  <si>
    <t>ERP (Ratings CRP)</t>
  </si>
  <si>
    <t>ERP (Final)</t>
  </si>
  <si>
    <t>CRP (CDS)</t>
  </si>
  <si>
    <t>CRP (Ratings)</t>
  </si>
  <si>
    <t>CRP (PRS)</t>
  </si>
  <si>
    <t>CRP (Final)</t>
  </si>
  <si>
    <t>GDP (Millions)</t>
  </si>
  <si>
    <t>Equity Risk Premium 1</t>
  </si>
  <si>
    <t>Equity Risk Premium 3</t>
  </si>
  <si>
    <t>Country Risk Premium 1</t>
  </si>
  <si>
    <t>Country Risk Premium 2</t>
  </si>
  <si>
    <t>Equity Risk Premium 2</t>
  </si>
  <si>
    <t>World</t>
  </si>
  <si>
    <t>ERP Estimation for Rated Countries</t>
  </si>
  <si>
    <t>Equity Risk Premium 1 (CRP on CDS)</t>
  </si>
  <si>
    <t>Equity Risk Premium 3 (Default Spread)</t>
  </si>
  <si>
    <t xml:space="preserve">Country Risk Premium 1 (CDS) </t>
  </si>
  <si>
    <t>Country Risk Premium 2 (Rating)</t>
  </si>
  <si>
    <t>Country Default Spread (Rating-Based)</t>
  </si>
  <si>
    <t>Country Default Spread (CDS Net of Switzerland)</t>
  </si>
  <si>
    <t>GDP Source: World Bank</t>
  </si>
  <si>
    <t>Gross Domestic Product of Countries</t>
  </si>
  <si>
    <t>Below Ca</t>
  </si>
  <si>
    <t xml:space="preserve">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</si>
</sst>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
    <numFmt numFmtId="167" formatCode="0.0000"/>
  </numFmts>
  <fonts count="27"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b/>
      <sz val="15"/>
      <color theme="0"/>
      <name val="Calibri"/>
      <family val="2"/>
    </font>
    <font>
      <b/>
      <sz val="11"/>
      <color theme="0"/>
      <name val="Calibri"/>
      <family val="2"/>
      <scheme val="minor"/>
    </font>
    <font>
      <i/>
      <sz val="11"/>
      <color theme="1"/>
      <name val="Calibri"/>
      <family val="2"/>
    </font>
    <font>
      <i/>
      <sz val="12"/>
      <color theme="1"/>
      <name val="Calibri"/>
      <family val="2"/>
    </font>
    <font>
      <i/>
      <sz val="9"/>
      <color theme="1"/>
      <name val="Calibri"/>
      <family val="2"/>
      <scheme val="minor"/>
    </font>
    <font>
      <b/>
      <sz val="15"/>
      <color theme="0"/>
      <name val="Calibri"/>
      <family val="2"/>
      <scheme val="minor"/>
    </font>
    <font>
      <b/>
      <sz val="14"/>
      <color theme="0"/>
      <name val="Calibri"/>
      <family val="2"/>
    </font>
    <font>
      <b/>
      <u/>
      <sz val="16"/>
      <color theme="1"/>
      <name val="Calibri"/>
      <family val="2"/>
    </font>
    <font>
      <b/>
      <sz val="16"/>
      <color theme="1"/>
      <name val="Calibri"/>
      <family val="2"/>
    </font>
    <font>
      <b/>
      <sz val="9"/>
      <color indexed="81"/>
      <name val="Tahoma"/>
      <family val="2"/>
    </font>
    <font>
      <sz val="9"/>
      <color indexed="81"/>
      <name val="Tahoma"/>
      <family val="2"/>
    </font>
    <font>
      <b/>
      <sz val="16"/>
      <color theme="0"/>
      <name val="Calibri"/>
      <family val="2"/>
    </font>
    <font>
      <b/>
      <sz val="11"/>
      <name val="Calibri"/>
      <family val="2"/>
    </font>
    <font>
      <sz val="11"/>
      <color rgb="FF0000FF"/>
      <name val="Calibri"/>
      <family val="2"/>
    </font>
    <font>
      <b/>
      <sz val="14"/>
      <color theme="1"/>
      <name val="Calibri"/>
      <family val="2"/>
    </font>
    <font>
      <u/>
      <sz val="11"/>
      <color theme="10"/>
      <name val="Calibri"/>
      <family val="2"/>
    </font>
    <font>
      <sz val="11"/>
      <name val="Calibri"/>
      <family val="2"/>
    </font>
    <font>
      <b/>
      <i/>
      <u/>
      <sz val="11"/>
      <name val="Calibri"/>
      <family val="2"/>
    </font>
    <font>
      <b/>
      <sz val="12"/>
      <color theme="0"/>
      <name val="Calibri"/>
      <family val="2"/>
      <scheme val="minor"/>
    </font>
    <font>
      <b/>
      <i/>
      <sz val="11"/>
      <color theme="1"/>
      <name val="Calibri"/>
      <family val="2"/>
    </font>
    <font>
      <b/>
      <sz val="10"/>
      <color rgb="FF000000"/>
      <name val="Times New Roman"/>
      <family val="1"/>
    </font>
    <font>
      <sz val="10"/>
      <color rgb="FF000000"/>
      <name val="Times New Roman"/>
      <family val="1"/>
    </font>
  </fonts>
  <fills count="6">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5" tint="0.39997558519241921"/>
        <bgColor indexed="64"/>
      </patternFill>
    </fill>
  </fills>
  <borders count="25">
    <border>
      <left/>
      <right/>
      <top/>
      <bottom/>
      <diagonal/>
    </border>
    <border>
      <left/>
      <right/>
      <top style="hair">
        <color theme="4" tint="-0.499984740745262"/>
      </top>
      <bottom style="hair">
        <color theme="4" tint="-0.499984740745262"/>
      </bottom>
      <diagonal/>
    </border>
    <border>
      <left/>
      <right/>
      <top style="hair">
        <color theme="4" tint="-0.499984740745262"/>
      </top>
      <bottom style="thin">
        <color theme="4" tint="-0.499984740745262"/>
      </bottom>
      <diagonal/>
    </border>
    <border>
      <left/>
      <right/>
      <top style="thin">
        <color theme="4" tint="-0.499984740745262"/>
      </top>
      <bottom style="medium">
        <color theme="4" tint="-0.499984740745262"/>
      </bottom>
      <diagonal/>
    </border>
    <border>
      <left/>
      <right/>
      <top style="hair">
        <color rgb="FF002060"/>
      </top>
      <bottom style="hair">
        <color rgb="FF002060"/>
      </bottom>
      <diagonal/>
    </border>
    <border>
      <left/>
      <right/>
      <top style="hair">
        <color theme="4" tint="-0.499984740745262"/>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indexed="64"/>
      </left>
      <right style="thin">
        <color indexed="64"/>
      </right>
      <top style="thin">
        <color indexed="64"/>
      </top>
      <bottom style="thin">
        <color indexed="64"/>
      </bottom>
      <diagonal/>
    </border>
    <border>
      <left/>
      <right/>
      <top style="thin">
        <color theme="0"/>
      </top>
      <bottom/>
      <diagonal/>
    </border>
    <border>
      <left style="thin">
        <color theme="4" tint="-0.499984740745262"/>
      </left>
      <right style="medium">
        <color theme="4" tint="-0.499984740745262"/>
      </right>
      <top style="thin">
        <color theme="4" tint="-0.499984740745262"/>
      </top>
      <bottom style="medium">
        <color theme="4" tint="-0.499984740745262"/>
      </bottom>
      <diagonal/>
    </border>
    <border>
      <left style="thin">
        <color theme="4" tint="-0.499984740745262"/>
      </left>
      <right style="medium">
        <color theme="4" tint="-0.499984740745262"/>
      </right>
      <top/>
      <bottom/>
      <diagonal/>
    </border>
    <border>
      <left style="thin">
        <color theme="4" tint="-0.499984740745262"/>
      </left>
      <right style="medium">
        <color theme="4" tint="-0.499984740745262"/>
      </right>
      <top style="hair">
        <color theme="4" tint="-0.499984740745262"/>
      </top>
      <bottom style="hair">
        <color theme="4" tint="-0.499984740745262"/>
      </bottom>
      <diagonal/>
    </border>
    <border>
      <left style="thin">
        <color theme="1"/>
      </left>
      <right style="thin">
        <color theme="1"/>
      </right>
      <top style="thin">
        <color theme="1"/>
      </top>
      <bottom style="thin">
        <color theme="4" tint="-0.499984740745262"/>
      </bottom>
      <diagonal/>
    </border>
    <border>
      <left style="thin">
        <color theme="1"/>
      </left>
      <right style="thin">
        <color theme="1"/>
      </right>
      <top style="thin">
        <color theme="4" tint="-0.499984740745262"/>
      </top>
      <bottom style="thin">
        <color theme="4"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theme="4" tint="-0.499984740745262"/>
      </bottom>
      <diagonal/>
    </border>
    <border>
      <left/>
      <right/>
      <top style="hair">
        <color rgb="FF002060"/>
      </top>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s>
  <cellStyleXfs count="3">
    <xf numFmtId="0" fontId="0" fillId="0" borderId="0"/>
    <xf numFmtId="9" fontId="1" fillId="0" borderId="0" applyFont="0" applyFill="0" applyBorder="0" applyAlignment="0" applyProtection="0"/>
    <xf numFmtId="0" fontId="20" fillId="0" borderId="0" applyNumberFormat="0" applyFill="0" applyBorder="0" applyAlignment="0" applyProtection="0"/>
  </cellStyleXfs>
  <cellXfs count="137">
    <xf numFmtId="0" fontId="0" fillId="0" borderId="0" xfId="0"/>
    <xf numFmtId="0" fontId="5" fillId="2" borderId="0" xfId="0" applyFont="1" applyFill="1"/>
    <xf numFmtId="0" fontId="4" fillId="2" borderId="0" xfId="0" applyFont="1" applyFill="1"/>
    <xf numFmtId="0" fontId="6" fillId="2" borderId="0" xfId="0" applyFont="1" applyFill="1"/>
    <xf numFmtId="0" fontId="6" fillId="2" borderId="0" xfId="0" applyFont="1" applyFill="1" applyAlignment="1">
      <alignment horizontal="right"/>
    </xf>
    <xf numFmtId="0" fontId="0" fillId="0" borderId="1" xfId="0" applyBorder="1"/>
    <xf numFmtId="3" fontId="0" fillId="0" borderId="1" xfId="0" applyNumberFormat="1" applyBorder="1" applyAlignment="1">
      <alignment horizontal="right"/>
    </xf>
    <xf numFmtId="10" fontId="0" fillId="0" borderId="1" xfId="1" applyNumberFormat="1" applyFont="1" applyBorder="1" applyAlignment="1">
      <alignment horizontal="right"/>
    </xf>
    <xf numFmtId="0" fontId="7" fillId="0" borderId="0" xfId="0" applyFont="1" applyAlignment="1">
      <alignment horizontal="left"/>
    </xf>
    <xf numFmtId="0" fontId="0" fillId="0" borderId="2" xfId="0" applyBorder="1"/>
    <xf numFmtId="0" fontId="3" fillId="0" borderId="3" xfId="0" applyFont="1" applyBorder="1"/>
    <xf numFmtId="3" fontId="3" fillId="3" borderId="3" xfId="0" applyNumberFormat="1" applyFont="1" applyFill="1" applyBorder="1" applyAlignment="1">
      <alignment horizontal="right"/>
    </xf>
    <xf numFmtId="10" fontId="3" fillId="3" borderId="3" xfId="1" applyNumberFormat="1" applyFont="1" applyFill="1" applyBorder="1" applyAlignment="1">
      <alignment horizontal="right"/>
    </xf>
    <xf numFmtId="0" fontId="8" fillId="0" borderId="0" xfId="0" applyFont="1"/>
    <xf numFmtId="0" fontId="9" fillId="0" borderId="0" xfId="0" applyFont="1"/>
    <xf numFmtId="0" fontId="10" fillId="2" borderId="0" xfId="0" applyFont="1" applyFill="1"/>
    <xf numFmtId="0" fontId="10" fillId="2" borderId="0" xfId="0" applyFont="1" applyFill="1" applyAlignment="1">
      <alignment horizontal="right"/>
    </xf>
    <xf numFmtId="3" fontId="3" fillId="0" borderId="3" xfId="0" applyNumberFormat="1" applyFont="1" applyBorder="1"/>
    <xf numFmtId="10" fontId="3" fillId="0" borderId="3" xfId="1" applyNumberFormat="1" applyFont="1" applyBorder="1"/>
    <xf numFmtId="0" fontId="0" fillId="0" borderId="5" xfId="0" applyBorder="1"/>
    <xf numFmtId="0" fontId="11" fillId="2" borderId="0" xfId="0" applyFont="1" applyFill="1"/>
    <xf numFmtId="10" fontId="2" fillId="2" borderId="0" xfId="0" applyNumberFormat="1" applyFont="1" applyFill="1"/>
    <xf numFmtId="0" fontId="12" fillId="0" borderId="0" xfId="0" applyFont="1"/>
    <xf numFmtId="10" fontId="13" fillId="0" borderId="0" xfId="0" applyNumberFormat="1" applyFont="1"/>
    <xf numFmtId="0" fontId="7" fillId="0" borderId="0" xfId="0" applyFont="1"/>
    <xf numFmtId="0" fontId="3" fillId="4" borderId="6" xfId="0" applyFont="1" applyFill="1" applyBorder="1" applyAlignment="1">
      <alignment horizontal="right"/>
    </xf>
    <xf numFmtId="0" fontId="0" fillId="0" borderId="0" xfId="0" applyAlignment="1">
      <alignment horizontal="right"/>
    </xf>
    <xf numFmtId="0" fontId="0" fillId="0" borderId="7" xfId="0" applyBorder="1" applyAlignment="1">
      <alignment horizontal="right"/>
    </xf>
    <xf numFmtId="10" fontId="0" fillId="0" borderId="7" xfId="1" applyNumberFormat="1" applyFont="1" applyBorder="1" applyAlignment="1">
      <alignment horizontal="right"/>
    </xf>
    <xf numFmtId="0" fontId="3" fillId="0" borderId="0" xfId="0" applyFont="1"/>
    <xf numFmtId="10" fontId="0" fillId="0" borderId="0" xfId="0" applyNumberFormat="1"/>
    <xf numFmtId="10" fontId="0" fillId="0" borderId="0" xfId="1" applyNumberFormat="1" applyFont="1"/>
    <xf numFmtId="0" fontId="3" fillId="0" borderId="0" xfId="0" applyFont="1" applyAlignment="1">
      <alignment horizontal="right"/>
    </xf>
    <xf numFmtId="0" fontId="3" fillId="4" borderId="7" xfId="0" applyFont="1" applyFill="1" applyBorder="1" applyAlignment="1">
      <alignment horizontal="right"/>
    </xf>
    <xf numFmtId="10" fontId="0" fillId="0" borderId="7" xfId="0" applyNumberFormat="1" applyBorder="1"/>
    <xf numFmtId="0" fontId="16" fillId="2" borderId="0" xfId="0" applyFont="1" applyFill="1"/>
    <xf numFmtId="10" fontId="17" fillId="0" borderId="7" xfId="0" applyNumberFormat="1" applyFont="1" applyBorder="1"/>
    <xf numFmtId="10" fontId="18" fillId="0" borderId="0" xfId="0" applyNumberFormat="1" applyFont="1"/>
    <xf numFmtId="2" fontId="0" fillId="0" borderId="0" xfId="0" applyNumberFormat="1"/>
    <xf numFmtId="164" fontId="0" fillId="0" borderId="0" xfId="0" applyNumberFormat="1"/>
    <xf numFmtId="0" fontId="0" fillId="0" borderId="0" xfId="0" applyAlignment="1">
      <alignment horizontal="center"/>
    </xf>
    <xf numFmtId="0" fontId="2" fillId="2" borderId="0" xfId="0" applyFont="1" applyFill="1" applyAlignment="1">
      <alignment horizontal="left"/>
    </xf>
    <xf numFmtId="0" fontId="2" fillId="2" borderId="0" xfId="0" applyFont="1" applyFill="1" applyAlignment="1">
      <alignment horizontal="center"/>
    </xf>
    <xf numFmtId="0" fontId="2" fillId="2" borderId="8" xfId="0" applyFont="1" applyFill="1" applyBorder="1" applyAlignment="1">
      <alignment horizontal="center"/>
    </xf>
    <xf numFmtId="0" fontId="0" fillId="0" borderId="1" xfId="0" applyBorder="1" applyAlignment="1">
      <alignment horizontal="right"/>
    </xf>
    <xf numFmtId="1" fontId="0" fillId="0" borderId="6" xfId="0" applyNumberFormat="1" applyBorder="1" applyAlignment="1">
      <alignment horizontal="center"/>
    </xf>
    <xf numFmtId="10" fontId="0" fillId="0" borderId="0" xfId="1" applyNumberFormat="1" applyFont="1" applyAlignment="1">
      <alignment horizontal="center"/>
    </xf>
    <xf numFmtId="0" fontId="2" fillId="2" borderId="0" xfId="0" applyFont="1" applyFill="1"/>
    <xf numFmtId="0" fontId="0" fillId="2" borderId="0" xfId="0" applyFill="1"/>
    <xf numFmtId="0" fontId="2" fillId="2" borderId="0" xfId="0" applyFont="1" applyFill="1" applyAlignment="1">
      <alignment horizontal="left" indent="37"/>
    </xf>
    <xf numFmtId="0" fontId="0" fillId="0" borderId="6" xfId="0" applyBorder="1"/>
    <xf numFmtId="0" fontId="2" fillId="2" borderId="0" xfId="0" applyFont="1" applyFill="1" applyAlignment="1">
      <alignment horizontal="right"/>
    </xf>
    <xf numFmtId="0" fontId="0" fillId="0" borderId="6" xfId="0" applyBorder="1" applyAlignment="1">
      <alignment horizontal="right"/>
    </xf>
    <xf numFmtId="165" fontId="0" fillId="0" borderId="1" xfId="0" applyNumberFormat="1" applyBorder="1"/>
    <xf numFmtId="10" fontId="0" fillId="0" borderId="1" xfId="1" applyNumberFormat="1" applyFont="1" applyBorder="1"/>
    <xf numFmtId="10" fontId="0" fillId="0" borderId="0" xfId="1" applyNumberFormat="1" applyFont="1" applyAlignment="1">
      <alignment horizontal="right"/>
    </xf>
    <xf numFmtId="10" fontId="0" fillId="0" borderId="0" xfId="1" applyNumberFormat="1" applyFont="1" applyBorder="1"/>
    <xf numFmtId="10" fontId="0" fillId="0" borderId="5" xfId="1" applyNumberFormat="1" applyFont="1" applyBorder="1"/>
    <xf numFmtId="15" fontId="0" fillId="0" borderId="5" xfId="0" applyNumberFormat="1" applyBorder="1"/>
    <xf numFmtId="15" fontId="0" fillId="0" borderId="1" xfId="0" applyNumberFormat="1" applyBorder="1"/>
    <xf numFmtId="14" fontId="0" fillId="0" borderId="1" xfId="0" applyNumberFormat="1" applyBorder="1"/>
    <xf numFmtId="0" fontId="0" fillId="0" borderId="0" xfId="0" applyAlignment="1">
      <alignment horizontal="left"/>
    </xf>
    <xf numFmtId="2" fontId="3" fillId="3" borderId="9" xfId="0" applyNumberFormat="1" applyFont="1" applyFill="1" applyBorder="1"/>
    <xf numFmtId="0" fontId="3" fillId="0" borderId="3" xfId="0" applyFont="1" applyBorder="1" applyAlignment="1">
      <alignment horizontal="left"/>
    </xf>
    <xf numFmtId="2" fontId="0" fillId="0" borderId="10" xfId="0" applyNumberFormat="1" applyBorder="1"/>
    <xf numFmtId="2" fontId="0" fillId="0" borderId="11" xfId="0" applyNumberFormat="1" applyBorder="1"/>
    <xf numFmtId="0" fontId="0" fillId="0" borderId="1" xfId="0" applyBorder="1" applyAlignment="1">
      <alignment horizontal="left"/>
    </xf>
    <xf numFmtId="0" fontId="2" fillId="0" borderId="0" xfId="0" applyFont="1"/>
    <xf numFmtId="0" fontId="2" fillId="0" borderId="0" xfId="0" applyFont="1" applyAlignment="1">
      <alignment horizontal="right"/>
    </xf>
    <xf numFmtId="0" fontId="2" fillId="0" borderId="0" xfId="0" applyFont="1" applyAlignment="1">
      <alignment horizontal="left"/>
    </xf>
    <xf numFmtId="0" fontId="0" fillId="0" borderId="1" xfId="0" applyBorder="1" applyAlignment="1">
      <alignment horizontal="center"/>
    </xf>
    <xf numFmtId="0" fontId="19" fillId="0" borderId="0" xfId="0" applyFont="1"/>
    <xf numFmtId="15" fontId="2" fillId="2" borderId="0" xfId="0" applyNumberFormat="1" applyFont="1" applyFill="1" applyAlignment="1">
      <alignment horizontal="right"/>
    </xf>
    <xf numFmtId="15" fontId="2" fillId="0" borderId="0" xfId="0" applyNumberFormat="1" applyFont="1" applyAlignment="1">
      <alignment horizontal="right"/>
    </xf>
    <xf numFmtId="2" fontId="0" fillId="0" borderId="0" xfId="1" applyNumberFormat="1" applyFont="1"/>
    <xf numFmtId="3" fontId="1" fillId="0" borderId="12" xfId="1" applyNumberFormat="1" applyFont="1" applyFill="1" applyBorder="1" applyAlignment="1">
      <alignment horizontal="right"/>
    </xf>
    <xf numFmtId="10" fontId="21" fillId="4" borderId="6" xfId="0" applyNumberFormat="1" applyFont="1" applyFill="1" applyBorder="1"/>
    <xf numFmtId="0" fontId="3" fillId="5" borderId="14" xfId="0" applyFont="1" applyFill="1" applyBorder="1"/>
    <xf numFmtId="0" fontId="3" fillId="5" borderId="15" xfId="0" applyFont="1" applyFill="1" applyBorder="1"/>
    <xf numFmtId="0" fontId="3" fillId="5" borderId="16" xfId="0" applyFont="1" applyFill="1" applyBorder="1"/>
    <xf numFmtId="0" fontId="3" fillId="5" borderId="17" xfId="0" applyFont="1" applyFill="1" applyBorder="1"/>
    <xf numFmtId="0" fontId="22" fillId="5" borderId="18" xfId="2" applyFont="1" applyFill="1" applyBorder="1"/>
    <xf numFmtId="0" fontId="20" fillId="5" borderId="18" xfId="2" applyFill="1" applyBorder="1"/>
    <xf numFmtId="0" fontId="3" fillId="5" borderId="19" xfId="0" applyFont="1" applyFill="1" applyBorder="1"/>
    <xf numFmtId="1" fontId="0" fillId="0" borderId="1" xfId="0" applyNumberFormat="1" applyBorder="1" applyAlignment="1">
      <alignment horizontal="left"/>
    </xf>
    <xf numFmtId="3" fontId="0" fillId="0" borderId="0" xfId="0" applyNumberFormat="1" applyAlignment="1">
      <alignment horizontal="right"/>
    </xf>
    <xf numFmtId="10" fontId="0" fillId="0" borderId="0" xfId="1" applyNumberFormat="1" applyFont="1" applyBorder="1" applyAlignment="1">
      <alignment horizontal="right"/>
    </xf>
    <xf numFmtId="3" fontId="3" fillId="0" borderId="0" xfId="0" applyNumberFormat="1" applyFont="1" applyAlignment="1">
      <alignment horizontal="right"/>
    </xf>
    <xf numFmtId="10" fontId="3" fillId="0" borderId="0" xfId="1" applyNumberFormat="1" applyFont="1" applyFill="1" applyBorder="1" applyAlignment="1">
      <alignment horizontal="right"/>
    </xf>
    <xf numFmtId="0" fontId="0" fillId="0" borderId="20" xfId="0" applyBorder="1"/>
    <xf numFmtId="3" fontId="0" fillId="0" borderId="20" xfId="0" applyNumberFormat="1" applyBorder="1" applyAlignment="1">
      <alignment horizontal="right"/>
    </xf>
    <xf numFmtId="0" fontId="23" fillId="2" borderId="0" xfId="0" applyFont="1" applyFill="1" applyAlignment="1">
      <alignment horizontal="right"/>
    </xf>
    <xf numFmtId="0" fontId="23" fillId="2" borderId="0" xfId="0" applyFont="1" applyFill="1" applyAlignment="1">
      <alignment horizontal="left"/>
    </xf>
    <xf numFmtId="0" fontId="23" fillId="0" borderId="0" xfId="0" applyFont="1" applyAlignment="1">
      <alignment horizontal="right"/>
    </xf>
    <xf numFmtId="10" fontId="0" fillId="0" borderId="21" xfId="1" applyNumberFormat="1" applyFont="1" applyBorder="1" applyAlignment="1">
      <alignment horizontal="right"/>
    </xf>
    <xf numFmtId="2" fontId="0" fillId="0" borderId="4" xfId="1" applyNumberFormat="1" applyFont="1" applyBorder="1" applyAlignment="1">
      <alignment horizontal="left"/>
    </xf>
    <xf numFmtId="0" fontId="4" fillId="2" borderId="0" xfId="0" applyFont="1" applyFill="1" applyAlignment="1">
      <alignment wrapText="1"/>
    </xf>
    <xf numFmtId="0" fontId="0" fillId="0" borderId="0" xfId="0" applyAlignment="1">
      <alignment wrapText="1"/>
    </xf>
    <xf numFmtId="0" fontId="10" fillId="2" borderId="0" xfId="0" applyFont="1" applyFill="1" applyAlignment="1">
      <alignment horizontal="right" wrapText="1"/>
    </xf>
    <xf numFmtId="3" fontId="3" fillId="0" borderId="3" xfId="0" applyNumberFormat="1" applyFont="1" applyBorder="1" applyAlignment="1">
      <alignment wrapText="1"/>
    </xf>
    <xf numFmtId="10" fontId="7" fillId="0" borderId="4" xfId="1" applyNumberFormat="1" applyFont="1" applyBorder="1" applyAlignment="1">
      <alignment horizontal="right"/>
    </xf>
    <xf numFmtId="10" fontId="24" fillId="0" borderId="3" xfId="1" applyNumberFormat="1" applyFont="1" applyBorder="1"/>
    <xf numFmtId="10" fontId="24" fillId="0" borderId="3" xfId="1" applyNumberFormat="1" applyFont="1" applyBorder="1" applyAlignment="1">
      <alignment wrapText="1"/>
    </xf>
    <xf numFmtId="10" fontId="7" fillId="0" borderId="13" xfId="1" applyNumberFormat="1" applyFont="1" applyFill="1" applyBorder="1" applyAlignment="1">
      <alignment horizontal="right"/>
    </xf>
    <xf numFmtId="10" fontId="24" fillId="3" borderId="13" xfId="1" applyNumberFormat="1" applyFont="1" applyFill="1" applyBorder="1" applyAlignment="1">
      <alignment horizontal="right"/>
    </xf>
    <xf numFmtId="10" fontId="7" fillId="3" borderId="6" xfId="1" applyNumberFormat="1" applyFont="1" applyFill="1" applyBorder="1"/>
    <xf numFmtId="10" fontId="24" fillId="3" borderId="6" xfId="1" applyNumberFormat="1" applyFont="1" applyFill="1" applyBorder="1" applyAlignment="1">
      <alignment horizontal="right"/>
    </xf>
    <xf numFmtId="10" fontId="7" fillId="0" borderId="7" xfId="1" applyNumberFormat="1" applyFont="1" applyBorder="1" applyAlignment="1">
      <alignment horizontal="right"/>
    </xf>
    <xf numFmtId="10" fontId="7" fillId="0" borderId="7" xfId="1" applyNumberFormat="1" applyFont="1" applyBorder="1"/>
    <xf numFmtId="10" fontId="7" fillId="0" borderId="7" xfId="0" applyNumberFormat="1" applyFont="1" applyBorder="1"/>
    <xf numFmtId="10" fontId="24" fillId="3" borderId="7" xfId="0" applyNumberFormat="1" applyFont="1" applyFill="1" applyBorder="1"/>
    <xf numFmtId="10" fontId="3" fillId="0" borderId="7" xfId="1" applyNumberFormat="1" applyFont="1" applyBorder="1" applyAlignment="1">
      <alignment horizontal="right"/>
    </xf>
    <xf numFmtId="10" fontId="3" fillId="3" borderId="6" xfId="1" applyNumberFormat="1" applyFont="1" applyFill="1" applyBorder="1"/>
    <xf numFmtId="0" fontId="6" fillId="2" borderId="0" xfId="0" applyFont="1" applyFill="1" applyAlignment="1">
      <alignment horizontal="left"/>
    </xf>
    <xf numFmtId="166" fontId="7" fillId="0" borderId="0" xfId="1" applyNumberFormat="1" applyFont="1" applyBorder="1" applyAlignment="1">
      <alignment horizontal="right"/>
    </xf>
    <xf numFmtId="10" fontId="7" fillId="0" borderId="1" xfId="1" applyNumberFormat="1" applyFont="1" applyBorder="1" applyAlignment="1">
      <alignment horizontal="right"/>
    </xf>
    <xf numFmtId="10" fontId="7" fillId="0" borderId="20" xfId="1" applyNumberFormat="1" applyFont="1" applyBorder="1" applyAlignment="1">
      <alignment horizontal="right"/>
    </xf>
    <xf numFmtId="10" fontId="7" fillId="0" borderId="0" xfId="1" applyNumberFormat="1" applyFont="1" applyBorder="1" applyAlignment="1">
      <alignment horizontal="right"/>
    </xf>
    <xf numFmtId="10" fontId="7" fillId="0" borderId="1" xfId="1" applyNumberFormat="1" applyFont="1" applyFill="1" applyBorder="1" applyAlignment="1">
      <alignment horizontal="right"/>
    </xf>
    <xf numFmtId="10" fontId="7" fillId="0" borderId="1" xfId="1" applyNumberFormat="1" applyFont="1" applyBorder="1"/>
    <xf numFmtId="10" fontId="7" fillId="0" borderId="1" xfId="0" applyNumberFormat="1" applyFont="1" applyBorder="1"/>
    <xf numFmtId="0" fontId="0" fillId="0" borderId="22" xfId="0" applyBorder="1" applyAlignment="1">
      <alignment horizontal="center"/>
    </xf>
    <xf numFmtId="0" fontId="0" fillId="0" borderId="23" xfId="0" applyBorder="1" applyAlignment="1">
      <alignment horizontal="right"/>
    </xf>
    <xf numFmtId="10" fontId="7" fillId="0" borderId="23" xfId="1" applyNumberFormat="1" applyFont="1" applyBorder="1" applyAlignment="1">
      <alignment horizontal="right"/>
    </xf>
    <xf numFmtId="0" fontId="0" fillId="0" borderId="24" xfId="0" applyBorder="1"/>
    <xf numFmtId="2" fontId="1" fillId="0" borderId="6" xfId="1" applyNumberFormat="1" applyFont="1" applyBorder="1" applyAlignment="1">
      <alignment horizontal="right"/>
    </xf>
    <xf numFmtId="2" fontId="1" fillId="0" borderId="23" xfId="1" applyNumberFormat="1" applyFont="1" applyBorder="1" applyAlignment="1">
      <alignment horizontal="right"/>
    </xf>
    <xf numFmtId="10" fontId="1" fillId="0" borderId="23" xfId="1" applyNumberFormat="1" applyFont="1" applyBorder="1" applyAlignment="1">
      <alignment horizontal="right"/>
    </xf>
    <xf numFmtId="167" fontId="3" fillId="0" borderId="7" xfId="0" applyNumberFormat="1" applyFont="1" applyBorder="1"/>
    <xf numFmtId="0" fontId="25" fillId="0" borderId="0" xfId="0" applyFont="1" applyAlignment="1">
      <alignment horizontal="center" vertical="center" wrapText="1"/>
    </xf>
    <xf numFmtId="0" fontId="26" fillId="0" borderId="0" xfId="0" applyFont="1" applyAlignment="1">
      <alignment vertical="center"/>
    </xf>
    <xf numFmtId="10" fontId="26" fillId="0" borderId="0" xfId="0" applyNumberFormat="1" applyFont="1" applyAlignment="1">
      <alignment vertical="center" wrapText="1"/>
    </xf>
    <xf numFmtId="3" fontId="26" fillId="0" borderId="0" xfId="0" applyNumberFormat="1" applyFont="1" applyAlignment="1">
      <alignment vertical="center" wrapText="1"/>
    </xf>
    <xf numFmtId="0" fontId="25" fillId="0" borderId="0" xfId="0" applyFont="1" applyAlignment="1">
      <alignment vertical="center"/>
    </xf>
    <xf numFmtId="10" fontId="25" fillId="0" borderId="0" xfId="0" applyNumberFormat="1" applyFont="1" applyAlignment="1">
      <alignment vertical="center" wrapText="1"/>
    </xf>
    <xf numFmtId="3" fontId="25" fillId="0" borderId="0" xfId="0" applyNumberFormat="1" applyFont="1" applyAlignment="1">
      <alignment vertical="center" wrapText="1"/>
    </xf>
    <xf numFmtId="2" fontId="26" fillId="0" borderId="0" xfId="0" applyNumberFormat="1" applyFont="1" applyAlignment="1">
      <alignment vertical="center" wrapText="1"/>
    </xf>
  </cellXfs>
  <cellStyles count="3">
    <cellStyle name="Hyperlink" xfId="2" builtinId="8"/>
    <cellStyle name="Normal" xfId="0" builtinId="0"/>
    <cellStyle name="Percent" xfId="1" builtinId="5"/>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8F8F8"/>
      <color rgb="FFF0F0F0"/>
      <color rgb="FFAA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2148</xdr:rowOff>
    </xdr:from>
    <xdr:to>
      <xdr:col>16</xdr:col>
      <xdr:colOff>419100</xdr:colOff>
      <xdr:row>52</xdr:row>
      <xdr:rowOff>168585</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7778E1B-6AE5-408F-9B18-81D20EC310CE}"/>
                </a:ext>
              </a:extLst>
            </xdr:cNvPr>
            <xdr:cNvSpPr txBox="1"/>
          </xdr:nvSpPr>
          <xdr:spPr>
            <a:xfrm>
              <a:off x="126438" y="777635"/>
              <a:ext cx="10348702" cy="9472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t>Global Equity Risk Premium (ERP) &amp; Country Risk Premium (CRP) Estimation Model</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r>
                <a:rPr lang="en-IN" sz="1200" b="1"/>
                <a:t>Methodology Overview</a:t>
              </a:r>
            </a:p>
            <a:p>
              <a:r>
                <a:rPr lang="en-IN"/>
                <a:t>This model provides a unified framework for estimating equity risk premiums and country risk premiums across global markets. The primary goal is to generate consistent and comparable discount rate inputs that reflect sovereign risk, equity market volatility, and economic significance of each country.</a:t>
              </a:r>
            </a:p>
            <a:p>
              <a:endParaRPr lang="en-IN" b="1"/>
            </a:p>
            <a:p>
              <a:r>
                <a:rPr lang="en-IN" sz="1200" b="1"/>
                <a:t>1. Mature Market ERP</a:t>
              </a:r>
            </a:p>
            <a:p>
              <a:r>
                <a:rPr lang="en-IN"/>
                <a:t>The estimation begins with the implied equity risk premium of the S&amp;P 500 (estimated in a separate model, available in my website). Since the United States is no longer treated as fully risk-free due to sovereign rating downgrades, the mature market ERP is adjusted for U.S. sovereign risk. Switzerland is considered the reference “safe” market, and therefore to remove the sovereign</a:t>
              </a:r>
              <a:r>
                <a:rPr lang="en-IN" baseline="0"/>
                <a:t> risk from S&amp;P 500</a:t>
              </a:r>
              <a:r>
                <a:rPr lang="en-IN"/>
                <a:t>:</a:t>
              </a:r>
            </a:p>
            <a:p>
              <a:endParaRPr lang="en-IN" b="0"/>
            </a:p>
            <a:p>
              <a:pPr algn="ctr"/>
              <a:r>
                <a:rPr lang="en-IN" b="1" i="1"/>
                <a:t>Mature Market ERP = S&amp;P 500 Implied ERP</a:t>
              </a:r>
              <a:r>
                <a:rPr lang="en-IN" b="1" i="1" baseline="0"/>
                <a:t> </a:t>
              </a:r>
              <a:r>
                <a:rPr lang="en-IN" b="1" i="1"/>
                <a:t>​− (</a:t>
              </a:r>
              <a:r>
                <a:rPr lang="en-IN" b="1" i="1" baseline="0"/>
                <a:t>Default Spread of US </a:t>
              </a:r>
              <a:r>
                <a:rPr lang="en-IN" b="0" i="1" baseline="0"/>
                <a:t>x</a:t>
              </a:r>
              <a:r>
                <a:rPr lang="en-IN" b="1" i="1" baseline="0"/>
                <a:t> </a:t>
              </a:r>
              <a:r>
                <a:rPr lang="en-IN" b="1" i="1"/>
                <a:t>Relative Voltility)​</a:t>
              </a:r>
            </a:p>
            <a:p>
              <a:br>
                <a:rPr lang="en-IN" b="1"/>
              </a:br>
              <a:r>
                <a:rPr lang="en-IN" sz="1200" b="1"/>
                <a:t>2. Sovereign Default Spreads</a:t>
              </a:r>
            </a:p>
            <a:p>
              <a:r>
                <a:rPr lang="en-IN" sz="1200"/>
                <a:t>Default spreads are estimated through two primary data routes:</a:t>
              </a:r>
            </a:p>
            <a:p>
              <a:r>
                <a:rPr lang="en-IN" sz="1100">
                  <a:solidFill>
                    <a:schemeClr val="dk1"/>
                  </a:solidFill>
                  <a:effectLst/>
                  <a:latin typeface="+mn-lt"/>
                  <a:ea typeface="+mn-ea"/>
                  <a:cs typeface="+mn-cs"/>
                </a:rPr>
                <a:t>•  </a:t>
              </a:r>
              <a:r>
                <a:rPr lang="en-IN" sz="1200" b="0"/>
                <a:t>CDS-based default spreads, using 10-year sovereign CDS spreads sourced from </a:t>
              </a:r>
              <a:r>
                <a:rPr lang="en-IN" sz="1100">
                  <a:solidFill>
                    <a:schemeClr val="dk1"/>
                  </a:solidFill>
                  <a:effectLst/>
                  <a:latin typeface="+mn-lt"/>
                  <a:ea typeface="+mn-ea"/>
                  <a:cs typeface="+mn-cs"/>
                </a:rPr>
                <a:t>Prof. </a:t>
              </a:r>
              <a:r>
                <a:rPr lang="en-IN" sz="1200" b="0"/>
                <a:t>Damodaran.</a:t>
              </a:r>
              <a:r>
                <a:rPr lang="en-IN" sz="1200" b="0" baseline="0"/>
                <a:t> </a:t>
              </a:r>
              <a:r>
                <a:rPr lang="en-IN" sz="1200" b="0"/>
                <a:t>Switzerland’s CDS is netted out to remove risk unrelated to the sovereign being analyzed:</a:t>
              </a:r>
            </a:p>
            <a:p>
              <a:endParaRPr lang="en-IN" sz="1200" b="0"/>
            </a:p>
            <a:p>
              <a:pPr/>
              <a14:m>
                <m:oMathPara xmlns:m="http://schemas.openxmlformats.org/officeDocument/2006/math">
                  <m:oMathParaPr>
                    <m:jc m:val="centerGroup"/>
                  </m:oMathParaPr>
                  <m:oMath xmlns:m="http://schemas.openxmlformats.org/officeDocument/2006/math">
                    <m:sSub>
                      <m:sSubPr>
                        <m:ctrlPr>
                          <a:rPr lang="ar-AE" sz="1100" b="1" i="1">
                            <a:solidFill>
                              <a:schemeClr val="dk1"/>
                            </a:solidFill>
                            <a:latin typeface="Cambria Math" panose="02040503050406030204" pitchFamily="18" charset="0"/>
                            <a:ea typeface="+mn-ea"/>
                            <a:cs typeface="+mn-cs"/>
                          </a:rPr>
                        </m:ctrlPr>
                      </m:sSubPr>
                      <m:e>
                        <m:r>
                          <m:rPr>
                            <m:nor/>
                          </m:rPr>
                          <a:rPr lang="en-IN" sz="1200" b="1" i="1"/>
                          <m:t>Default</m:t>
                        </m:r>
                        <m:r>
                          <m:rPr>
                            <m:nor/>
                          </m:rPr>
                          <a:rPr lang="ar-AE" sz="1200" b="1" i="1"/>
                          <m:t> </m:t>
                        </m:r>
                        <m:r>
                          <m:rPr>
                            <m:nor/>
                          </m:rPr>
                          <a:rPr lang="en-IN" sz="1200" b="1" i="1"/>
                          <m:t>Spread</m:t>
                        </m:r>
                      </m:e>
                      <m:sub>
                        <m:r>
                          <a:rPr lang="ar-AE" sz="1200" b="1" i="1">
                            <a:latin typeface="Cambria Math" panose="02040503050406030204" pitchFamily="18" charset="0"/>
                          </a:rPr>
                          <m:t>𝑪𝑫𝑺</m:t>
                        </m:r>
                      </m:sub>
                    </m:sSub>
                    <m:r>
                      <a:rPr lang="ar-AE" sz="1100" b="1" i="0">
                        <a:solidFill>
                          <a:schemeClr val="dk1"/>
                        </a:solidFill>
                        <a:latin typeface="Cambria Math" panose="02040503050406030204" pitchFamily="18" charset="0"/>
                        <a:ea typeface="+mn-ea"/>
                        <a:cs typeface="+mn-cs"/>
                      </a:rPr>
                      <m:t>=</m:t>
                    </m:r>
                    <m:r>
                      <a:rPr lang="ar-AE" sz="1100" b="1" i="1">
                        <a:solidFill>
                          <a:schemeClr val="dk1"/>
                        </a:solidFill>
                        <a:latin typeface="Cambria Math" panose="02040503050406030204" pitchFamily="18" charset="0"/>
                        <a:ea typeface="+mn-ea"/>
                        <a:cs typeface="+mn-cs"/>
                      </a:rPr>
                      <m:t>𝑪𝑫</m:t>
                    </m:r>
                    <m:sSub>
                      <m:sSubPr>
                        <m:ctrlPr>
                          <a:rPr lang="ar-AE" sz="1100" b="1" i="1">
                            <a:solidFill>
                              <a:schemeClr val="dk1"/>
                            </a:solidFill>
                            <a:latin typeface="Cambria Math" panose="02040503050406030204" pitchFamily="18" charset="0"/>
                            <a:ea typeface="+mn-ea"/>
                            <a:cs typeface="+mn-cs"/>
                          </a:rPr>
                        </m:ctrlPr>
                      </m:sSubPr>
                      <m:e>
                        <m:r>
                          <a:rPr lang="ar-AE" sz="1100" b="1" i="1">
                            <a:solidFill>
                              <a:schemeClr val="dk1"/>
                            </a:solidFill>
                            <a:latin typeface="Cambria Math" panose="02040503050406030204" pitchFamily="18" charset="0"/>
                            <a:ea typeface="+mn-ea"/>
                            <a:cs typeface="+mn-cs"/>
                          </a:rPr>
                          <m:t>𝑺</m:t>
                        </m:r>
                      </m:e>
                      <m:sub>
                        <m:r>
                          <a:rPr lang="ar-AE" sz="1100" b="1" i="1">
                            <a:solidFill>
                              <a:schemeClr val="dk1"/>
                            </a:solidFill>
                            <a:latin typeface="Cambria Math" panose="02040503050406030204" pitchFamily="18" charset="0"/>
                            <a:ea typeface="+mn-ea"/>
                            <a:cs typeface="+mn-cs"/>
                          </a:rPr>
                          <m:t>𝑪𝒐𝒖𝒏𝒕𝒓𝒚</m:t>
                        </m:r>
                      </m:sub>
                    </m:sSub>
                    <m:r>
                      <a:rPr lang="ar-AE" sz="1100" b="1" i="1">
                        <a:solidFill>
                          <a:schemeClr val="dk1"/>
                        </a:solidFill>
                        <a:latin typeface="Cambria Math" panose="02040503050406030204" pitchFamily="18" charset="0"/>
                        <a:ea typeface="+mn-ea"/>
                        <a:cs typeface="+mn-cs"/>
                      </a:rPr>
                      <m:t>−</m:t>
                    </m:r>
                    <m:r>
                      <a:rPr lang="ar-AE" sz="1100" b="1" i="1">
                        <a:solidFill>
                          <a:schemeClr val="dk1"/>
                        </a:solidFill>
                        <a:latin typeface="Cambria Math" panose="02040503050406030204" pitchFamily="18" charset="0"/>
                        <a:ea typeface="+mn-ea"/>
                        <a:cs typeface="+mn-cs"/>
                      </a:rPr>
                      <m:t>𝑪𝑫</m:t>
                    </m:r>
                    <m:sSub>
                      <m:sSubPr>
                        <m:ctrlPr>
                          <a:rPr lang="ar-AE" sz="1100" b="1" i="1">
                            <a:solidFill>
                              <a:schemeClr val="dk1"/>
                            </a:solidFill>
                            <a:latin typeface="Cambria Math" panose="02040503050406030204" pitchFamily="18" charset="0"/>
                            <a:ea typeface="+mn-ea"/>
                            <a:cs typeface="+mn-cs"/>
                          </a:rPr>
                        </m:ctrlPr>
                      </m:sSubPr>
                      <m:e>
                        <m:r>
                          <a:rPr lang="ar-AE" sz="1100" b="1" i="1">
                            <a:solidFill>
                              <a:schemeClr val="dk1"/>
                            </a:solidFill>
                            <a:latin typeface="Cambria Math" panose="02040503050406030204" pitchFamily="18" charset="0"/>
                            <a:ea typeface="+mn-ea"/>
                            <a:cs typeface="+mn-cs"/>
                          </a:rPr>
                          <m:t>𝑺</m:t>
                        </m:r>
                      </m:e>
                      <m:sub>
                        <m:r>
                          <a:rPr lang="ar-AE" sz="1100" b="1" i="1">
                            <a:solidFill>
                              <a:schemeClr val="dk1"/>
                            </a:solidFill>
                            <a:latin typeface="Cambria Math" panose="02040503050406030204" pitchFamily="18" charset="0"/>
                            <a:ea typeface="+mn-ea"/>
                            <a:cs typeface="+mn-cs"/>
                          </a:rPr>
                          <m:t>𝑺𝒘𝒊𝒕𝒛𝒆𝒓𝒍𝒂𝒏𝒅</m:t>
                        </m:r>
                      </m:sub>
                    </m:sSub>
                  </m:oMath>
                </m:oMathPara>
              </a14:m>
              <a:endParaRPr lang="ar-AE" sz="1200" b="1" i="1"/>
            </a:p>
            <a:p>
              <a:endParaRPr lang="en-IN" sz="1200" b="1"/>
            </a:p>
            <a:p>
              <a:r>
                <a:rPr lang="en-IN" sz="1100" b="0">
                  <a:solidFill>
                    <a:schemeClr val="dk1"/>
                  </a:solidFill>
                  <a:effectLst/>
                  <a:latin typeface="+mn-lt"/>
                  <a:ea typeface="+mn-ea"/>
                  <a:cs typeface="+mn-cs"/>
                </a:rPr>
                <a:t>•  </a:t>
              </a:r>
              <a:r>
                <a:rPr lang="en-IN" sz="1200" b="0"/>
                <a:t>Rating-based default spreads, </a:t>
              </a:r>
              <a:r>
                <a:rPr lang="en-IN" sz="1200"/>
                <a:t>applied when CDS data is unavailable.</a:t>
              </a:r>
              <a:r>
                <a:rPr lang="en-IN" sz="1200" baseline="0"/>
                <a:t> </a:t>
              </a:r>
              <a:r>
                <a:rPr lang="en-IN" sz="1200"/>
                <a:t>Moody’s sovereign ratings are mapped to default spreads using Damodaran’s lookup table.</a:t>
              </a:r>
              <a:r>
                <a:rPr lang="en-IN" sz="1200" baseline="0"/>
                <a:t> </a:t>
              </a:r>
              <a:r>
                <a:rPr lang="en-IN" sz="1200"/>
                <a:t>For countries without a sovereign credit rating, the </a:t>
              </a:r>
              <a:r>
                <a:rPr lang="en-IN" sz="1200" b="0"/>
                <a:t>PRS political risk score again sourced from Damodaran</a:t>
              </a:r>
              <a:r>
                <a:rPr lang="en-IN" sz="1200" b="0" baseline="0"/>
                <a:t> </a:t>
              </a:r>
              <a:r>
                <a:rPr lang="en-IN" sz="1200"/>
                <a:t>is used to assign a synthetic rating, enabling complete model coverage.</a:t>
              </a:r>
            </a:p>
            <a:p>
              <a:endParaRPr lang="en-IN" sz="1200"/>
            </a:p>
            <a:p>
              <a:pPr marL="0" marR="0" lvl="0" indent="0" defTabSz="914400" eaLnBrk="1" fontAlgn="auto" latinLnBrk="0" hangingPunct="1">
                <a:lnSpc>
                  <a:spcPct val="100000"/>
                </a:lnSpc>
                <a:spcBef>
                  <a:spcPts val="0"/>
                </a:spcBef>
                <a:spcAft>
                  <a:spcPts val="0"/>
                </a:spcAft>
                <a:buClrTx/>
                <a:buSzTx/>
                <a:buFontTx/>
                <a:buNone/>
                <a:tabLst/>
                <a:defRPr/>
              </a:pPr>
              <a:r>
                <a:rPr lang="en-IN" sz="1200" b="1"/>
                <a:t>3. Relative Volatility Adjustment and Country Risk Premium (CRP)</a:t>
              </a:r>
            </a:p>
            <a:p>
              <a:r>
                <a:rPr lang="en-IN" sz="1200"/>
                <a:t>Since sovereign default spreads measure credit risk but not the higher volatility of equity markets, they are adjusted using a relative volatility factor estimated as:</a:t>
              </a:r>
            </a:p>
            <a:p>
              <a:endParaRPr lang="en-IN" sz="1200"/>
            </a:p>
            <a:p>
              <a:pPr algn="ctr"/>
              <a:r>
                <a:rPr lang="en-IN" sz="1200" b="1" i="1"/>
                <a:t>Relative Volatility =</a:t>
              </a:r>
              <a:r>
                <a:rPr lang="en-IN" sz="1400" b="1" i="1"/>
                <a:t> </a:t>
              </a:r>
              <a:r>
                <a:rPr lang="el-GR" sz="1200" b="1" i="1">
                  <a:solidFill>
                    <a:schemeClr val="dk1"/>
                  </a:solidFill>
                  <a:effectLst/>
                  <a:latin typeface="+mn-lt"/>
                  <a:ea typeface="+mn-ea"/>
                  <a:cs typeface="+mn-cs"/>
                </a:rPr>
                <a:t>σ(</a:t>
              </a:r>
              <a:r>
                <a:rPr lang="en-IN" sz="1200" b="1" i="1">
                  <a:solidFill>
                    <a:schemeClr val="dk1"/>
                  </a:solidFill>
                  <a:effectLst/>
                  <a:latin typeface="+mn-lt"/>
                  <a:ea typeface="+mn-ea"/>
                  <a:cs typeface="+mn-cs"/>
                </a:rPr>
                <a:t>Global Equities: MSCI ACWI ETF)</a:t>
              </a:r>
              <a:r>
                <a:rPr lang="en-IN" sz="1100" b="1" i="1">
                  <a:solidFill>
                    <a:schemeClr val="dk1"/>
                  </a:solidFill>
                  <a:effectLst/>
                  <a:latin typeface="+mn-lt"/>
                  <a:ea typeface="+mn-ea"/>
                  <a:cs typeface="+mn-cs"/>
                </a:rPr>
                <a:t> / </a:t>
              </a:r>
              <a:r>
                <a:rPr lang="el-GR" sz="1200" b="1" i="1"/>
                <a:t>σ(</a:t>
              </a:r>
              <a:r>
                <a:rPr lang="en-IN" sz="1200" b="1" i="1"/>
                <a:t>Global Bonds: JPM Global Aggregate Bond Fund) </a:t>
              </a:r>
            </a:p>
            <a:p>
              <a:pPr algn="ctr"/>
              <a:endParaRPr lang="en-IN" sz="1200" b="1" i="1"/>
            </a:p>
            <a:p>
              <a:r>
                <a:rPr lang="en-IN" sz="1200"/>
                <a:t>Two variants of country risk premium are calculated:</a:t>
              </a:r>
            </a:p>
            <a:p>
              <a:pPr/>
              <a14:m>
                <m:oMathPara xmlns:m="http://schemas.openxmlformats.org/officeDocument/2006/math">
                  <m:oMathParaPr>
                    <m:jc m:val="centerGroup"/>
                  </m:oMathParaPr>
                  <m:oMath xmlns:m="http://schemas.openxmlformats.org/officeDocument/2006/math">
                    <m:sSub>
                      <m:sSubPr>
                        <m:ctrlPr>
                          <a:rPr lang="ar-AE" sz="1100" b="1" i="1">
                            <a:solidFill>
                              <a:schemeClr val="dk1"/>
                            </a:solidFill>
                            <a:latin typeface="Cambria Math" panose="02040503050406030204" pitchFamily="18" charset="0"/>
                            <a:ea typeface="+mn-ea"/>
                            <a:cs typeface="+mn-cs"/>
                          </a:rPr>
                        </m:ctrlPr>
                      </m:sSubPr>
                      <m:e>
                        <m:r>
                          <m:rPr>
                            <m:nor/>
                          </m:rPr>
                          <a:rPr lang="ar-AE" sz="1100" b="1" i="1">
                            <a:solidFill>
                              <a:schemeClr val="dk1"/>
                            </a:solidFill>
                            <a:effectLst/>
                            <a:latin typeface="+mn-lt"/>
                            <a:ea typeface="+mn-ea"/>
                            <a:cs typeface="+mn-cs"/>
                          </a:rPr>
                          <m:t>𝐏𝐑</m:t>
                        </m:r>
                        <m:r>
                          <m:rPr>
                            <m:nor/>
                          </m:rPr>
                          <a:rPr lang="ar-AE" sz="1200" b="1" i="1"/>
                          <m:t>𝐂</m:t>
                        </m:r>
                      </m:e>
                      <m:sub>
                        <m:r>
                          <a:rPr lang="ar-AE" sz="1200" b="1" i="1">
                            <a:latin typeface="Cambria Math" panose="02040503050406030204" pitchFamily="18" charset="0"/>
                          </a:rPr>
                          <m:t>𝑹𝒂𝒕𝒊𝒏𝒈𝒔</m:t>
                        </m:r>
                      </m:sub>
                    </m:sSub>
                    <m:r>
                      <a:rPr lang="ar-AE" sz="1100" b="1" i="1">
                        <a:solidFill>
                          <a:schemeClr val="dk1"/>
                        </a:solidFill>
                        <a:latin typeface="Cambria Math" panose="02040503050406030204" pitchFamily="18" charset="0"/>
                        <a:ea typeface="+mn-ea"/>
                        <a:cs typeface="+mn-cs"/>
                      </a:rPr>
                      <m:t>=</m:t>
                    </m:r>
                    <m:sSub>
                      <m:sSubPr>
                        <m:ctrlPr>
                          <a:rPr lang="ar-AE" sz="1100" b="1" i="1">
                            <a:solidFill>
                              <a:schemeClr val="dk1"/>
                            </a:solidFill>
                            <a:latin typeface="Cambria Math" panose="02040503050406030204" pitchFamily="18" charset="0"/>
                            <a:ea typeface="+mn-ea"/>
                            <a:cs typeface="+mn-cs"/>
                          </a:rPr>
                        </m:ctrlPr>
                      </m:sSubPr>
                      <m:e>
                        <m:r>
                          <m:rPr>
                            <m:nor/>
                          </m:rPr>
                          <a:rPr lang="en-IN" sz="1100" b="1" i="1">
                            <a:solidFill>
                              <a:schemeClr val="dk1"/>
                            </a:solidFill>
                            <a:latin typeface="+mn-lt"/>
                            <a:ea typeface="+mn-ea"/>
                            <a:cs typeface="+mn-cs"/>
                          </a:rPr>
                          <m:t>Default</m:t>
                        </m:r>
                        <m:r>
                          <m:rPr>
                            <m:nor/>
                          </m:rPr>
                          <a:rPr lang="en-IN" sz="1100" b="1" i="1">
                            <a:solidFill>
                              <a:schemeClr val="dk1"/>
                            </a:solidFill>
                            <a:latin typeface="+mn-lt"/>
                            <a:ea typeface="+mn-ea"/>
                            <a:cs typeface="+mn-cs"/>
                          </a:rPr>
                          <m:t> </m:t>
                        </m:r>
                        <m:r>
                          <m:rPr>
                            <m:nor/>
                          </m:rPr>
                          <a:rPr lang="en-IN" sz="1100" b="1" i="1">
                            <a:solidFill>
                              <a:schemeClr val="dk1"/>
                            </a:solidFill>
                            <a:latin typeface="+mn-lt"/>
                            <a:ea typeface="+mn-ea"/>
                            <a:cs typeface="+mn-cs"/>
                          </a:rPr>
                          <m:t>Spread</m:t>
                        </m:r>
                      </m:e>
                      <m:sub>
                        <m:r>
                          <a:rPr lang="ar-AE" sz="1100" b="1" i="1">
                            <a:solidFill>
                              <a:schemeClr val="dk1"/>
                            </a:solidFill>
                            <a:latin typeface="Cambria Math" panose="02040503050406030204" pitchFamily="18" charset="0"/>
                            <a:ea typeface="+mn-ea"/>
                            <a:cs typeface="+mn-cs"/>
                          </a:rPr>
                          <m:t>𝑹𝒂𝒕𝒊𝒏𝒈𝒔</m:t>
                        </m:r>
                      </m:sub>
                    </m:sSub>
                    <m:r>
                      <a:rPr lang="ar-AE" sz="1100" b="1" i="1">
                        <a:solidFill>
                          <a:schemeClr val="dk1"/>
                        </a:solidFill>
                        <a:latin typeface="Cambria Math" panose="02040503050406030204" pitchFamily="18" charset="0"/>
                        <a:ea typeface="+mn-ea"/>
                        <a:cs typeface="+mn-cs"/>
                      </a:rPr>
                      <m:t>×</m:t>
                    </m:r>
                    <m:r>
                      <m:rPr>
                        <m:nor/>
                      </m:rPr>
                      <a:rPr lang="en-IN" sz="1100" b="1" i="1">
                        <a:solidFill>
                          <a:schemeClr val="dk1"/>
                        </a:solidFill>
                        <a:latin typeface="+mn-lt"/>
                        <a:ea typeface="+mn-ea"/>
                        <a:cs typeface="+mn-cs"/>
                      </a:rPr>
                      <m:t>Relative</m:t>
                    </m:r>
                    <m:r>
                      <m:rPr>
                        <m:nor/>
                      </m:rPr>
                      <a:rPr lang="en-IN" sz="1100" b="1" i="1">
                        <a:solidFill>
                          <a:schemeClr val="dk1"/>
                        </a:solidFill>
                        <a:latin typeface="+mn-lt"/>
                        <a:ea typeface="+mn-ea"/>
                        <a:cs typeface="+mn-cs"/>
                      </a:rPr>
                      <m:t> </m:t>
                    </m:r>
                    <m:r>
                      <m:rPr>
                        <m:nor/>
                      </m:rPr>
                      <a:rPr lang="en-IN" sz="1100" b="1" i="1">
                        <a:solidFill>
                          <a:schemeClr val="dk1"/>
                        </a:solidFill>
                        <a:latin typeface="+mn-lt"/>
                        <a:ea typeface="+mn-ea"/>
                        <a:cs typeface="+mn-cs"/>
                      </a:rPr>
                      <m:t>Volatility</m:t>
                    </m:r>
                  </m:oMath>
                </m:oMathPara>
              </a14:m>
              <a:endParaRPr lang="ar-AE" sz="1200" b="1" i="1"/>
            </a:p>
            <a:p>
              <a:pPr/>
              <a14:m>
                <m:oMathPara xmlns:m="http://schemas.openxmlformats.org/officeDocument/2006/math">
                  <m:oMathParaPr>
                    <m:jc m:val="centerGroup"/>
                  </m:oMathParaPr>
                  <m:oMath xmlns:m="http://schemas.openxmlformats.org/officeDocument/2006/math">
                    <m:sSub>
                      <m:sSubPr>
                        <m:ctrlPr>
                          <a:rPr lang="ar-AE" sz="1100" b="1" i="1">
                            <a:solidFill>
                              <a:schemeClr val="dk1"/>
                            </a:solidFill>
                            <a:latin typeface="Cambria Math" panose="02040503050406030204" pitchFamily="18" charset="0"/>
                            <a:ea typeface="+mn-ea"/>
                            <a:cs typeface="+mn-cs"/>
                          </a:rPr>
                        </m:ctrlPr>
                      </m:sSubPr>
                      <m:e>
                        <m:r>
                          <m:rPr>
                            <m:nor/>
                          </m:rPr>
                          <a:rPr lang="ar-AE" sz="1100" b="1" i="1">
                            <a:solidFill>
                              <a:schemeClr val="dk1"/>
                            </a:solidFill>
                            <a:effectLst/>
                            <a:latin typeface="+mn-lt"/>
                            <a:ea typeface="+mn-ea"/>
                            <a:cs typeface="+mn-cs"/>
                          </a:rPr>
                          <m:t>𝐏𝐑𝐂</m:t>
                        </m:r>
                      </m:e>
                      <m:sub>
                        <m:r>
                          <a:rPr lang="ar-AE" sz="1200" b="1" i="1">
                            <a:latin typeface="Cambria Math" panose="02040503050406030204" pitchFamily="18" charset="0"/>
                          </a:rPr>
                          <m:t>𝑪𝑫𝑺</m:t>
                        </m:r>
                      </m:sub>
                    </m:sSub>
                    <m:r>
                      <a:rPr lang="ar-AE" sz="1100" b="1" i="1">
                        <a:solidFill>
                          <a:schemeClr val="dk1"/>
                        </a:solidFill>
                        <a:latin typeface="Cambria Math" panose="02040503050406030204" pitchFamily="18" charset="0"/>
                        <a:ea typeface="+mn-ea"/>
                        <a:cs typeface="+mn-cs"/>
                      </a:rPr>
                      <m:t>=</m:t>
                    </m:r>
                    <m:sSub>
                      <m:sSubPr>
                        <m:ctrlPr>
                          <a:rPr lang="ar-AE" sz="1100" b="1" i="1">
                            <a:solidFill>
                              <a:schemeClr val="dk1"/>
                            </a:solidFill>
                            <a:latin typeface="Cambria Math" panose="02040503050406030204" pitchFamily="18" charset="0"/>
                            <a:ea typeface="+mn-ea"/>
                            <a:cs typeface="+mn-cs"/>
                          </a:rPr>
                        </m:ctrlPr>
                      </m:sSubPr>
                      <m:e>
                        <m:r>
                          <a:rPr lang="en-IN" sz="1100" b="1" i="1">
                            <a:solidFill>
                              <a:schemeClr val="dk1"/>
                            </a:solidFill>
                            <a:latin typeface="Cambria Math" panose="02040503050406030204" pitchFamily="18" charset="0"/>
                            <a:ea typeface="+mn-ea"/>
                            <a:cs typeface="+mn-cs"/>
                          </a:rPr>
                          <m:t>𝑫</m:t>
                        </m:r>
                        <m:r>
                          <m:rPr>
                            <m:nor/>
                          </m:rPr>
                          <a:rPr lang="en-IN" sz="1100" b="1" i="1">
                            <a:solidFill>
                              <a:schemeClr val="dk1"/>
                            </a:solidFill>
                            <a:latin typeface="+mn-lt"/>
                            <a:ea typeface="+mn-ea"/>
                            <a:cs typeface="+mn-cs"/>
                          </a:rPr>
                          <m:t>efault</m:t>
                        </m:r>
                        <m:r>
                          <m:rPr>
                            <m:nor/>
                          </m:rPr>
                          <a:rPr lang="en-IN" sz="1100" b="1" i="1">
                            <a:solidFill>
                              <a:schemeClr val="dk1"/>
                            </a:solidFill>
                            <a:latin typeface="+mn-lt"/>
                            <a:ea typeface="+mn-ea"/>
                            <a:cs typeface="+mn-cs"/>
                          </a:rPr>
                          <m:t> </m:t>
                        </m:r>
                        <m:r>
                          <m:rPr>
                            <m:nor/>
                          </m:rPr>
                          <a:rPr lang="en-IN" sz="1100" b="1" i="1">
                            <a:solidFill>
                              <a:schemeClr val="dk1"/>
                            </a:solidFill>
                            <a:latin typeface="+mn-lt"/>
                            <a:ea typeface="+mn-ea"/>
                            <a:cs typeface="+mn-cs"/>
                          </a:rPr>
                          <m:t>Spread</m:t>
                        </m:r>
                      </m:e>
                      <m:sub>
                        <m:r>
                          <a:rPr lang="ar-AE" sz="1100" b="1" i="1">
                            <a:solidFill>
                              <a:schemeClr val="dk1"/>
                            </a:solidFill>
                            <a:latin typeface="Cambria Math" panose="02040503050406030204" pitchFamily="18" charset="0"/>
                            <a:ea typeface="+mn-ea"/>
                            <a:cs typeface="+mn-cs"/>
                          </a:rPr>
                          <m:t>𝑪𝑫𝑺</m:t>
                        </m:r>
                      </m:sub>
                    </m:sSub>
                    <m:r>
                      <a:rPr lang="ar-AE" sz="1100" b="1" i="1">
                        <a:solidFill>
                          <a:schemeClr val="dk1"/>
                        </a:solidFill>
                        <a:latin typeface="Cambria Math" panose="02040503050406030204" pitchFamily="18" charset="0"/>
                        <a:ea typeface="+mn-ea"/>
                        <a:cs typeface="+mn-cs"/>
                      </a:rPr>
                      <m:t>×</m:t>
                    </m:r>
                    <m:r>
                      <m:rPr>
                        <m:nor/>
                      </m:rPr>
                      <a:rPr lang="en-IN" sz="1100" b="1" i="1">
                        <a:solidFill>
                          <a:schemeClr val="dk1"/>
                        </a:solidFill>
                        <a:effectLst/>
                        <a:latin typeface="+mn-lt"/>
                        <a:ea typeface="+mn-ea"/>
                        <a:cs typeface="+mn-cs"/>
                      </a:rPr>
                      <m:t>Relative</m:t>
                    </m:r>
                    <m:r>
                      <m:rPr>
                        <m:nor/>
                      </m:rPr>
                      <a:rPr lang="en-IN" sz="1100" b="1" i="1">
                        <a:solidFill>
                          <a:schemeClr val="dk1"/>
                        </a:solidFill>
                        <a:effectLst/>
                        <a:latin typeface="+mn-lt"/>
                        <a:ea typeface="+mn-ea"/>
                        <a:cs typeface="+mn-cs"/>
                      </a:rPr>
                      <m:t> </m:t>
                    </m:r>
                    <m:r>
                      <m:rPr>
                        <m:nor/>
                      </m:rPr>
                      <a:rPr lang="en-IN" sz="1100" b="1" i="1">
                        <a:solidFill>
                          <a:schemeClr val="dk1"/>
                        </a:solidFill>
                        <a:effectLst/>
                        <a:latin typeface="+mn-lt"/>
                        <a:ea typeface="+mn-ea"/>
                        <a:cs typeface="+mn-cs"/>
                      </a:rPr>
                      <m:t>Volatility</m:t>
                    </m:r>
                  </m:oMath>
                </m:oMathPara>
              </a14:m>
              <a:endParaRPr lang="ar-AE" sz="1200" b="1" i="1"/>
            </a:p>
            <a:p>
              <a:pPr algn="l"/>
              <a:endParaRPr lang="en-IN" sz="1200" b="1" i="1"/>
            </a:p>
            <a:p>
              <a:pPr algn="l"/>
              <a:r>
                <a:rPr lang="en-IN" sz="1200" b="1"/>
                <a:t>4. Equity Risk Premium Outputs</a:t>
              </a:r>
            </a:p>
            <a:p>
              <a:r>
                <a:rPr lang="en-IN" sz="1200"/>
                <a:t>Each country is assigned three ERP values to provide different analytical lenses:</a:t>
              </a:r>
            </a:p>
            <a:p>
              <a:endParaRPr lang="en-IN" sz="1100" b="0" i="1">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sSub>
                      <m:sSubPr>
                        <m:ctrlPr>
                          <a:rPr lang="ar-AE" sz="1100" b="1" i="1">
                            <a:solidFill>
                              <a:schemeClr val="dk1"/>
                            </a:solidFill>
                            <a:effectLst/>
                            <a:latin typeface="Cambria Math" panose="02040503050406030204" pitchFamily="18" charset="0"/>
                            <a:ea typeface="+mn-ea"/>
                            <a:cs typeface="+mn-cs"/>
                          </a:rPr>
                        </m:ctrlPr>
                      </m:sSubPr>
                      <m:e>
                        <m:r>
                          <m:rPr>
                            <m:nor/>
                          </m:rPr>
                          <a:rPr lang="en-IN" sz="1100" b="1" i="1">
                            <a:solidFill>
                              <a:schemeClr val="dk1"/>
                            </a:solidFill>
                            <a:effectLst/>
                            <a:latin typeface="+mn-lt"/>
                            <a:ea typeface="+mn-ea"/>
                            <a:cs typeface="+mn-cs"/>
                          </a:rPr>
                          <m:t>ERP</m:t>
                        </m:r>
                      </m:e>
                      <m:sub>
                        <m:r>
                          <a:rPr lang="en-IN" sz="1100" b="1" i="1">
                            <a:solidFill>
                              <a:schemeClr val="dk1"/>
                            </a:solidFill>
                            <a:effectLst/>
                            <a:latin typeface="Cambria Math" panose="02040503050406030204" pitchFamily="18" charset="0"/>
                            <a:ea typeface="+mn-ea"/>
                            <a:cs typeface="+mn-cs"/>
                          </a:rPr>
                          <m:t>𝟏</m:t>
                        </m:r>
                      </m:sub>
                    </m:sSub>
                    <m:r>
                      <a:rPr lang="ar-AE" sz="1100" b="1" i="1">
                        <a:solidFill>
                          <a:schemeClr val="dk1"/>
                        </a:solidFill>
                        <a:effectLst/>
                        <a:latin typeface="Cambria Math" panose="02040503050406030204" pitchFamily="18" charset="0"/>
                        <a:ea typeface="+mn-ea"/>
                        <a:cs typeface="+mn-cs"/>
                      </a:rPr>
                      <m:t>=</m:t>
                    </m:r>
                    <m:r>
                      <m:rPr>
                        <m:nor/>
                      </m:rPr>
                      <a:rPr lang="en-IN" sz="1100" b="1" i="1">
                        <a:solidFill>
                          <a:schemeClr val="dk1"/>
                        </a:solidFill>
                        <a:effectLst/>
                        <a:latin typeface="+mn-lt"/>
                        <a:ea typeface="+mn-ea"/>
                        <a:cs typeface="+mn-cs"/>
                      </a:rPr>
                      <m:t>Mature</m:t>
                    </m:r>
                    <m:r>
                      <m:rPr>
                        <m:nor/>
                      </m:rPr>
                      <a:rPr lang="ar-AE" sz="1100" b="1" i="1">
                        <a:solidFill>
                          <a:schemeClr val="dk1"/>
                        </a:solidFill>
                        <a:effectLst/>
                        <a:latin typeface="+mn-lt"/>
                        <a:ea typeface="+mn-ea"/>
                        <a:cs typeface="+mn-cs"/>
                      </a:rPr>
                      <m:t> </m:t>
                    </m:r>
                    <m:r>
                      <m:rPr>
                        <m:nor/>
                      </m:rPr>
                      <a:rPr lang="en-IN" sz="1100" b="1" i="1">
                        <a:solidFill>
                          <a:schemeClr val="dk1"/>
                        </a:solidFill>
                        <a:effectLst/>
                        <a:latin typeface="+mn-lt"/>
                        <a:ea typeface="+mn-ea"/>
                        <a:cs typeface="+mn-cs"/>
                      </a:rPr>
                      <m:t>Market</m:t>
                    </m:r>
                    <m:r>
                      <m:rPr>
                        <m:nor/>
                      </m:rPr>
                      <a:rPr lang="ar-AE" sz="1100" b="1" i="1">
                        <a:solidFill>
                          <a:schemeClr val="dk1"/>
                        </a:solidFill>
                        <a:effectLst/>
                        <a:latin typeface="+mn-lt"/>
                        <a:ea typeface="+mn-ea"/>
                        <a:cs typeface="+mn-cs"/>
                      </a:rPr>
                      <m:t> </m:t>
                    </m:r>
                    <m:r>
                      <m:rPr>
                        <m:nor/>
                      </m:rPr>
                      <a:rPr lang="en-IN" sz="1100" b="1" i="1">
                        <a:solidFill>
                          <a:schemeClr val="dk1"/>
                        </a:solidFill>
                        <a:effectLst/>
                        <a:latin typeface="+mn-lt"/>
                        <a:ea typeface="+mn-ea"/>
                        <a:cs typeface="+mn-cs"/>
                      </a:rPr>
                      <m:t>ERP</m:t>
                    </m:r>
                    <m:r>
                      <a:rPr lang="ar-AE" sz="1100" b="1" i="1">
                        <a:solidFill>
                          <a:schemeClr val="dk1"/>
                        </a:solidFill>
                        <a:effectLst/>
                        <a:latin typeface="Cambria Math" panose="02040503050406030204" pitchFamily="18" charset="0"/>
                        <a:ea typeface="+mn-ea"/>
                        <a:cs typeface="+mn-cs"/>
                      </a:rPr>
                      <m:t>+</m:t>
                    </m:r>
                    <m:sSub>
                      <m:sSubPr>
                        <m:ctrlPr>
                          <a:rPr lang="ar-AE" sz="1100" b="1" i="1">
                            <a:solidFill>
                              <a:schemeClr val="dk1"/>
                            </a:solidFill>
                            <a:effectLst/>
                            <a:latin typeface="Cambria Math" panose="02040503050406030204" pitchFamily="18" charset="0"/>
                            <a:ea typeface="+mn-ea"/>
                            <a:cs typeface="+mn-cs"/>
                          </a:rPr>
                        </m:ctrlPr>
                      </m:sSubPr>
                      <m:e>
                        <m:r>
                          <m:rPr>
                            <m:nor/>
                          </m:rPr>
                          <a:rPr lang="en-IN" sz="1100" b="1" i="1">
                            <a:solidFill>
                              <a:schemeClr val="dk1"/>
                            </a:solidFill>
                            <a:effectLst/>
                            <a:latin typeface="+mn-lt"/>
                            <a:ea typeface="+mn-ea"/>
                            <a:cs typeface="+mn-cs"/>
                          </a:rPr>
                          <m:t>Default</m:t>
                        </m:r>
                        <m:r>
                          <m:rPr>
                            <m:nor/>
                          </m:rPr>
                          <a:rPr lang="en-IN" sz="1100" b="1" i="1">
                            <a:solidFill>
                              <a:schemeClr val="dk1"/>
                            </a:solidFill>
                            <a:effectLst/>
                            <a:latin typeface="+mn-lt"/>
                            <a:ea typeface="+mn-ea"/>
                            <a:cs typeface="+mn-cs"/>
                          </a:rPr>
                          <m:t> </m:t>
                        </m:r>
                        <m:r>
                          <m:rPr>
                            <m:nor/>
                          </m:rPr>
                          <a:rPr lang="en-IN" sz="1100" b="1" i="1">
                            <a:solidFill>
                              <a:schemeClr val="dk1"/>
                            </a:solidFill>
                            <a:effectLst/>
                            <a:latin typeface="+mn-lt"/>
                            <a:ea typeface="+mn-ea"/>
                            <a:cs typeface="+mn-cs"/>
                          </a:rPr>
                          <m:t>Spread</m:t>
                        </m:r>
                      </m:e>
                      <m:sub>
                        <m:r>
                          <a:rPr lang="ar-AE" sz="1100" b="1" i="1">
                            <a:solidFill>
                              <a:schemeClr val="dk1"/>
                            </a:solidFill>
                            <a:effectLst/>
                            <a:latin typeface="Cambria Math" panose="02040503050406030204" pitchFamily="18" charset="0"/>
                            <a:ea typeface="+mn-ea"/>
                            <a:cs typeface="+mn-cs"/>
                          </a:rPr>
                          <m:t>𝑹𝒂𝒕𝒊𝒏𝒈𝒔</m:t>
                        </m:r>
                      </m:sub>
                    </m:sSub>
                  </m:oMath>
                </m:oMathPara>
              </a14:m>
              <a:endParaRPr lang="en-IN" sz="1200" b="1" i="1"/>
            </a:p>
            <a:p>
              <a:pPr/>
              <a14:m>
                <m:oMathPara xmlns:m="http://schemas.openxmlformats.org/officeDocument/2006/math">
                  <m:oMathParaPr>
                    <m:jc m:val="centerGroup"/>
                  </m:oMathParaPr>
                  <m:oMath xmlns:m="http://schemas.openxmlformats.org/officeDocument/2006/math">
                    <m:sSub>
                      <m:sSubPr>
                        <m:ctrlPr>
                          <a:rPr lang="ar-AE" sz="1100" b="1" i="1">
                            <a:solidFill>
                              <a:schemeClr val="dk1"/>
                            </a:solidFill>
                            <a:latin typeface="Cambria Math" panose="02040503050406030204" pitchFamily="18" charset="0"/>
                            <a:ea typeface="+mn-ea"/>
                            <a:cs typeface="+mn-cs"/>
                          </a:rPr>
                        </m:ctrlPr>
                      </m:sSubPr>
                      <m:e>
                        <m:r>
                          <m:rPr>
                            <m:nor/>
                          </m:rPr>
                          <a:rPr lang="en-IN" sz="1200" b="1" i="1"/>
                          <m:t>ERP</m:t>
                        </m:r>
                      </m:e>
                      <m:sub>
                        <m:r>
                          <a:rPr lang="ar-AE" sz="1100" b="1" i="1">
                            <a:solidFill>
                              <a:schemeClr val="dk1"/>
                            </a:solidFill>
                            <a:latin typeface="Cambria Math" panose="02040503050406030204" pitchFamily="18" charset="0"/>
                            <a:ea typeface="+mn-ea"/>
                            <a:cs typeface="+mn-cs"/>
                          </a:rPr>
                          <m:t>𝟐</m:t>
                        </m:r>
                      </m:sub>
                    </m:sSub>
                    <m:r>
                      <a:rPr lang="ar-AE" sz="1100" b="1" i="1">
                        <a:solidFill>
                          <a:schemeClr val="dk1"/>
                        </a:solidFill>
                        <a:latin typeface="Cambria Math" panose="02040503050406030204" pitchFamily="18" charset="0"/>
                        <a:ea typeface="+mn-ea"/>
                        <a:cs typeface="+mn-cs"/>
                      </a:rPr>
                      <m:t>=</m:t>
                    </m:r>
                    <m:r>
                      <m:rPr>
                        <m:nor/>
                      </m:rPr>
                      <a:rPr lang="en-IN" sz="1100" b="1" i="1">
                        <a:solidFill>
                          <a:schemeClr val="dk1"/>
                        </a:solidFill>
                        <a:latin typeface="+mn-lt"/>
                        <a:ea typeface="+mn-ea"/>
                        <a:cs typeface="+mn-cs"/>
                      </a:rPr>
                      <m:t>Mature</m:t>
                    </m:r>
                    <m:r>
                      <m:rPr>
                        <m:nor/>
                      </m:rPr>
                      <a:rPr lang="ar-AE" sz="1100" b="1" i="1">
                        <a:solidFill>
                          <a:schemeClr val="dk1"/>
                        </a:solidFill>
                        <a:latin typeface="+mn-lt"/>
                        <a:ea typeface="+mn-ea"/>
                        <a:cs typeface="+mn-cs"/>
                      </a:rPr>
                      <m:t> </m:t>
                    </m:r>
                    <m:r>
                      <m:rPr>
                        <m:nor/>
                      </m:rPr>
                      <a:rPr lang="en-IN" sz="1100" b="1" i="1">
                        <a:solidFill>
                          <a:schemeClr val="dk1"/>
                        </a:solidFill>
                        <a:latin typeface="+mn-lt"/>
                        <a:ea typeface="+mn-ea"/>
                        <a:cs typeface="+mn-cs"/>
                      </a:rPr>
                      <m:t>Market</m:t>
                    </m:r>
                    <m:r>
                      <m:rPr>
                        <m:nor/>
                      </m:rPr>
                      <a:rPr lang="ar-AE" sz="1100" b="1" i="1">
                        <a:solidFill>
                          <a:schemeClr val="dk1"/>
                        </a:solidFill>
                        <a:latin typeface="+mn-lt"/>
                        <a:ea typeface="+mn-ea"/>
                        <a:cs typeface="+mn-cs"/>
                      </a:rPr>
                      <m:t> </m:t>
                    </m:r>
                    <m:r>
                      <m:rPr>
                        <m:nor/>
                      </m:rPr>
                      <a:rPr lang="en-IN" sz="1100" b="1" i="1">
                        <a:solidFill>
                          <a:schemeClr val="dk1"/>
                        </a:solidFill>
                        <a:latin typeface="+mn-lt"/>
                        <a:ea typeface="+mn-ea"/>
                        <a:cs typeface="+mn-cs"/>
                      </a:rPr>
                      <m:t>ERP</m:t>
                    </m:r>
                    <m:r>
                      <a:rPr lang="ar-AE" sz="1100" b="1" i="1">
                        <a:solidFill>
                          <a:schemeClr val="dk1"/>
                        </a:solidFill>
                        <a:latin typeface="Cambria Math" panose="02040503050406030204" pitchFamily="18" charset="0"/>
                        <a:ea typeface="+mn-ea"/>
                        <a:cs typeface="+mn-cs"/>
                      </a:rPr>
                      <m:t>+</m:t>
                    </m:r>
                    <m:sSub>
                      <m:sSubPr>
                        <m:ctrlPr>
                          <a:rPr lang="ar-AE" sz="1100" b="1" i="1">
                            <a:solidFill>
                              <a:schemeClr val="dk1"/>
                            </a:solidFill>
                            <a:latin typeface="Cambria Math" panose="02040503050406030204" pitchFamily="18" charset="0"/>
                            <a:ea typeface="+mn-ea"/>
                            <a:cs typeface="+mn-cs"/>
                          </a:rPr>
                        </m:ctrlPr>
                      </m:sSubPr>
                      <m:e>
                        <m:r>
                          <m:rPr>
                            <m:nor/>
                          </m:rPr>
                          <a:rPr lang="en-IN" sz="1100" b="1" i="1">
                            <a:solidFill>
                              <a:schemeClr val="dk1"/>
                            </a:solidFill>
                            <a:latin typeface="+mn-lt"/>
                            <a:ea typeface="+mn-ea"/>
                            <a:cs typeface="+mn-cs"/>
                          </a:rPr>
                          <m:t>CRP</m:t>
                        </m:r>
                      </m:e>
                      <m:sub>
                        <m:r>
                          <a:rPr lang="ar-AE" sz="1100" b="1" i="1">
                            <a:solidFill>
                              <a:schemeClr val="dk1"/>
                            </a:solidFill>
                            <a:latin typeface="Cambria Math" panose="02040503050406030204" pitchFamily="18" charset="0"/>
                            <a:ea typeface="+mn-ea"/>
                            <a:cs typeface="+mn-cs"/>
                          </a:rPr>
                          <m:t>𝑹𝒂𝒕𝒊𝒏𝒈𝒔</m:t>
                        </m:r>
                      </m:sub>
                    </m:sSub>
                  </m:oMath>
                </m:oMathPara>
              </a14:m>
              <a:endParaRPr lang="ar-AE" sz="1200" b="1" i="1"/>
            </a:p>
            <a:p>
              <a:pPr/>
              <a14:m>
                <m:oMathPara xmlns:m="http://schemas.openxmlformats.org/officeDocument/2006/math">
                  <m:oMathParaPr>
                    <m:jc m:val="centerGroup"/>
                  </m:oMathParaPr>
                  <m:oMath xmlns:m="http://schemas.openxmlformats.org/officeDocument/2006/math">
                    <m:sSub>
                      <m:sSubPr>
                        <m:ctrlPr>
                          <a:rPr lang="ar-AE" sz="1100" b="1" i="1">
                            <a:solidFill>
                              <a:schemeClr val="dk1"/>
                            </a:solidFill>
                            <a:latin typeface="Cambria Math" panose="02040503050406030204" pitchFamily="18" charset="0"/>
                            <a:ea typeface="+mn-ea"/>
                            <a:cs typeface="+mn-cs"/>
                          </a:rPr>
                        </m:ctrlPr>
                      </m:sSubPr>
                      <m:e>
                        <m:r>
                          <m:rPr>
                            <m:nor/>
                          </m:rPr>
                          <a:rPr lang="en-IN" sz="1200" b="1" i="1"/>
                          <m:t>ERP</m:t>
                        </m:r>
                      </m:e>
                      <m:sub>
                        <m:r>
                          <a:rPr lang="ar-AE" sz="1100" b="1" i="1">
                            <a:solidFill>
                              <a:schemeClr val="dk1"/>
                            </a:solidFill>
                            <a:latin typeface="Cambria Math" panose="02040503050406030204" pitchFamily="18" charset="0"/>
                            <a:ea typeface="+mn-ea"/>
                            <a:cs typeface="+mn-cs"/>
                          </a:rPr>
                          <m:t>𝟑</m:t>
                        </m:r>
                      </m:sub>
                    </m:sSub>
                    <m:r>
                      <a:rPr lang="ar-AE" sz="1100" b="1" i="1">
                        <a:solidFill>
                          <a:schemeClr val="dk1"/>
                        </a:solidFill>
                        <a:latin typeface="Cambria Math" panose="02040503050406030204" pitchFamily="18" charset="0"/>
                        <a:ea typeface="+mn-ea"/>
                        <a:cs typeface="+mn-cs"/>
                      </a:rPr>
                      <m:t>=</m:t>
                    </m:r>
                    <m:r>
                      <m:rPr>
                        <m:nor/>
                      </m:rPr>
                      <a:rPr lang="en-IN" sz="1100" b="1" i="1">
                        <a:solidFill>
                          <a:schemeClr val="dk1"/>
                        </a:solidFill>
                        <a:latin typeface="+mn-lt"/>
                        <a:ea typeface="+mn-ea"/>
                        <a:cs typeface="+mn-cs"/>
                      </a:rPr>
                      <m:t>Mature</m:t>
                    </m:r>
                    <m:r>
                      <m:rPr>
                        <m:nor/>
                      </m:rPr>
                      <a:rPr lang="ar-AE" sz="1100" b="1" i="1">
                        <a:solidFill>
                          <a:schemeClr val="dk1"/>
                        </a:solidFill>
                        <a:latin typeface="+mn-lt"/>
                        <a:ea typeface="+mn-ea"/>
                        <a:cs typeface="+mn-cs"/>
                      </a:rPr>
                      <m:t> </m:t>
                    </m:r>
                    <m:r>
                      <m:rPr>
                        <m:nor/>
                      </m:rPr>
                      <a:rPr lang="en-IN" sz="1100" b="1" i="1">
                        <a:solidFill>
                          <a:schemeClr val="dk1"/>
                        </a:solidFill>
                        <a:latin typeface="+mn-lt"/>
                        <a:ea typeface="+mn-ea"/>
                        <a:cs typeface="+mn-cs"/>
                      </a:rPr>
                      <m:t>Market</m:t>
                    </m:r>
                    <m:r>
                      <m:rPr>
                        <m:nor/>
                      </m:rPr>
                      <a:rPr lang="ar-AE" sz="1100" b="1" i="1">
                        <a:solidFill>
                          <a:schemeClr val="dk1"/>
                        </a:solidFill>
                        <a:latin typeface="+mn-lt"/>
                        <a:ea typeface="+mn-ea"/>
                        <a:cs typeface="+mn-cs"/>
                      </a:rPr>
                      <m:t> </m:t>
                    </m:r>
                    <m:r>
                      <m:rPr>
                        <m:nor/>
                      </m:rPr>
                      <a:rPr lang="en-IN" sz="1100" b="1" i="1">
                        <a:solidFill>
                          <a:schemeClr val="dk1"/>
                        </a:solidFill>
                        <a:latin typeface="+mn-lt"/>
                        <a:ea typeface="+mn-ea"/>
                        <a:cs typeface="+mn-cs"/>
                      </a:rPr>
                      <m:t>ERP</m:t>
                    </m:r>
                    <m:r>
                      <a:rPr lang="ar-AE" sz="1100" b="1" i="1">
                        <a:solidFill>
                          <a:schemeClr val="dk1"/>
                        </a:solidFill>
                        <a:latin typeface="Cambria Math" panose="02040503050406030204" pitchFamily="18" charset="0"/>
                        <a:ea typeface="+mn-ea"/>
                        <a:cs typeface="+mn-cs"/>
                      </a:rPr>
                      <m:t>+</m:t>
                    </m:r>
                    <m:sSub>
                      <m:sSubPr>
                        <m:ctrlPr>
                          <a:rPr lang="ar-AE" sz="1100" b="1" i="1">
                            <a:solidFill>
                              <a:schemeClr val="dk1"/>
                            </a:solidFill>
                            <a:latin typeface="Cambria Math" panose="02040503050406030204" pitchFamily="18" charset="0"/>
                            <a:ea typeface="+mn-ea"/>
                            <a:cs typeface="+mn-cs"/>
                          </a:rPr>
                        </m:ctrlPr>
                      </m:sSubPr>
                      <m:e>
                        <m:r>
                          <m:rPr>
                            <m:nor/>
                          </m:rPr>
                          <a:rPr lang="en-IN" sz="1100" b="1" i="1">
                            <a:solidFill>
                              <a:schemeClr val="dk1"/>
                            </a:solidFill>
                            <a:latin typeface="+mn-lt"/>
                            <a:ea typeface="+mn-ea"/>
                            <a:cs typeface="+mn-cs"/>
                          </a:rPr>
                          <m:t>CRP</m:t>
                        </m:r>
                      </m:e>
                      <m:sub>
                        <m:r>
                          <a:rPr lang="ar-AE" sz="1100" b="1" i="1">
                            <a:solidFill>
                              <a:schemeClr val="dk1"/>
                            </a:solidFill>
                            <a:latin typeface="Cambria Math" panose="02040503050406030204" pitchFamily="18" charset="0"/>
                            <a:ea typeface="+mn-ea"/>
                            <a:cs typeface="+mn-cs"/>
                          </a:rPr>
                          <m:t>𝑪𝑫𝑺</m:t>
                        </m:r>
                      </m:sub>
                    </m:sSub>
                  </m:oMath>
                </m:oMathPara>
              </a14:m>
              <a:endParaRPr lang="en-IN" sz="1200" b="1" i="1"/>
            </a:p>
            <a:p>
              <a:endParaRPr lang="en-IN" sz="1200" b="1" i="1"/>
            </a:p>
            <a:p>
              <a:r>
                <a:rPr lang="en-IN" sz="1200"/>
                <a:t>ERP₂ and ERP₃ incorporate volatility-adjusted measures and are generally more representative of equity market risk. As </a:t>
              </a:r>
              <a:r>
                <a:rPr lang="en-IN" sz="1100">
                  <a:solidFill>
                    <a:schemeClr val="dk1"/>
                  </a:solidFill>
                  <a:effectLst/>
                  <a:latin typeface="+mn-lt"/>
                  <a:ea typeface="+mn-ea"/>
                  <a:cs typeface="+mn-cs"/>
                </a:rPr>
                <a:t>ERP₃ was estimated</a:t>
              </a:r>
              <a:r>
                <a:rPr lang="en-IN" sz="1100" baseline="0">
                  <a:solidFill>
                    <a:schemeClr val="dk1"/>
                  </a:solidFill>
                  <a:effectLst/>
                  <a:latin typeface="+mn-lt"/>
                  <a:ea typeface="+mn-ea"/>
                  <a:cs typeface="+mn-cs"/>
                </a:rPr>
                <a:t> using CDS spreads as a proxy for default spread, it provides better representation of country's sovereign risk.</a:t>
              </a:r>
            </a:p>
            <a:p>
              <a:endParaRPr lang="en-IN" sz="1100" b="1" i="1" baseline="0">
                <a:solidFill>
                  <a:schemeClr val="dk1"/>
                </a:solidFill>
                <a:effectLst/>
                <a:latin typeface="+mn-lt"/>
                <a:ea typeface="+mn-ea"/>
                <a:cs typeface="+mn-cs"/>
              </a:endParaRPr>
            </a:p>
            <a:p>
              <a:r>
                <a:rPr lang="en-IN" sz="1200" b="1"/>
                <a:t>5. Regional Risk Metrics</a:t>
              </a:r>
            </a:p>
            <a:p>
              <a:r>
                <a:rPr lang="en-IN" sz="1200"/>
                <a:t>To complement country-level estimates, this model extends the analysis to broader geographic regions. The objective is to provide a more practical benchmarking tool for valuing companies that derive revenue across multiple countries rather than a single jurisdiction.</a:t>
              </a:r>
            </a:p>
            <a:p>
              <a:endParaRPr lang="en-IN" sz="1200"/>
            </a:p>
            <a:p>
              <a:r>
                <a:rPr lang="en-IN" sz="1200"/>
                <a:t>Each region’s </a:t>
              </a:r>
              <a:r>
                <a:rPr lang="en-IN" sz="1200" b="0"/>
                <a:t>Default Spread, Country Risk Premium (CRP), and Equity Risk Premium (ERP) are estimated as GDP-weighted averages </a:t>
              </a:r>
              <a:r>
                <a:rPr lang="en-IN" sz="1200"/>
                <a:t>of the respective values from individual countries within that region.</a:t>
              </a:r>
              <a:r>
                <a:rPr lang="en-IN" sz="1200" baseline="0"/>
                <a:t> </a:t>
              </a:r>
              <a:r>
                <a:rPr lang="en-IN" sz="1200"/>
                <a:t>Only countries for which ERP/CRP data is available are included in the regional aggregation — ensuring that the output remains representative of actual market exposure rather than simple geographic counts.</a:t>
              </a:r>
            </a:p>
            <a:p>
              <a:pPr algn="l"/>
              <a:endParaRPr lang="en-IN" sz="1200" b="1" i="1"/>
            </a:p>
          </xdr:txBody>
        </xdr:sp>
      </mc:Choice>
      <mc:Fallback xmlns="">
        <xdr:sp macro="" textlink="">
          <xdr:nvSpPr>
            <xdr:cNvPr id="2" name="TextBox 1">
              <a:extLst>
                <a:ext uri="{FF2B5EF4-FFF2-40B4-BE49-F238E27FC236}">
                  <a16:creationId xmlns:a16="http://schemas.microsoft.com/office/drawing/2014/main" id="{77778E1B-6AE5-408F-9B18-81D20EC310CE}"/>
                </a:ext>
              </a:extLst>
            </xdr:cNvPr>
            <xdr:cNvSpPr txBox="1"/>
          </xdr:nvSpPr>
          <xdr:spPr>
            <a:xfrm>
              <a:off x="126438" y="777635"/>
              <a:ext cx="10348702" cy="9472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t>Global Equity Risk Premium (ERP) &amp; Country Risk Premium (CRP) Estimation Model</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r>
                <a:rPr lang="en-IN" sz="1200" b="1"/>
                <a:t>Methodology Overview</a:t>
              </a:r>
            </a:p>
            <a:p>
              <a:r>
                <a:rPr lang="en-IN"/>
                <a:t>This model provides a unified framework for estimating equity risk premiums and country risk premiums across global markets. The primary goal is to generate consistent and comparable discount rate inputs that reflect sovereign risk, equity market volatility, and economic significance of each country.</a:t>
              </a:r>
            </a:p>
            <a:p>
              <a:endParaRPr lang="en-IN" b="1"/>
            </a:p>
            <a:p>
              <a:r>
                <a:rPr lang="en-IN" sz="1200" b="1"/>
                <a:t>1. Mature Market ERP</a:t>
              </a:r>
            </a:p>
            <a:p>
              <a:r>
                <a:rPr lang="en-IN"/>
                <a:t>The estimation begins with the implied equity risk premium of the S&amp;P 500 (estimated in a separate model, available in my website). Since the United States is no longer treated as fully risk-free due to sovereign rating downgrades, the mature market ERP is adjusted for U.S. sovereign risk. Switzerland is considered the reference “safe” market, and therefore to remove the sovereign</a:t>
              </a:r>
              <a:r>
                <a:rPr lang="en-IN" baseline="0"/>
                <a:t> risk from S&amp;P 500</a:t>
              </a:r>
              <a:r>
                <a:rPr lang="en-IN"/>
                <a:t>:</a:t>
              </a:r>
            </a:p>
            <a:p>
              <a:endParaRPr lang="en-IN" b="0"/>
            </a:p>
            <a:p>
              <a:pPr algn="ctr"/>
              <a:r>
                <a:rPr lang="en-IN" b="1" i="1"/>
                <a:t>Mature Market ERP = S&amp;P 500 Implied ERP</a:t>
              </a:r>
              <a:r>
                <a:rPr lang="en-IN" b="1" i="1" baseline="0"/>
                <a:t> </a:t>
              </a:r>
              <a:r>
                <a:rPr lang="en-IN" b="1" i="1"/>
                <a:t>​− (</a:t>
              </a:r>
              <a:r>
                <a:rPr lang="en-IN" b="1" i="1" baseline="0"/>
                <a:t>Default Spread of US </a:t>
              </a:r>
              <a:r>
                <a:rPr lang="en-IN" b="0" i="1" baseline="0"/>
                <a:t>x</a:t>
              </a:r>
              <a:r>
                <a:rPr lang="en-IN" b="1" i="1" baseline="0"/>
                <a:t> </a:t>
              </a:r>
              <a:r>
                <a:rPr lang="en-IN" b="1" i="1"/>
                <a:t>Relative Voltility)​</a:t>
              </a:r>
            </a:p>
            <a:p>
              <a:br>
                <a:rPr lang="en-IN" b="1"/>
              </a:br>
              <a:r>
                <a:rPr lang="en-IN" sz="1200" b="1"/>
                <a:t>2. Sovereign Default Spreads</a:t>
              </a:r>
            </a:p>
            <a:p>
              <a:r>
                <a:rPr lang="en-IN" sz="1200"/>
                <a:t>Default spreads are estimated through two primary data routes:</a:t>
              </a:r>
            </a:p>
            <a:p>
              <a:r>
                <a:rPr lang="en-IN" sz="1100">
                  <a:solidFill>
                    <a:schemeClr val="dk1"/>
                  </a:solidFill>
                  <a:effectLst/>
                  <a:latin typeface="+mn-lt"/>
                  <a:ea typeface="+mn-ea"/>
                  <a:cs typeface="+mn-cs"/>
                </a:rPr>
                <a:t>•  </a:t>
              </a:r>
              <a:r>
                <a:rPr lang="en-IN" sz="1200" b="0"/>
                <a:t>CDS-based default spreads, using 10-year sovereign CDS spreads sourced from </a:t>
              </a:r>
              <a:r>
                <a:rPr lang="en-IN" sz="1100">
                  <a:solidFill>
                    <a:schemeClr val="dk1"/>
                  </a:solidFill>
                  <a:effectLst/>
                  <a:latin typeface="+mn-lt"/>
                  <a:ea typeface="+mn-ea"/>
                  <a:cs typeface="+mn-cs"/>
                </a:rPr>
                <a:t>Prof. </a:t>
              </a:r>
              <a:r>
                <a:rPr lang="en-IN" sz="1200" b="0"/>
                <a:t>Damodaran.</a:t>
              </a:r>
              <a:r>
                <a:rPr lang="en-IN" sz="1200" b="0" baseline="0"/>
                <a:t> </a:t>
              </a:r>
              <a:r>
                <a:rPr lang="en-IN" sz="1200" b="0"/>
                <a:t>Switzerland’s CDS is netted out to remove risk unrelated to the sovereign being analyzed:</a:t>
              </a:r>
            </a:p>
            <a:p>
              <a:endParaRPr lang="en-IN" sz="1200" b="0"/>
            </a:p>
            <a:p>
              <a:r>
                <a:rPr lang="ar-AE" sz="1100" b="1" i="0">
                  <a:solidFill>
                    <a:schemeClr val="dk1"/>
                  </a:solidFill>
                  <a:latin typeface="+mn-lt"/>
                  <a:ea typeface="+mn-ea"/>
                  <a:cs typeface="+mn-cs"/>
                </a:rPr>
                <a:t>〖</a:t>
              </a:r>
              <a:r>
                <a:rPr lang="en-IN" sz="1200" b="1" i="0">
                  <a:solidFill>
                    <a:schemeClr val="dk1"/>
                  </a:solidFill>
                  <a:latin typeface="+mn-lt"/>
                  <a:ea typeface="+mn-ea"/>
                  <a:cs typeface="+mn-cs"/>
                </a:rPr>
                <a:t>"</a:t>
              </a:r>
              <a:r>
                <a:rPr lang="en-IN" sz="1200" b="1" i="0"/>
                <a:t>Default</a:t>
              </a:r>
              <a:r>
                <a:rPr lang="ar-AE" sz="1200" b="1" i="0"/>
                <a:t> </a:t>
              </a:r>
              <a:r>
                <a:rPr lang="en-IN" sz="1200" b="1" i="0"/>
                <a:t>Spread</a:t>
              </a:r>
              <a:r>
                <a:rPr lang="ar-AE" sz="1100" b="1" i="0">
                  <a:solidFill>
                    <a:schemeClr val="dk1"/>
                  </a:solidFill>
                  <a:latin typeface="+mn-lt"/>
                  <a:ea typeface="+mn-ea"/>
                  <a:cs typeface="+mn-cs"/>
                </a:rPr>
                <a:t>" 〗_</a:t>
              </a:r>
              <a:r>
                <a:rPr lang="ar-AE" sz="1200" b="1" i="0"/>
                <a:t>𝑪𝑫𝑺</a:t>
              </a:r>
              <a:r>
                <a:rPr lang="ar-AE" sz="1100" b="1" i="0">
                  <a:solidFill>
                    <a:schemeClr val="dk1"/>
                  </a:solidFill>
                  <a:latin typeface="+mn-lt"/>
                  <a:ea typeface="+mn-ea"/>
                  <a:cs typeface="+mn-cs"/>
                </a:rPr>
                <a:t>=𝑪𝑫𝑺_𝑪𝒐𝒖𝒏𝒕𝒓𝒚−𝑪𝑫𝑺_𝑺𝒘𝒊𝒕𝒛𝒆𝒓𝒍𝒂𝒏𝒅</a:t>
              </a:r>
              <a:endParaRPr lang="ar-AE" sz="1200" b="1" i="1"/>
            </a:p>
            <a:p>
              <a:endParaRPr lang="en-IN" sz="1200" b="1"/>
            </a:p>
            <a:p>
              <a:r>
                <a:rPr lang="en-IN" sz="1100" b="0">
                  <a:solidFill>
                    <a:schemeClr val="dk1"/>
                  </a:solidFill>
                  <a:effectLst/>
                  <a:latin typeface="+mn-lt"/>
                  <a:ea typeface="+mn-ea"/>
                  <a:cs typeface="+mn-cs"/>
                </a:rPr>
                <a:t>•  </a:t>
              </a:r>
              <a:r>
                <a:rPr lang="en-IN" sz="1200" b="0"/>
                <a:t>Rating-based default spreads, </a:t>
              </a:r>
              <a:r>
                <a:rPr lang="en-IN" sz="1200"/>
                <a:t>applied when CDS data is unavailable.</a:t>
              </a:r>
              <a:r>
                <a:rPr lang="en-IN" sz="1200" baseline="0"/>
                <a:t> </a:t>
              </a:r>
              <a:r>
                <a:rPr lang="en-IN" sz="1200"/>
                <a:t>Moody’s sovereign ratings are mapped to default spreads using Damodaran’s lookup table.</a:t>
              </a:r>
              <a:r>
                <a:rPr lang="en-IN" sz="1200" baseline="0"/>
                <a:t> </a:t>
              </a:r>
              <a:r>
                <a:rPr lang="en-IN" sz="1200"/>
                <a:t>For countries without a sovereign credit rating, the </a:t>
              </a:r>
              <a:r>
                <a:rPr lang="en-IN" sz="1200" b="0"/>
                <a:t>PRS political risk score again sourced from Damodaran</a:t>
              </a:r>
              <a:r>
                <a:rPr lang="en-IN" sz="1200" b="0" baseline="0"/>
                <a:t> </a:t>
              </a:r>
              <a:r>
                <a:rPr lang="en-IN" sz="1200"/>
                <a:t>is used to assign a synthetic rating, enabling complete model coverage.</a:t>
              </a:r>
            </a:p>
            <a:p>
              <a:endParaRPr lang="en-IN" sz="1200"/>
            </a:p>
            <a:p>
              <a:pPr marL="0" marR="0" lvl="0" indent="0" defTabSz="914400" eaLnBrk="1" fontAlgn="auto" latinLnBrk="0" hangingPunct="1">
                <a:lnSpc>
                  <a:spcPct val="100000"/>
                </a:lnSpc>
                <a:spcBef>
                  <a:spcPts val="0"/>
                </a:spcBef>
                <a:spcAft>
                  <a:spcPts val="0"/>
                </a:spcAft>
                <a:buClrTx/>
                <a:buSzTx/>
                <a:buFontTx/>
                <a:buNone/>
                <a:tabLst/>
                <a:defRPr/>
              </a:pPr>
              <a:r>
                <a:rPr lang="en-IN" sz="1200" b="1"/>
                <a:t>3. Relative Volatility Adjustment and Country Risk Premium (CRP)</a:t>
              </a:r>
            </a:p>
            <a:p>
              <a:r>
                <a:rPr lang="en-IN" sz="1200"/>
                <a:t>Since sovereign default spreads measure credit risk but not the higher volatility of equity markets, they are adjusted using a relative volatility factor estimated as:</a:t>
              </a:r>
            </a:p>
            <a:p>
              <a:endParaRPr lang="en-IN" sz="1200"/>
            </a:p>
            <a:p>
              <a:pPr algn="ctr"/>
              <a:r>
                <a:rPr lang="en-IN" sz="1200" b="1" i="1"/>
                <a:t>Relative Volatility =</a:t>
              </a:r>
              <a:r>
                <a:rPr lang="en-IN" sz="1400" b="1" i="1"/>
                <a:t> </a:t>
              </a:r>
              <a:r>
                <a:rPr lang="el-GR" sz="1200" b="1" i="1">
                  <a:solidFill>
                    <a:schemeClr val="dk1"/>
                  </a:solidFill>
                  <a:effectLst/>
                  <a:latin typeface="+mn-lt"/>
                  <a:ea typeface="+mn-ea"/>
                  <a:cs typeface="+mn-cs"/>
                </a:rPr>
                <a:t>σ(</a:t>
              </a:r>
              <a:r>
                <a:rPr lang="en-IN" sz="1200" b="1" i="1">
                  <a:solidFill>
                    <a:schemeClr val="dk1"/>
                  </a:solidFill>
                  <a:effectLst/>
                  <a:latin typeface="+mn-lt"/>
                  <a:ea typeface="+mn-ea"/>
                  <a:cs typeface="+mn-cs"/>
                </a:rPr>
                <a:t>Global Equities: MSCI ACWI ETF)</a:t>
              </a:r>
              <a:r>
                <a:rPr lang="en-IN" sz="1100" b="1" i="1">
                  <a:solidFill>
                    <a:schemeClr val="dk1"/>
                  </a:solidFill>
                  <a:effectLst/>
                  <a:latin typeface="+mn-lt"/>
                  <a:ea typeface="+mn-ea"/>
                  <a:cs typeface="+mn-cs"/>
                </a:rPr>
                <a:t> / </a:t>
              </a:r>
              <a:r>
                <a:rPr lang="el-GR" sz="1200" b="1" i="1"/>
                <a:t>σ(</a:t>
              </a:r>
              <a:r>
                <a:rPr lang="en-IN" sz="1200" b="1" i="1"/>
                <a:t>Global Bonds: JPM Global Aggregate Bond Fund) </a:t>
              </a:r>
            </a:p>
            <a:p>
              <a:pPr algn="ctr"/>
              <a:endParaRPr lang="en-IN" sz="1200" b="1" i="1"/>
            </a:p>
            <a:p>
              <a:r>
                <a:rPr lang="en-IN" sz="1200"/>
                <a:t>Two variants of country risk premium are calculated:</a:t>
              </a:r>
            </a:p>
            <a:p>
              <a:r>
                <a:rPr lang="ar-AE" sz="1100" b="1" i="0">
                  <a:solidFill>
                    <a:schemeClr val="dk1"/>
                  </a:solidFill>
                  <a:latin typeface="+mn-lt"/>
                  <a:ea typeface="+mn-ea"/>
                  <a:cs typeface="+mn-cs"/>
                </a:rPr>
                <a:t>〖</a:t>
              </a:r>
              <a:r>
                <a:rPr lang="ar-AE" sz="1100" b="1" i="0">
                  <a:solidFill>
                    <a:schemeClr val="dk1"/>
                  </a:solidFill>
                  <a:effectLst/>
                  <a:latin typeface="+mn-lt"/>
                  <a:ea typeface="+mn-ea"/>
                  <a:cs typeface="+mn-cs"/>
                </a:rPr>
                <a:t>"𝐏𝐑</a:t>
              </a:r>
              <a:r>
                <a:rPr lang="ar-AE" sz="1200" b="1" i="0"/>
                <a:t>𝐂</a:t>
              </a:r>
              <a:r>
                <a:rPr lang="ar-AE" sz="1100" b="1" i="0">
                  <a:solidFill>
                    <a:schemeClr val="dk1"/>
                  </a:solidFill>
                  <a:latin typeface="+mn-lt"/>
                  <a:ea typeface="+mn-ea"/>
                  <a:cs typeface="+mn-cs"/>
                </a:rPr>
                <a:t>" 〗_</a:t>
              </a:r>
              <a:r>
                <a:rPr lang="ar-AE" sz="1200" b="1" i="0"/>
                <a:t>𝑹𝒂𝒕𝒊𝒏𝒈𝒔</a:t>
              </a:r>
              <a:r>
                <a:rPr lang="ar-AE" sz="1100" b="1" i="0">
                  <a:solidFill>
                    <a:schemeClr val="dk1"/>
                  </a:solidFill>
                  <a:latin typeface="+mn-lt"/>
                  <a:ea typeface="+mn-ea"/>
                  <a:cs typeface="+mn-cs"/>
                </a:rPr>
                <a:t>=〖</a:t>
              </a:r>
              <a:r>
                <a:rPr lang="en-IN" sz="1100" b="1" i="0">
                  <a:solidFill>
                    <a:schemeClr val="dk1"/>
                  </a:solidFill>
                  <a:latin typeface="+mn-lt"/>
                  <a:ea typeface="+mn-ea"/>
                  <a:cs typeface="+mn-cs"/>
                </a:rPr>
                <a:t>"Default Spread</a:t>
              </a:r>
              <a:r>
                <a:rPr lang="ar-AE" sz="1100" b="1" i="0">
                  <a:solidFill>
                    <a:schemeClr val="dk1"/>
                  </a:solidFill>
                  <a:latin typeface="+mn-lt"/>
                  <a:ea typeface="+mn-ea"/>
                  <a:cs typeface="+mn-cs"/>
                </a:rPr>
                <a:t>" 〗_𝑹𝒂𝒕𝒊𝒏𝒈𝒔×</a:t>
              </a:r>
              <a:r>
                <a:rPr lang="en-IN" sz="1100" b="1" i="0">
                  <a:solidFill>
                    <a:schemeClr val="dk1"/>
                  </a:solidFill>
                  <a:latin typeface="Cambria Math" panose="02040503050406030204" pitchFamily="18" charset="0"/>
                  <a:ea typeface="+mn-ea"/>
                  <a:cs typeface="+mn-cs"/>
                </a:rPr>
                <a:t>"Relative Volatility</a:t>
              </a:r>
              <a:r>
                <a:rPr lang="en-IN" sz="1100" b="1" i="0">
                  <a:solidFill>
                    <a:schemeClr val="dk1"/>
                  </a:solidFill>
                  <a:latin typeface="+mn-lt"/>
                  <a:ea typeface="+mn-ea"/>
                  <a:cs typeface="+mn-cs"/>
                </a:rPr>
                <a:t>"</a:t>
              </a:r>
              <a:endParaRPr lang="ar-AE" sz="1200" b="1" i="1"/>
            </a:p>
            <a:p>
              <a:r>
                <a:rPr lang="ar-AE" sz="1100" b="1" i="0">
                  <a:solidFill>
                    <a:schemeClr val="dk1"/>
                  </a:solidFill>
                  <a:latin typeface="+mn-lt"/>
                  <a:ea typeface="+mn-ea"/>
                  <a:cs typeface="+mn-cs"/>
                </a:rPr>
                <a:t>〖</a:t>
              </a:r>
              <a:r>
                <a:rPr lang="ar-AE" sz="1100" b="1" i="0">
                  <a:solidFill>
                    <a:schemeClr val="dk1"/>
                  </a:solidFill>
                  <a:effectLst/>
                  <a:latin typeface="+mn-lt"/>
                  <a:ea typeface="+mn-ea"/>
                  <a:cs typeface="+mn-cs"/>
                </a:rPr>
                <a:t>"𝐏𝐑𝐂" 〗_</a:t>
              </a:r>
              <a:r>
                <a:rPr lang="ar-AE" sz="1200" b="1" i="0"/>
                <a:t>𝑪𝑫𝑺</a:t>
              </a:r>
              <a:r>
                <a:rPr lang="ar-AE" sz="1100" b="1" i="0">
                  <a:solidFill>
                    <a:schemeClr val="dk1"/>
                  </a:solidFill>
                  <a:latin typeface="+mn-lt"/>
                  <a:ea typeface="+mn-ea"/>
                  <a:cs typeface="+mn-cs"/>
                </a:rPr>
                <a:t>=〖</a:t>
              </a:r>
              <a:r>
                <a:rPr lang="en-IN" sz="1100" b="1" i="0">
                  <a:solidFill>
                    <a:schemeClr val="dk1"/>
                  </a:solidFill>
                  <a:latin typeface="Cambria Math" panose="02040503050406030204" pitchFamily="18" charset="0"/>
                  <a:ea typeface="+mn-ea"/>
                  <a:cs typeface="+mn-cs"/>
                </a:rPr>
                <a:t>𝑫</a:t>
              </a:r>
              <a:r>
                <a:rPr lang="en-IN" sz="1100" b="1" i="0">
                  <a:solidFill>
                    <a:schemeClr val="dk1"/>
                  </a:solidFill>
                  <a:latin typeface="+mn-lt"/>
                  <a:ea typeface="+mn-ea"/>
                  <a:cs typeface="+mn-cs"/>
                </a:rPr>
                <a:t>"efault Spread</a:t>
              </a:r>
              <a:r>
                <a:rPr lang="ar-AE" sz="1100" b="1" i="0">
                  <a:solidFill>
                    <a:schemeClr val="dk1"/>
                  </a:solidFill>
                  <a:latin typeface="+mn-lt"/>
                  <a:ea typeface="+mn-ea"/>
                  <a:cs typeface="+mn-cs"/>
                </a:rPr>
                <a:t>" 〗_𝑪𝑫𝑺×</a:t>
              </a:r>
              <a:r>
                <a:rPr lang="en-IN" sz="1100" b="1" i="0">
                  <a:solidFill>
                    <a:schemeClr val="dk1"/>
                  </a:solidFill>
                  <a:effectLst/>
                  <a:latin typeface="Cambria Math" panose="02040503050406030204" pitchFamily="18" charset="0"/>
                  <a:ea typeface="+mn-ea"/>
                  <a:cs typeface="+mn-cs"/>
                </a:rPr>
                <a:t>"Relative Volatility</a:t>
              </a:r>
              <a:r>
                <a:rPr lang="en-IN" sz="1100" b="1" i="0">
                  <a:solidFill>
                    <a:schemeClr val="dk1"/>
                  </a:solidFill>
                  <a:effectLst/>
                  <a:latin typeface="+mn-lt"/>
                  <a:ea typeface="+mn-ea"/>
                  <a:cs typeface="+mn-cs"/>
                </a:rPr>
                <a:t>"</a:t>
              </a:r>
              <a:endParaRPr lang="ar-AE" sz="1200" b="1" i="1"/>
            </a:p>
            <a:p>
              <a:pPr algn="l"/>
              <a:endParaRPr lang="en-IN" sz="1200" b="1" i="1"/>
            </a:p>
            <a:p>
              <a:pPr algn="l"/>
              <a:r>
                <a:rPr lang="en-IN" sz="1200" b="1"/>
                <a:t>4. Equity Risk Premium Outputs</a:t>
              </a:r>
            </a:p>
            <a:p>
              <a:r>
                <a:rPr lang="en-IN" sz="1200"/>
                <a:t>Each country is assigned three ERP values to provide different analytical lenses:</a:t>
              </a:r>
            </a:p>
            <a:p>
              <a:endParaRPr lang="en-IN" sz="1100" b="0" i="1">
                <a:solidFill>
                  <a:schemeClr val="dk1"/>
                </a:solidFill>
                <a:effectLst/>
                <a:latin typeface="+mn-lt"/>
                <a:ea typeface="+mn-ea"/>
                <a:cs typeface="+mn-cs"/>
              </a:endParaRPr>
            </a:p>
            <a:p>
              <a:r>
                <a:rPr lang="ar-AE" sz="1100" b="1" i="0">
                  <a:solidFill>
                    <a:schemeClr val="dk1"/>
                  </a:solidFill>
                  <a:effectLst/>
                  <a:latin typeface="+mn-lt"/>
                  <a:ea typeface="+mn-ea"/>
                  <a:cs typeface="+mn-cs"/>
                </a:rPr>
                <a:t>〖</a:t>
              </a:r>
              <a:r>
                <a:rPr lang="en-IN" sz="1100" b="1" i="0">
                  <a:solidFill>
                    <a:schemeClr val="dk1"/>
                  </a:solidFill>
                  <a:effectLst/>
                  <a:latin typeface="+mn-lt"/>
                  <a:ea typeface="+mn-ea"/>
                  <a:cs typeface="+mn-cs"/>
                </a:rPr>
                <a:t>"ERP" </a:t>
              </a:r>
              <a:r>
                <a:rPr lang="ar-AE" sz="1100" b="1" i="0">
                  <a:solidFill>
                    <a:schemeClr val="dk1"/>
                  </a:solidFill>
                  <a:effectLst/>
                  <a:latin typeface="+mn-lt"/>
                  <a:ea typeface="+mn-ea"/>
                  <a:cs typeface="+mn-cs"/>
                </a:rPr>
                <a:t>〗_</a:t>
              </a:r>
              <a:r>
                <a:rPr lang="en-IN" sz="1100" b="1" i="0">
                  <a:solidFill>
                    <a:schemeClr val="dk1"/>
                  </a:solidFill>
                  <a:effectLst/>
                  <a:latin typeface="Cambria Math" panose="02040503050406030204" pitchFamily="18" charset="0"/>
                  <a:ea typeface="+mn-ea"/>
                  <a:cs typeface="+mn-cs"/>
                </a:rPr>
                <a:t>𝟏</a:t>
              </a:r>
              <a:r>
                <a:rPr lang="ar-AE" sz="1100" b="1" i="0">
                  <a:solidFill>
                    <a:schemeClr val="dk1"/>
                  </a:solidFill>
                  <a:effectLst/>
                  <a:latin typeface="+mn-lt"/>
                  <a:ea typeface="+mn-ea"/>
                  <a:cs typeface="+mn-cs"/>
                </a:rPr>
                <a:t>=</a:t>
              </a:r>
              <a:r>
                <a:rPr lang="en-IN" sz="1100" b="1" i="0">
                  <a:solidFill>
                    <a:schemeClr val="dk1"/>
                  </a:solidFill>
                  <a:effectLst/>
                  <a:latin typeface="Cambria Math" panose="02040503050406030204" pitchFamily="18" charset="0"/>
                  <a:ea typeface="+mn-ea"/>
                  <a:cs typeface="+mn-cs"/>
                </a:rPr>
                <a:t>"Mature</a:t>
              </a:r>
              <a:r>
                <a:rPr lang="ar-AE" sz="1100" b="1" i="0">
                  <a:solidFill>
                    <a:schemeClr val="dk1"/>
                  </a:solidFill>
                  <a:effectLst/>
                  <a:latin typeface="Cambria Math" panose="02040503050406030204" pitchFamily="18" charset="0"/>
                  <a:ea typeface="+mn-ea"/>
                  <a:cs typeface="+mn-cs"/>
                </a:rPr>
                <a:t> </a:t>
              </a:r>
              <a:r>
                <a:rPr lang="en-IN" sz="1100" b="1" i="0">
                  <a:solidFill>
                    <a:schemeClr val="dk1"/>
                  </a:solidFill>
                  <a:effectLst/>
                  <a:latin typeface="Cambria Math" panose="02040503050406030204" pitchFamily="18" charset="0"/>
                  <a:ea typeface="+mn-ea"/>
                  <a:cs typeface="+mn-cs"/>
                </a:rPr>
                <a:t>Market</a:t>
              </a:r>
              <a:r>
                <a:rPr lang="ar-AE" sz="1100" b="1" i="0">
                  <a:solidFill>
                    <a:schemeClr val="dk1"/>
                  </a:solidFill>
                  <a:effectLst/>
                  <a:latin typeface="Cambria Math" panose="02040503050406030204" pitchFamily="18" charset="0"/>
                  <a:ea typeface="+mn-ea"/>
                  <a:cs typeface="+mn-cs"/>
                </a:rPr>
                <a:t> </a:t>
              </a:r>
              <a:r>
                <a:rPr lang="en-IN" sz="1100" b="1" i="0">
                  <a:solidFill>
                    <a:schemeClr val="dk1"/>
                  </a:solidFill>
                  <a:effectLst/>
                  <a:latin typeface="Cambria Math" panose="02040503050406030204" pitchFamily="18" charset="0"/>
                  <a:ea typeface="+mn-ea"/>
                  <a:cs typeface="+mn-cs"/>
                </a:rPr>
                <a:t>ERP</a:t>
              </a:r>
              <a:r>
                <a:rPr lang="ar-AE" sz="1100" b="1" i="0">
                  <a:solidFill>
                    <a:schemeClr val="dk1"/>
                  </a:solidFill>
                  <a:effectLst/>
                  <a:latin typeface="+mn-lt"/>
                  <a:ea typeface="+mn-ea"/>
                  <a:cs typeface="+mn-cs"/>
                </a:rPr>
                <a:t>"+〖</a:t>
              </a:r>
              <a:r>
                <a:rPr lang="en-IN" sz="1100" b="1" i="0">
                  <a:solidFill>
                    <a:schemeClr val="dk1"/>
                  </a:solidFill>
                  <a:effectLst/>
                  <a:latin typeface="+mn-lt"/>
                  <a:ea typeface="+mn-ea"/>
                  <a:cs typeface="+mn-cs"/>
                </a:rPr>
                <a:t>"Default Spread" </a:t>
              </a:r>
              <a:r>
                <a:rPr lang="ar-AE" sz="1100" b="1" i="0">
                  <a:solidFill>
                    <a:schemeClr val="dk1"/>
                  </a:solidFill>
                  <a:effectLst/>
                  <a:latin typeface="+mn-lt"/>
                  <a:ea typeface="+mn-ea"/>
                  <a:cs typeface="+mn-cs"/>
                </a:rPr>
                <a:t>〗_𝑹𝒂𝒕𝒊𝒏𝒈𝒔</a:t>
              </a:r>
              <a:endParaRPr lang="en-IN" sz="1200" b="1" i="1"/>
            </a:p>
            <a:p>
              <a:r>
                <a:rPr lang="ar-AE" sz="1100" b="1" i="0">
                  <a:solidFill>
                    <a:schemeClr val="dk1"/>
                  </a:solidFill>
                  <a:latin typeface="+mn-lt"/>
                  <a:ea typeface="+mn-ea"/>
                  <a:cs typeface="+mn-cs"/>
                </a:rPr>
                <a:t>〖</a:t>
              </a:r>
              <a:r>
                <a:rPr lang="en-IN" sz="1200" b="1" i="0">
                  <a:solidFill>
                    <a:schemeClr val="dk1"/>
                  </a:solidFill>
                  <a:latin typeface="+mn-lt"/>
                  <a:ea typeface="+mn-ea"/>
                  <a:cs typeface="+mn-cs"/>
                </a:rPr>
                <a:t>"</a:t>
              </a:r>
              <a:r>
                <a:rPr lang="en-IN" sz="1200" b="1" i="0"/>
                <a:t>ERP</a:t>
              </a:r>
              <a:r>
                <a:rPr lang="ar-AE" sz="1100" b="1" i="0">
                  <a:solidFill>
                    <a:schemeClr val="dk1"/>
                  </a:solidFill>
                  <a:latin typeface="+mn-lt"/>
                  <a:ea typeface="+mn-ea"/>
                  <a:cs typeface="+mn-cs"/>
                </a:rPr>
                <a:t>" 〗_𝟐=</a:t>
              </a:r>
              <a:r>
                <a:rPr lang="en-IN" sz="1100" b="1" i="0">
                  <a:solidFill>
                    <a:schemeClr val="dk1"/>
                  </a:solidFill>
                  <a:latin typeface="Cambria Math" panose="02040503050406030204" pitchFamily="18" charset="0"/>
                  <a:ea typeface="+mn-ea"/>
                  <a:cs typeface="+mn-cs"/>
                </a:rPr>
                <a:t>"Mature</a:t>
              </a:r>
              <a:r>
                <a:rPr lang="ar-AE" sz="1100" b="1" i="0">
                  <a:solidFill>
                    <a:schemeClr val="dk1"/>
                  </a:solidFill>
                  <a:latin typeface="Cambria Math" panose="02040503050406030204" pitchFamily="18" charset="0"/>
                  <a:ea typeface="+mn-ea"/>
                  <a:cs typeface="+mn-cs"/>
                </a:rPr>
                <a:t> </a:t>
              </a:r>
              <a:r>
                <a:rPr lang="en-IN" sz="1100" b="1" i="0">
                  <a:solidFill>
                    <a:schemeClr val="dk1"/>
                  </a:solidFill>
                  <a:latin typeface="Cambria Math" panose="02040503050406030204" pitchFamily="18" charset="0"/>
                  <a:ea typeface="+mn-ea"/>
                  <a:cs typeface="+mn-cs"/>
                </a:rPr>
                <a:t>Market</a:t>
              </a:r>
              <a:r>
                <a:rPr lang="ar-AE" sz="1100" b="1" i="0">
                  <a:solidFill>
                    <a:schemeClr val="dk1"/>
                  </a:solidFill>
                  <a:latin typeface="Cambria Math" panose="02040503050406030204" pitchFamily="18" charset="0"/>
                  <a:ea typeface="+mn-ea"/>
                  <a:cs typeface="+mn-cs"/>
                </a:rPr>
                <a:t> </a:t>
              </a:r>
              <a:r>
                <a:rPr lang="en-IN" sz="1100" b="1" i="0">
                  <a:solidFill>
                    <a:schemeClr val="dk1"/>
                  </a:solidFill>
                  <a:latin typeface="Cambria Math" panose="02040503050406030204" pitchFamily="18" charset="0"/>
                  <a:ea typeface="+mn-ea"/>
                  <a:cs typeface="+mn-cs"/>
                </a:rPr>
                <a:t>ERP</a:t>
              </a:r>
              <a:r>
                <a:rPr lang="ar-AE" sz="1100" b="1" i="0">
                  <a:solidFill>
                    <a:schemeClr val="dk1"/>
                  </a:solidFill>
                  <a:latin typeface="+mn-lt"/>
                  <a:ea typeface="+mn-ea"/>
                  <a:cs typeface="+mn-cs"/>
                </a:rPr>
                <a:t>"+〖</a:t>
              </a:r>
              <a:r>
                <a:rPr lang="en-IN" sz="1100" b="1" i="0">
                  <a:solidFill>
                    <a:schemeClr val="dk1"/>
                  </a:solidFill>
                  <a:latin typeface="+mn-lt"/>
                  <a:ea typeface="+mn-ea"/>
                  <a:cs typeface="+mn-cs"/>
                </a:rPr>
                <a:t>"CRP</a:t>
              </a:r>
              <a:r>
                <a:rPr lang="ar-AE" sz="1100" b="1" i="0">
                  <a:solidFill>
                    <a:schemeClr val="dk1"/>
                  </a:solidFill>
                  <a:latin typeface="+mn-lt"/>
                  <a:ea typeface="+mn-ea"/>
                  <a:cs typeface="+mn-cs"/>
                </a:rPr>
                <a:t>" 〗_𝑹𝒂𝒕𝒊𝒏𝒈𝒔</a:t>
              </a:r>
              <a:endParaRPr lang="ar-AE" sz="1200" b="1" i="1"/>
            </a:p>
            <a:p>
              <a:r>
                <a:rPr lang="ar-AE" sz="1100" b="1" i="0">
                  <a:solidFill>
                    <a:schemeClr val="dk1"/>
                  </a:solidFill>
                  <a:latin typeface="+mn-lt"/>
                  <a:ea typeface="+mn-ea"/>
                  <a:cs typeface="+mn-cs"/>
                </a:rPr>
                <a:t>〖</a:t>
              </a:r>
              <a:r>
                <a:rPr lang="en-IN" sz="1200" b="1" i="0">
                  <a:solidFill>
                    <a:schemeClr val="dk1"/>
                  </a:solidFill>
                  <a:latin typeface="+mn-lt"/>
                  <a:ea typeface="+mn-ea"/>
                  <a:cs typeface="+mn-cs"/>
                </a:rPr>
                <a:t>"</a:t>
              </a:r>
              <a:r>
                <a:rPr lang="en-IN" sz="1200" b="1" i="0"/>
                <a:t>ERP</a:t>
              </a:r>
              <a:r>
                <a:rPr lang="ar-AE" sz="1100" b="1" i="0">
                  <a:solidFill>
                    <a:schemeClr val="dk1"/>
                  </a:solidFill>
                  <a:latin typeface="+mn-lt"/>
                  <a:ea typeface="+mn-ea"/>
                  <a:cs typeface="+mn-cs"/>
                </a:rPr>
                <a:t>" 〗_𝟑=</a:t>
              </a:r>
              <a:r>
                <a:rPr lang="en-IN" sz="1100" b="1" i="0">
                  <a:solidFill>
                    <a:schemeClr val="dk1"/>
                  </a:solidFill>
                  <a:latin typeface="Cambria Math" panose="02040503050406030204" pitchFamily="18" charset="0"/>
                  <a:ea typeface="+mn-ea"/>
                  <a:cs typeface="+mn-cs"/>
                </a:rPr>
                <a:t>"Mature</a:t>
              </a:r>
              <a:r>
                <a:rPr lang="ar-AE" sz="1100" b="1" i="0">
                  <a:solidFill>
                    <a:schemeClr val="dk1"/>
                  </a:solidFill>
                  <a:latin typeface="Cambria Math" panose="02040503050406030204" pitchFamily="18" charset="0"/>
                  <a:ea typeface="+mn-ea"/>
                  <a:cs typeface="+mn-cs"/>
                </a:rPr>
                <a:t> </a:t>
              </a:r>
              <a:r>
                <a:rPr lang="en-IN" sz="1100" b="1" i="0">
                  <a:solidFill>
                    <a:schemeClr val="dk1"/>
                  </a:solidFill>
                  <a:latin typeface="Cambria Math" panose="02040503050406030204" pitchFamily="18" charset="0"/>
                  <a:ea typeface="+mn-ea"/>
                  <a:cs typeface="+mn-cs"/>
                </a:rPr>
                <a:t>Market</a:t>
              </a:r>
              <a:r>
                <a:rPr lang="ar-AE" sz="1100" b="1" i="0">
                  <a:solidFill>
                    <a:schemeClr val="dk1"/>
                  </a:solidFill>
                  <a:latin typeface="Cambria Math" panose="02040503050406030204" pitchFamily="18" charset="0"/>
                  <a:ea typeface="+mn-ea"/>
                  <a:cs typeface="+mn-cs"/>
                </a:rPr>
                <a:t> </a:t>
              </a:r>
              <a:r>
                <a:rPr lang="en-IN" sz="1100" b="1" i="0">
                  <a:solidFill>
                    <a:schemeClr val="dk1"/>
                  </a:solidFill>
                  <a:latin typeface="Cambria Math" panose="02040503050406030204" pitchFamily="18" charset="0"/>
                  <a:ea typeface="+mn-ea"/>
                  <a:cs typeface="+mn-cs"/>
                </a:rPr>
                <a:t>ERP</a:t>
              </a:r>
              <a:r>
                <a:rPr lang="ar-AE" sz="1100" b="1" i="0">
                  <a:solidFill>
                    <a:schemeClr val="dk1"/>
                  </a:solidFill>
                  <a:latin typeface="+mn-lt"/>
                  <a:ea typeface="+mn-ea"/>
                  <a:cs typeface="+mn-cs"/>
                </a:rPr>
                <a:t>"+〖</a:t>
              </a:r>
              <a:r>
                <a:rPr lang="en-IN" sz="1100" b="1" i="0">
                  <a:solidFill>
                    <a:schemeClr val="dk1"/>
                  </a:solidFill>
                  <a:latin typeface="+mn-lt"/>
                  <a:ea typeface="+mn-ea"/>
                  <a:cs typeface="+mn-cs"/>
                </a:rPr>
                <a:t>"CRP</a:t>
              </a:r>
              <a:r>
                <a:rPr lang="ar-AE" sz="1100" b="1" i="0">
                  <a:solidFill>
                    <a:schemeClr val="dk1"/>
                  </a:solidFill>
                  <a:latin typeface="+mn-lt"/>
                  <a:ea typeface="+mn-ea"/>
                  <a:cs typeface="+mn-cs"/>
                </a:rPr>
                <a:t>" 〗_𝑪𝑫𝑺</a:t>
              </a:r>
              <a:endParaRPr lang="en-IN" sz="1200" b="1" i="1"/>
            </a:p>
            <a:p>
              <a:endParaRPr lang="en-IN" sz="1200" b="1" i="1"/>
            </a:p>
            <a:p>
              <a:r>
                <a:rPr lang="en-IN" sz="1200"/>
                <a:t>ERP₂ and ERP₃ incorporate volatility-adjusted measures and are generally more representative of equity market risk. As </a:t>
              </a:r>
              <a:r>
                <a:rPr lang="en-IN" sz="1100">
                  <a:solidFill>
                    <a:schemeClr val="dk1"/>
                  </a:solidFill>
                  <a:effectLst/>
                  <a:latin typeface="+mn-lt"/>
                  <a:ea typeface="+mn-ea"/>
                  <a:cs typeface="+mn-cs"/>
                </a:rPr>
                <a:t>ERP₃ was estimated</a:t>
              </a:r>
              <a:r>
                <a:rPr lang="en-IN" sz="1100" baseline="0">
                  <a:solidFill>
                    <a:schemeClr val="dk1"/>
                  </a:solidFill>
                  <a:effectLst/>
                  <a:latin typeface="+mn-lt"/>
                  <a:ea typeface="+mn-ea"/>
                  <a:cs typeface="+mn-cs"/>
                </a:rPr>
                <a:t> using CDS spreads as a proxy for default spread, it provides better representation of country's sovereign risk.</a:t>
              </a:r>
            </a:p>
            <a:p>
              <a:endParaRPr lang="en-IN" sz="1100" b="1" i="1" baseline="0">
                <a:solidFill>
                  <a:schemeClr val="dk1"/>
                </a:solidFill>
                <a:effectLst/>
                <a:latin typeface="+mn-lt"/>
                <a:ea typeface="+mn-ea"/>
                <a:cs typeface="+mn-cs"/>
              </a:endParaRPr>
            </a:p>
            <a:p>
              <a:r>
                <a:rPr lang="en-IN" sz="1200" b="1"/>
                <a:t>5. Regional Risk Metrics</a:t>
              </a:r>
            </a:p>
            <a:p>
              <a:r>
                <a:rPr lang="en-IN" sz="1200"/>
                <a:t>To complement country-level estimates, this model extends the analysis to broader geographic regions. The objective is to provide a more practical benchmarking tool for valuing companies that derive revenue across multiple countries rather than a single jurisdiction.</a:t>
              </a:r>
            </a:p>
            <a:p>
              <a:endParaRPr lang="en-IN" sz="1200"/>
            </a:p>
            <a:p>
              <a:r>
                <a:rPr lang="en-IN" sz="1200"/>
                <a:t>Each region’s </a:t>
              </a:r>
              <a:r>
                <a:rPr lang="en-IN" sz="1200" b="0"/>
                <a:t>Default Spread, Country Risk Premium (CRP), and Equity Risk Premium (ERP) are estimated as GDP-weighted averages </a:t>
              </a:r>
              <a:r>
                <a:rPr lang="en-IN" sz="1200"/>
                <a:t>of the respective values from individual countries within that region.</a:t>
              </a:r>
              <a:r>
                <a:rPr lang="en-IN" sz="1200" baseline="0"/>
                <a:t> </a:t>
              </a:r>
              <a:r>
                <a:rPr lang="en-IN" sz="1200"/>
                <a:t>Only countries for which ERP/CRP data is available are included in the regional aggregation — ensuring that the output remains representative of actual market exposure rather than simple geographic counts.</a:t>
              </a:r>
            </a:p>
            <a:p>
              <a:pPr algn="l"/>
              <a:endParaRPr lang="en-IN" sz="1200" b="1" i="1"/>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3dc0ba0609f8e1b/Documents/Finance/Global%20WACC%20Engine.xlsx" TargetMode="External"/><Relationship Id="rId1" Type="http://schemas.openxmlformats.org/officeDocument/2006/relationships/externalLinkPath" Target="https://d.docs.live.net/E3DC0BA0609F8E1B/Desktop/Jay%20Prakash%20-%20Portfolio/Global%20WACC%20Eng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Here"/>
      <sheetName val="RFR&gt;"/>
      <sheetName val="AutoGovYield"/>
      <sheetName val="RFRbyCountry"/>
      <sheetName val="RfrCalc"/>
      <sheetName val="ERP&gt;"/>
      <sheetName val="ERPcalc"/>
      <sheetName val="ERPsCRPs&amp;Spreads"/>
      <sheetName val="GlobalRelativeVolatility"/>
      <sheetName val="RegionalERP"/>
      <sheetName val="Beta&gt;"/>
      <sheetName val="GlobalBeta"/>
      <sheetName val="KD&gt;"/>
      <sheetName val="KDcalc"/>
      <sheetName val="WACC&gt;"/>
      <sheetName val="WACC"/>
      <sheetName val="INDIA&gt;"/>
      <sheetName val="ERPcalcINDIA"/>
      <sheetName val="RelativeVolatilityIND"/>
      <sheetName val="IndianBeta"/>
      <sheetName val="Data&gt;"/>
      <sheetName val="RatingSpreads"/>
      <sheetName val="CDS"/>
      <sheetName val="Ratings&amp;PRS"/>
      <sheetName val="WrldbnkGDP"/>
      <sheetName val="Region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8">
          <cell r="B8" t="str">
            <v>AAA</v>
          </cell>
          <cell r="C8" t="str">
            <v>Aaa</v>
          </cell>
          <cell r="D8">
            <v>0</v>
          </cell>
        </row>
        <row r="9">
          <cell r="B9" t="str">
            <v>AA+</v>
          </cell>
          <cell r="C9" t="str">
            <v>Aa1</v>
          </cell>
          <cell r="D9">
            <v>39.577444416893947</v>
          </cell>
        </row>
        <row r="10">
          <cell r="B10" t="str">
            <v>AA</v>
          </cell>
          <cell r="C10" t="str">
            <v>Aa2</v>
          </cell>
          <cell r="D10">
            <v>48.889784279692527</v>
          </cell>
        </row>
        <row r="11">
          <cell r="B11" t="str">
            <v>AA-</v>
          </cell>
          <cell r="C11" t="str">
            <v>Aa3</v>
          </cell>
          <cell r="D11">
            <v>59.366166625340931</v>
          </cell>
        </row>
        <row r="12">
          <cell r="B12" t="str">
            <v>A+</v>
          </cell>
          <cell r="C12" t="str">
            <v>A1</v>
          </cell>
          <cell r="D12">
            <v>69.842548970989341</v>
          </cell>
        </row>
        <row r="13">
          <cell r="B13" t="str">
            <v>A</v>
          </cell>
          <cell r="C13" t="str">
            <v>A2</v>
          </cell>
          <cell r="D13">
            <v>83.811058765187198</v>
          </cell>
        </row>
        <row r="14">
          <cell r="B14" t="str">
            <v>A-</v>
          </cell>
          <cell r="C14" t="str">
            <v>A3</v>
          </cell>
          <cell r="D14">
            <v>118.73233325068186</v>
          </cell>
        </row>
        <row r="15">
          <cell r="B15" t="str">
            <v>BBB+</v>
          </cell>
          <cell r="C15" t="str">
            <v>Baa1</v>
          </cell>
          <cell r="D15">
            <v>158.30977766757579</v>
          </cell>
        </row>
        <row r="16">
          <cell r="B16" t="str">
            <v>BBB</v>
          </cell>
          <cell r="C16" t="str">
            <v>Baa2</v>
          </cell>
          <cell r="D16">
            <v>188.5748822216712</v>
          </cell>
        </row>
        <row r="17">
          <cell r="B17" t="str">
            <v>BBB-</v>
          </cell>
          <cell r="C17" t="str">
            <v>Baa3</v>
          </cell>
          <cell r="D17">
            <v>217.67594429291677</v>
          </cell>
        </row>
        <row r="18">
          <cell r="B18" t="str">
            <v>BB+</v>
          </cell>
          <cell r="C18" t="str">
            <v>Ba1</v>
          </cell>
          <cell r="D18">
            <v>247.94104884701215</v>
          </cell>
        </row>
        <row r="19">
          <cell r="B19" t="str">
            <v>BB</v>
          </cell>
          <cell r="C19" t="str">
            <v>Ba2</v>
          </cell>
          <cell r="D19">
            <v>297.99487560955447</v>
          </cell>
        </row>
        <row r="20">
          <cell r="B20" t="str">
            <v>BB-</v>
          </cell>
          <cell r="C20" t="str">
            <v>Ba3</v>
          </cell>
          <cell r="D20">
            <v>356.19699975204554</v>
          </cell>
        </row>
        <row r="21">
          <cell r="B21" t="str">
            <v>B+</v>
          </cell>
          <cell r="C21" t="str">
            <v>B1</v>
          </cell>
          <cell r="D21">
            <v>445.82827093148182</v>
          </cell>
        </row>
        <row r="22">
          <cell r="B22" t="str">
            <v>B</v>
          </cell>
          <cell r="C22" t="str">
            <v>B2</v>
          </cell>
          <cell r="D22">
            <v>544.77188197371675</v>
          </cell>
        </row>
        <row r="23">
          <cell r="B23" t="str">
            <v>B-</v>
          </cell>
          <cell r="C23" t="str">
            <v>B3</v>
          </cell>
          <cell r="D23">
            <v>643.71549301595155</v>
          </cell>
        </row>
        <row r="24">
          <cell r="B24" t="str">
            <v>CCC+</v>
          </cell>
          <cell r="C24" t="str">
            <v>Caa1</v>
          </cell>
          <cell r="D24">
            <v>742.65910405818647</v>
          </cell>
        </row>
        <row r="25">
          <cell r="B25" t="str">
            <v>CCC</v>
          </cell>
          <cell r="C25" t="str">
            <v>Caa2</v>
          </cell>
          <cell r="D25">
            <v>891.65654186296365</v>
          </cell>
        </row>
        <row r="26">
          <cell r="B26" t="str">
            <v>CCC-</v>
          </cell>
          <cell r="C26" t="str">
            <v>Caa3</v>
          </cell>
          <cell r="D26">
            <v>990.60015290519868</v>
          </cell>
        </row>
        <row r="27">
          <cell r="B27" t="str">
            <v>CC</v>
          </cell>
          <cell r="C27" t="str">
            <v>Ca</v>
          </cell>
          <cell r="D27">
            <v>1188.4873749896685</v>
          </cell>
        </row>
        <row r="28">
          <cell r="B28" t="str">
            <v>C</v>
          </cell>
          <cell r="C28" t="str">
            <v>Ca</v>
          </cell>
          <cell r="D28">
            <v>1188.4873749896685</v>
          </cell>
        </row>
        <row r="29">
          <cell r="B29" t="str">
            <v>D</v>
          </cell>
          <cell r="C29" t="str">
            <v>C</v>
          </cell>
          <cell r="D29">
            <v>1750</v>
          </cell>
        </row>
        <row r="30">
          <cell r="B30" t="str">
            <v>NR</v>
          </cell>
          <cell r="C30" t="str">
            <v>NR</v>
          </cell>
          <cell r="D30" t="str">
            <v>NA</v>
          </cell>
        </row>
      </sheetData>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ay-finance.github.io/portfolio/" TargetMode="External"/><Relationship Id="rId1" Type="http://schemas.openxmlformats.org/officeDocument/2006/relationships/hyperlink" Target="https://jay-finance.github.io/portfoli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8C91-5FE1-4AFA-8A47-10902BC8CDE7}">
  <sheetPr>
    <tabColor rgb="FFFFC000"/>
  </sheetPr>
  <dimension ref="B2:E3"/>
  <sheetViews>
    <sheetView showGridLines="0" tabSelected="1" zoomScale="113" workbookViewId="0">
      <selection activeCell="S49" sqref="S49"/>
    </sheetView>
  </sheetViews>
  <sheetFormatPr defaultRowHeight="15" x14ac:dyDescent="0.25"/>
  <cols>
    <col min="1" max="1" width="1.85546875" customWidth="1"/>
    <col min="2" max="2" width="9.85546875" customWidth="1"/>
    <col min="4" max="4" width="16.7109375" customWidth="1"/>
    <col min="5" max="5" width="13.140625" customWidth="1"/>
  </cols>
  <sheetData>
    <row r="2" spans="2:5" x14ac:dyDescent="0.25">
      <c r="B2" s="77" t="s">
        <v>1583</v>
      </c>
      <c r="C2" s="78" t="s">
        <v>1584</v>
      </c>
      <c r="D2" s="78"/>
      <c r="E2" s="79"/>
    </row>
    <row r="3" spans="2:5" x14ac:dyDescent="0.25">
      <c r="B3" s="80" t="s">
        <v>1585</v>
      </c>
      <c r="C3" s="81" t="s">
        <v>1586</v>
      </c>
      <c r="D3" s="82"/>
      <c r="E3" s="83"/>
    </row>
  </sheetData>
  <hyperlinks>
    <hyperlink ref="C3:D3" r:id="rId1" display="https://jay-finance.github.io/portfolio/" xr:uid="{C3F770F3-C64C-4080-A698-7AFEEB67EDD0}"/>
    <hyperlink ref="C3" r:id="rId2" xr:uid="{49B454E0-D656-4B44-8EFD-081976117B96}"/>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DD0C-8683-435B-AF9A-1569CC5DAB79}">
  <dimension ref="B2:D35"/>
  <sheetViews>
    <sheetView showGridLines="0" topLeftCell="B1" zoomScale="75" workbookViewId="0">
      <selection activeCell="L19" sqref="L19"/>
    </sheetView>
  </sheetViews>
  <sheetFormatPr defaultRowHeight="15" x14ac:dyDescent="0.25"/>
  <cols>
    <col min="1" max="1" width="1.85546875" customWidth="1"/>
    <col min="2" max="2" width="44.85546875" bestFit="1" customWidth="1"/>
    <col min="3" max="3" width="24.85546875" bestFit="1" customWidth="1"/>
    <col min="4" max="4" width="8.5703125" bestFit="1" customWidth="1"/>
    <col min="5" max="6" width="9.140625" customWidth="1"/>
  </cols>
  <sheetData>
    <row r="2" spans="2:4" ht="18.75" x14ac:dyDescent="0.3">
      <c r="B2" s="20" t="s">
        <v>1606</v>
      </c>
      <c r="C2" s="21"/>
    </row>
    <row r="3" spans="2:4" ht="3.95" customHeight="1" x14ac:dyDescent="0.35">
      <c r="B3" s="22"/>
      <c r="C3" s="23"/>
    </row>
    <row r="4" spans="2:4" ht="15" customHeight="1" x14ac:dyDescent="0.25">
      <c r="B4" t="s">
        <v>1582</v>
      </c>
      <c r="C4" s="111" t="s">
        <v>31</v>
      </c>
    </row>
    <row r="5" spans="2:4" ht="15" customHeight="1" x14ac:dyDescent="0.25">
      <c r="B5" t="s">
        <v>1581</v>
      </c>
      <c r="C5" s="76">
        <v>0.04</v>
      </c>
      <c r="D5" t="s">
        <v>1580</v>
      </c>
    </row>
    <row r="6" spans="2:4" ht="15" customHeight="1" x14ac:dyDescent="0.25">
      <c r="B6" t="s">
        <v>224</v>
      </c>
      <c r="C6" s="28">
        <f>VLOOKUP(C4,'ERPsCRPs&amp;Spreads'!$B$8:$K$164,9,FALSE)</f>
        <v>9.9868734918720815E-3</v>
      </c>
    </row>
    <row r="7" spans="2:4" ht="15" customHeight="1" x14ac:dyDescent="0.25">
      <c r="B7" t="s">
        <v>198</v>
      </c>
      <c r="C7" s="112">
        <f>C5-C6</f>
        <v>3.0013126508127919E-2</v>
      </c>
    </row>
    <row r="8" spans="2:4" ht="15" customHeight="1" x14ac:dyDescent="0.35">
      <c r="B8" s="22"/>
      <c r="C8" s="23"/>
    </row>
    <row r="9" spans="2:4" x14ac:dyDescent="0.25">
      <c r="B9" t="s">
        <v>199</v>
      </c>
      <c r="C9" s="25" t="s">
        <v>64</v>
      </c>
      <c r="D9" t="s">
        <v>200</v>
      </c>
    </row>
    <row r="10" spans="2:4" x14ac:dyDescent="0.25">
      <c r="B10" t="s">
        <v>201</v>
      </c>
      <c r="C10" s="27" t="str">
        <f>VLOOKUP(C9,'ERPsCRPs&amp;Spreads'!$B$8:$D$164,3,FALSE)</f>
        <v>Baa3</v>
      </c>
    </row>
    <row r="11" spans="2:4" x14ac:dyDescent="0.25">
      <c r="B11" t="s">
        <v>1611</v>
      </c>
      <c r="C11" s="107">
        <f>VLOOKUP(C9,'ERPsCRPs&amp;Spreads'!$B$8:$K$164,4,FALSE)</f>
        <v>2.1767594429291676E-2</v>
      </c>
    </row>
    <row r="12" spans="2:4" x14ac:dyDescent="0.25">
      <c r="B12" t="s">
        <v>1612</v>
      </c>
      <c r="C12" s="107">
        <f>VLOOKUP(C9,'ERPsCRPs&amp;Spreads'!$B$8:$K$164,8,FALSE)</f>
        <v>6.6999999999999994E-3</v>
      </c>
    </row>
    <row r="13" spans="2:4" x14ac:dyDescent="0.25">
      <c r="B13" t="s">
        <v>1610</v>
      </c>
      <c r="C13" s="108">
        <f>IFERROR(VLOOKUP(ERPcalc!$C$9,'ERPsCRPs&amp;Spreads'!$B$8:$K$164,6,FALSE),"NA")</f>
        <v>6.5875821753853162E-2</v>
      </c>
    </row>
    <row r="14" spans="2:4" x14ac:dyDescent="0.25">
      <c r="B14" t="s">
        <v>1609</v>
      </c>
      <c r="C14" s="107">
        <f>IFERROR(VLOOKUP(ERPcalc!$C$9,'ERPsCRPs&amp;Spreads'!$B$8:$K$164,9,FALSE),"NA")</f>
        <v>2.0276379513800891E-2</v>
      </c>
    </row>
    <row r="16" spans="2:4" x14ac:dyDescent="0.25">
      <c r="B16" t="s">
        <v>1608</v>
      </c>
      <c r="C16" s="105">
        <f>C5+C11</f>
        <v>6.1767594429291681E-2</v>
      </c>
    </row>
    <row r="17" spans="2:4" ht="15" customHeight="1" x14ac:dyDescent="0.25">
      <c r="B17" t="s">
        <v>1587</v>
      </c>
      <c r="C17" s="105">
        <f>C5+C13</f>
        <v>0.10587582175385316</v>
      </c>
    </row>
    <row r="18" spans="2:4" x14ac:dyDescent="0.25">
      <c r="B18" s="29" t="s">
        <v>1607</v>
      </c>
      <c r="C18" s="106">
        <f>IFERROR(C5+C14,"NA")</f>
        <v>6.0276379513800896E-2</v>
      </c>
      <c r="D18" s="61" t="str">
        <f>IF(C18="NA","&lt; "&amp;C9&amp;" does not have a CDS spread use ERP 1 or 2","")</f>
        <v/>
      </c>
    </row>
    <row r="20" spans="2:4" ht="18.75" x14ac:dyDescent="0.3">
      <c r="B20" s="20" t="s">
        <v>202</v>
      </c>
      <c r="C20" s="21"/>
      <c r="D20" s="30"/>
    </row>
    <row r="21" spans="2:4" ht="3.95" customHeight="1" x14ac:dyDescent="0.25">
      <c r="C21" s="31"/>
    </row>
    <row r="22" spans="2:4" x14ac:dyDescent="0.25">
      <c r="B22" t="s">
        <v>213</v>
      </c>
      <c r="C22" s="25" t="s">
        <v>8</v>
      </c>
      <c r="D22" t="s">
        <v>203</v>
      </c>
    </row>
    <row r="23" spans="2:4" ht="3.95" customHeight="1" x14ac:dyDescent="0.25">
      <c r="C23" s="32"/>
    </row>
    <row r="24" spans="2:4" ht="15" customHeight="1" x14ac:dyDescent="0.25">
      <c r="B24" t="s">
        <v>1</v>
      </c>
      <c r="C24" s="75">
        <f>VLOOKUP($C$22,RegionalERP!$B$14:$F$17,2,FALSE)</f>
        <v>34857583.550000004</v>
      </c>
    </row>
    <row r="25" spans="2:4" ht="15" customHeight="1" x14ac:dyDescent="0.25">
      <c r="B25" t="s">
        <v>224</v>
      </c>
      <c r="C25" s="103">
        <f>VLOOKUP($C$22,RegionalERP!$B$14:$F$17,3,FALSE)</f>
        <v>2.2846338122670232E-2</v>
      </c>
    </row>
    <row r="26" spans="2:4" x14ac:dyDescent="0.25">
      <c r="B26" s="29" t="s">
        <v>1579</v>
      </c>
      <c r="C26" s="104">
        <f>VLOOKUP($C$22,RegionalERP!$B$14:$F$17,4,FALSE)</f>
        <v>5.2859464630798172E-2</v>
      </c>
    </row>
    <row r="28" spans="2:4" ht="18.75" x14ac:dyDescent="0.3">
      <c r="B28" s="20" t="s">
        <v>204</v>
      </c>
      <c r="C28" s="21"/>
    </row>
    <row r="29" spans="2:4" ht="3.95" customHeight="1" x14ac:dyDescent="0.25"/>
    <row r="30" spans="2:4" x14ac:dyDescent="0.25">
      <c r="B30" t="s">
        <v>199</v>
      </c>
      <c r="C30" s="33" t="s">
        <v>83</v>
      </c>
      <c r="D30" t="s">
        <v>203</v>
      </c>
    </row>
    <row r="31" spans="2:4" x14ac:dyDescent="0.25">
      <c r="B31" t="s">
        <v>205</v>
      </c>
      <c r="C31" s="27">
        <f>VLOOKUP(C30,'ERPsCRPs&amp;Spreads'!$B$169:$I$189,3,FALSE)</f>
        <v>54.75</v>
      </c>
    </row>
    <row r="32" spans="2:4" ht="3.95" customHeight="1" x14ac:dyDescent="0.25"/>
    <row r="33" spans="2:3" x14ac:dyDescent="0.25">
      <c r="B33" t="s">
        <v>206</v>
      </c>
      <c r="C33" s="107">
        <f>VLOOKUP(C30,'ERPsCRPs&amp;Spreads'!$B$169:$I$189,5,FALSE)</f>
        <v>0.11884873749896685</v>
      </c>
    </row>
    <row r="34" spans="2:3" x14ac:dyDescent="0.25">
      <c r="B34" t="s">
        <v>207</v>
      </c>
      <c r="C34" s="109">
        <f>VLOOKUP(C30,'ERPsCRPs&amp;Spreads'!$B$169:$I$189,7,FALSE)</f>
        <v>0.35967494123360472</v>
      </c>
    </row>
    <row r="35" spans="2:3" x14ac:dyDescent="0.25">
      <c r="B35" s="29" t="s">
        <v>208</v>
      </c>
      <c r="C35" s="110">
        <f>C5+C34</f>
        <v>0.3996749412336047</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B206D92-FE7C-420F-BC01-A9476CF8EA80}">
          <x14:formula1>
            <xm:f>'ERPsCRPs&amp;Spreads'!$B$8:$B$164</xm:f>
          </x14:formula1>
          <xm:sqref>C9</xm:sqref>
        </x14:dataValidation>
        <x14:dataValidation type="list" allowBlank="1" showInputMessage="1" showErrorMessage="1" xr:uid="{C0271072-B53E-4B5F-8555-15481DA79F7C}">
          <x14:formula1>
            <xm:f>'ERPsCRPs&amp;Spreads'!$B$169:$B$189</xm:f>
          </x14:formula1>
          <xm:sqref>C30</xm:sqref>
        </x14:dataValidation>
        <x14:dataValidation type="list" allowBlank="1" showInputMessage="1" showErrorMessage="1" xr:uid="{BCE9BC94-87BF-4D48-9DC3-800DC41EB23D}">
          <x14:formula1>
            <xm:f>RegionalERP!$B$6:$B$16</xm:f>
          </x14:formula1>
          <xm:sqref>C22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0CA2-6352-4506-9029-B77A5B05C09D}">
  <dimension ref="B2:K1612"/>
  <sheetViews>
    <sheetView showGridLines="0" workbookViewId="0">
      <selection activeCell="G1" sqref="G1"/>
    </sheetView>
  </sheetViews>
  <sheetFormatPr defaultRowHeight="15" x14ac:dyDescent="0.25"/>
  <cols>
    <col min="1" max="1" width="1.85546875" customWidth="1"/>
    <col min="2" max="2" width="16.28515625" customWidth="1"/>
    <col min="3" max="3" width="20.140625" customWidth="1"/>
    <col min="4" max="4" width="16.7109375" customWidth="1"/>
    <col min="5" max="5" width="17" bestFit="1" customWidth="1"/>
    <col min="6" max="6" width="14.85546875" customWidth="1"/>
    <col min="7" max="7" width="22.5703125" customWidth="1"/>
    <col min="8" max="8" width="20.5703125" customWidth="1"/>
    <col min="10" max="10" width="8.5703125" customWidth="1"/>
    <col min="11" max="11" width="9.140625" customWidth="1"/>
  </cols>
  <sheetData>
    <row r="2" spans="2:11" ht="21" x14ac:dyDescent="0.35">
      <c r="B2" s="35" t="s">
        <v>1499</v>
      </c>
      <c r="C2" s="2"/>
      <c r="D2" s="2"/>
      <c r="E2" s="2"/>
      <c r="F2" s="2"/>
      <c r="G2" s="2"/>
      <c r="H2" s="2"/>
    </row>
    <row r="3" spans="2:11" ht="3.95" customHeight="1" x14ac:dyDescent="0.25"/>
    <row r="4" spans="2:11" x14ac:dyDescent="0.25">
      <c r="B4" s="41" t="s">
        <v>1498</v>
      </c>
      <c r="C4" s="51" t="s">
        <v>1497</v>
      </c>
      <c r="D4" s="51" t="s">
        <v>1496</v>
      </c>
      <c r="E4" s="47" t="s">
        <v>1495</v>
      </c>
      <c r="F4" s="26"/>
      <c r="K4" s="38"/>
    </row>
    <row r="5" spans="2:11" ht="3.95" customHeight="1" x14ac:dyDescent="0.25">
      <c r="B5" s="69"/>
      <c r="C5" s="68"/>
      <c r="D5" s="68"/>
      <c r="E5" s="67"/>
      <c r="F5" s="26"/>
      <c r="K5" s="38"/>
    </row>
    <row r="6" spans="2:11" x14ac:dyDescent="0.25">
      <c r="B6" s="66">
        <v>2020</v>
      </c>
      <c r="C6" s="54">
        <f>_xlfn.STDEV.S(D23:D275)*SQRT(253)</f>
        <v>0.32139559649333055</v>
      </c>
      <c r="D6" s="54">
        <f>_xlfn.STDEV.S(H23:H274)*SQRT(252)</f>
        <v>6.8708371725684364E-2</v>
      </c>
      <c r="E6" s="65">
        <f>C6/D6</f>
        <v>4.6776773837181089</v>
      </c>
      <c r="F6" s="31"/>
      <c r="H6" s="31"/>
    </row>
    <row r="7" spans="2:11" x14ac:dyDescent="0.25">
      <c r="B7" s="66">
        <v>2021</v>
      </c>
      <c r="C7" s="54">
        <f>_xlfn.STDEV.S(D277:D528)*SQRT(252)</f>
        <v>0.12656484806346541</v>
      </c>
      <c r="D7" s="54">
        <f>_xlfn.STDEV.S(H276:H530)*SQRT(255)</f>
        <v>3.6745395571933674E-2</v>
      </c>
      <c r="E7" s="65">
        <f t="shared" ref="E7:E10" si="0">C7/D7</f>
        <v>3.4443729913234709</v>
      </c>
      <c r="F7" s="31"/>
    </row>
    <row r="8" spans="2:11" x14ac:dyDescent="0.25">
      <c r="B8" s="66">
        <v>2022</v>
      </c>
      <c r="C8" s="54">
        <f>_xlfn.STDEV.S(D530:D780)*SQRT(251)</f>
        <v>0.22780803976751565</v>
      </c>
      <c r="D8" s="54">
        <f>_xlfn.STDEV.S(H532:H782)*SQRT(251)</f>
        <v>6.8330013117441815E-2</v>
      </c>
      <c r="E8" s="65">
        <f t="shared" si="0"/>
        <v>3.3339381828592933</v>
      </c>
      <c r="F8" s="31"/>
    </row>
    <row r="9" spans="2:11" x14ac:dyDescent="0.25">
      <c r="B9" s="66">
        <v>2023</v>
      </c>
      <c r="C9" s="54">
        <f>_xlfn.STDEV.S(D782:D1031)*SQRT(250)</f>
        <v>0.12757646118294794</v>
      </c>
      <c r="D9" s="54">
        <f>_xlfn.STDEV.S(H784:H1033)*SQRT(250)</f>
        <v>7.3192219567704511E-2</v>
      </c>
      <c r="E9" s="65">
        <f t="shared" si="0"/>
        <v>1.7430330974583539</v>
      </c>
      <c r="F9" s="74"/>
    </row>
    <row r="10" spans="2:11" x14ac:dyDescent="0.25">
      <c r="B10" s="61">
        <v>2024</v>
      </c>
      <c r="C10" s="31">
        <f>_xlfn.STDEV.S(D1033:D1284)*SQRT(252)</f>
        <v>0.11947819239475257</v>
      </c>
      <c r="D10" s="31">
        <f>_xlfn.STDEV.S(H1035:H1284)*SQRT(250)</f>
        <v>5.6302620143944354E-2</v>
      </c>
      <c r="E10" s="64">
        <f t="shared" si="0"/>
        <v>2.1220716209883723</v>
      </c>
      <c r="F10" s="31"/>
    </row>
    <row r="11" spans="2:11" x14ac:dyDescent="0.25">
      <c r="B11" s="66">
        <v>2025</v>
      </c>
      <c r="C11" s="54">
        <f>_xlfn.STDEV.S(D1286:D1535)*SQRT(250)</f>
        <v>0.17170509769588871</v>
      </c>
      <c r="D11" s="54">
        <f>_xlfn.STDEV.S(H1286:H1531)*SQRT(246)</f>
        <v>5.1144432537587513E-2</v>
      </c>
      <c r="E11" s="65">
        <f>C11/D11</f>
        <v>3.3572588290953802</v>
      </c>
      <c r="F11" s="31"/>
    </row>
    <row r="12" spans="2:11" x14ac:dyDescent="0.25">
      <c r="B12" s="66">
        <v>2026</v>
      </c>
      <c r="C12" s="54">
        <f>_xlfn.STDEV.S(D1537:D1612)*SQRT(76)</f>
        <v>9.0046943009342212E-2</v>
      </c>
      <c r="D12" s="54">
        <f>_xlfn.STDEV.S(H1533:H1607)*SQRT(75)</f>
        <v>3.7000558797825635E-2</v>
      </c>
      <c r="E12" s="65">
        <f t="shared" ref="E12" si="1">C12/D12</f>
        <v>2.4336644076476457</v>
      </c>
      <c r="F12" s="31"/>
    </row>
    <row r="13" spans="2:11" ht="15.75" thickBot="1" x14ac:dyDescent="0.3">
      <c r="B13" s="63" t="s">
        <v>1588</v>
      </c>
      <c r="C13" s="18">
        <f>AVERAGE(C6:C12)</f>
        <v>0.16922502551532043</v>
      </c>
      <c r="D13" s="18">
        <f>AVERAGE(D6:D12)</f>
        <v>5.5917658780303123E-2</v>
      </c>
      <c r="E13" s="62">
        <f>C13/D13</f>
        <v>3.0263253005672976</v>
      </c>
      <c r="F13" s="61"/>
      <c r="H13" s="39"/>
    </row>
    <row r="14" spans="2:11" x14ac:dyDescent="0.25">
      <c r="B14" s="61"/>
      <c r="C14" s="56"/>
      <c r="D14" s="56"/>
      <c r="E14" s="38"/>
      <c r="F14" s="61"/>
      <c r="H14" s="39"/>
    </row>
    <row r="16" spans="2:11" x14ac:dyDescent="0.25">
      <c r="B16" s="29" t="s">
        <v>1493</v>
      </c>
      <c r="C16" s="29" t="s">
        <v>1494</v>
      </c>
      <c r="F16" s="29" t="s">
        <v>1493</v>
      </c>
      <c r="G16" s="29" t="s">
        <v>1492</v>
      </c>
    </row>
    <row r="17" spans="2:8" x14ac:dyDescent="0.25">
      <c r="B17" t="s">
        <v>1491</v>
      </c>
      <c r="C17" t="s">
        <v>1590</v>
      </c>
      <c r="F17" t="s">
        <v>1491</v>
      </c>
      <c r="G17" t="s">
        <v>1590</v>
      </c>
    </row>
    <row r="18" spans="2:8" x14ac:dyDescent="0.25">
      <c r="B18" t="s">
        <v>1490</v>
      </c>
      <c r="C18" t="s">
        <v>1489</v>
      </c>
      <c r="F18" t="s">
        <v>1490</v>
      </c>
      <c r="G18" t="s">
        <v>1489</v>
      </c>
    </row>
    <row r="19" spans="2:8" ht="3.95" customHeight="1" x14ac:dyDescent="0.25"/>
    <row r="20" spans="2:8" x14ac:dyDescent="0.25">
      <c r="B20" s="47" t="s">
        <v>1488</v>
      </c>
      <c r="C20" s="51" t="s">
        <v>1487</v>
      </c>
      <c r="D20" s="51" t="s">
        <v>1486</v>
      </c>
      <c r="F20" s="47" t="s">
        <v>1488</v>
      </c>
      <c r="G20" s="51" t="s">
        <v>1487</v>
      </c>
      <c r="H20" s="51" t="s">
        <v>1486</v>
      </c>
    </row>
    <row r="21" spans="2:8" ht="3.95" customHeight="1" x14ac:dyDescent="0.25"/>
    <row r="22" spans="2:8" x14ac:dyDescent="0.25">
      <c r="B22" s="60">
        <v>43830</v>
      </c>
      <c r="C22" s="5">
        <v>79.25</v>
      </c>
      <c r="D22" s="54"/>
      <c r="F22" s="59" t="s">
        <v>1485</v>
      </c>
      <c r="G22" s="5">
        <v>13.54</v>
      </c>
      <c r="H22" s="5"/>
    </row>
    <row r="23" spans="2:8" x14ac:dyDescent="0.25">
      <c r="B23" s="60">
        <v>43832</v>
      </c>
      <c r="C23" s="5">
        <v>80.069999999999993</v>
      </c>
      <c r="D23" s="54">
        <f t="shared" ref="D23:D86" si="2">C23/C22-1</f>
        <v>1.0347003154574042E-2</v>
      </c>
      <c r="F23" s="59" t="s">
        <v>1484</v>
      </c>
      <c r="G23" s="5">
        <v>13.55</v>
      </c>
      <c r="H23" s="54">
        <f t="shared" ref="H23:H86" si="3">G23/G22-1</f>
        <v>7.3855243722320552E-4</v>
      </c>
    </row>
    <row r="24" spans="2:8" x14ac:dyDescent="0.25">
      <c r="B24" s="60">
        <v>43833</v>
      </c>
      <c r="C24" s="5">
        <v>79.38</v>
      </c>
      <c r="D24" s="54">
        <f t="shared" si="2"/>
        <v>-8.6174597227425265E-3</v>
      </c>
      <c r="F24" s="59" t="s">
        <v>1483</v>
      </c>
      <c r="G24" s="5">
        <v>13.57</v>
      </c>
      <c r="H24" s="54">
        <f t="shared" si="3"/>
        <v>1.4760147601475815E-3</v>
      </c>
    </row>
    <row r="25" spans="2:8" x14ac:dyDescent="0.25">
      <c r="B25" s="60">
        <v>43836</v>
      </c>
      <c r="C25" s="5">
        <v>79.56</v>
      </c>
      <c r="D25" s="54">
        <f t="shared" si="2"/>
        <v>2.2675736961452753E-3</v>
      </c>
      <c r="F25" s="59" t="s">
        <v>1482</v>
      </c>
      <c r="G25" s="5">
        <v>13.6</v>
      </c>
      <c r="H25" s="54">
        <f t="shared" si="3"/>
        <v>2.2107590272659738E-3</v>
      </c>
    </row>
    <row r="26" spans="2:8" x14ac:dyDescent="0.25">
      <c r="B26" s="60">
        <v>43837</v>
      </c>
      <c r="C26" s="5">
        <v>79.36</v>
      </c>
      <c r="D26" s="54">
        <f t="shared" si="2"/>
        <v>-2.513826043237799E-3</v>
      </c>
      <c r="F26" s="59" t="s">
        <v>1481</v>
      </c>
      <c r="G26" s="5">
        <v>13.55</v>
      </c>
      <c r="H26" s="54">
        <f t="shared" si="3"/>
        <v>-3.67647058823517E-3</v>
      </c>
    </row>
    <row r="27" spans="2:8" x14ac:dyDescent="0.25">
      <c r="B27" s="60">
        <v>43838</v>
      </c>
      <c r="C27" s="5">
        <v>79.75</v>
      </c>
      <c r="D27" s="54">
        <f t="shared" si="2"/>
        <v>4.9143145161290036E-3</v>
      </c>
      <c r="F27" s="59" t="s">
        <v>1480</v>
      </c>
      <c r="G27" s="5">
        <v>13.53</v>
      </c>
      <c r="H27" s="54">
        <f t="shared" si="3"/>
        <v>-1.4760147601476925E-3</v>
      </c>
    </row>
    <row r="28" spans="2:8" x14ac:dyDescent="0.25">
      <c r="B28" s="60">
        <v>43839</v>
      </c>
      <c r="C28" s="5">
        <v>80.2</v>
      </c>
      <c r="D28" s="54">
        <f t="shared" si="2"/>
        <v>5.642633228840177E-3</v>
      </c>
      <c r="F28" s="59" t="s">
        <v>1479</v>
      </c>
      <c r="G28" s="5">
        <v>13.5</v>
      </c>
      <c r="H28" s="54">
        <f t="shared" si="3"/>
        <v>-2.2172949002217113E-3</v>
      </c>
    </row>
    <row r="29" spans="2:8" x14ac:dyDescent="0.25">
      <c r="B29" s="60">
        <v>43840</v>
      </c>
      <c r="C29" s="5">
        <v>80.02</v>
      </c>
      <c r="D29" s="54">
        <f t="shared" si="2"/>
        <v>-2.2443890274315148E-3</v>
      </c>
      <c r="F29" s="59" t="s">
        <v>1478</v>
      </c>
      <c r="G29" s="5">
        <v>13.52</v>
      </c>
      <c r="H29" s="54">
        <f t="shared" si="3"/>
        <v>1.481481481481417E-3</v>
      </c>
    </row>
    <row r="30" spans="2:8" x14ac:dyDescent="0.25">
      <c r="B30" s="60">
        <v>43843</v>
      </c>
      <c r="C30" s="5">
        <v>80.62</v>
      </c>
      <c r="D30" s="54">
        <f t="shared" si="2"/>
        <v>7.4981254686330434E-3</v>
      </c>
      <c r="F30" s="59" t="s">
        <v>1477</v>
      </c>
      <c r="G30" s="5">
        <v>13.51</v>
      </c>
      <c r="H30" s="54">
        <f t="shared" si="3"/>
        <v>-7.3964497041423272E-4</v>
      </c>
    </row>
    <row r="31" spans="2:8" x14ac:dyDescent="0.25">
      <c r="B31" s="60">
        <v>43844</v>
      </c>
      <c r="C31" s="5">
        <v>80.55</v>
      </c>
      <c r="D31" s="54">
        <f t="shared" si="2"/>
        <v>-8.6827090052110645E-4</v>
      </c>
      <c r="F31" s="59" t="s">
        <v>1476</v>
      </c>
      <c r="G31" s="5">
        <v>13.52</v>
      </c>
      <c r="H31" s="54">
        <f t="shared" si="3"/>
        <v>7.4019245003698053E-4</v>
      </c>
    </row>
    <row r="32" spans="2:8" x14ac:dyDescent="0.25">
      <c r="B32" s="60">
        <v>43845</v>
      </c>
      <c r="C32" s="5">
        <v>80.5</v>
      </c>
      <c r="D32" s="54">
        <f t="shared" si="2"/>
        <v>-6.2073246430782714E-4</v>
      </c>
      <c r="F32" s="59" t="s">
        <v>1475</v>
      </c>
      <c r="G32" s="5">
        <v>13.54</v>
      </c>
      <c r="H32" s="54">
        <f t="shared" si="3"/>
        <v>1.4792899408284654E-3</v>
      </c>
    </row>
    <row r="33" spans="2:8" x14ac:dyDescent="0.25">
      <c r="B33" s="60">
        <v>43846</v>
      </c>
      <c r="C33" s="5">
        <v>81.09</v>
      </c>
      <c r="D33" s="54">
        <f t="shared" si="2"/>
        <v>7.3291925465839292E-3</v>
      </c>
      <c r="F33" s="59" t="s">
        <v>1474</v>
      </c>
      <c r="G33" s="5">
        <v>13.54</v>
      </c>
      <c r="H33" s="54">
        <f t="shared" si="3"/>
        <v>0</v>
      </c>
    </row>
    <row r="34" spans="2:8" x14ac:dyDescent="0.25">
      <c r="B34" s="60">
        <v>43847</v>
      </c>
      <c r="C34" s="5">
        <v>81.31</v>
      </c>
      <c r="D34" s="54">
        <f t="shared" si="2"/>
        <v>2.7130348994943709E-3</v>
      </c>
      <c r="F34" s="59" t="s">
        <v>1473</v>
      </c>
      <c r="G34" s="5">
        <v>13.53</v>
      </c>
      <c r="H34" s="54">
        <f t="shared" si="3"/>
        <v>-7.3855243722298347E-4</v>
      </c>
    </row>
    <row r="35" spans="2:8" x14ac:dyDescent="0.25">
      <c r="B35" s="60">
        <v>43851</v>
      </c>
      <c r="C35" s="5">
        <v>80.87</v>
      </c>
      <c r="D35" s="54">
        <f t="shared" si="2"/>
        <v>-5.41138851309797E-3</v>
      </c>
      <c r="F35" s="59" t="s">
        <v>1472</v>
      </c>
      <c r="G35" s="5">
        <v>13.55</v>
      </c>
      <c r="H35" s="54">
        <f t="shared" si="3"/>
        <v>1.4781966001480296E-3</v>
      </c>
    </row>
    <row r="36" spans="2:8" x14ac:dyDescent="0.25">
      <c r="B36" s="60">
        <v>43852</v>
      </c>
      <c r="C36" s="5">
        <v>80.930000000000007</v>
      </c>
      <c r="D36" s="54">
        <f t="shared" si="2"/>
        <v>7.419314949919098E-4</v>
      </c>
      <c r="F36" s="59" t="s">
        <v>1471</v>
      </c>
      <c r="G36" s="5">
        <v>13.56</v>
      </c>
      <c r="H36" s="54">
        <f t="shared" si="3"/>
        <v>7.3800738007379074E-4</v>
      </c>
    </row>
    <row r="37" spans="2:8" x14ac:dyDescent="0.25">
      <c r="B37" s="60">
        <v>43853</v>
      </c>
      <c r="C37" s="5">
        <v>80.94</v>
      </c>
      <c r="D37" s="54">
        <f t="shared" si="2"/>
        <v>1.235635734584406E-4</v>
      </c>
      <c r="F37" s="59" t="s">
        <v>1470</v>
      </c>
      <c r="G37" s="5">
        <v>13.59</v>
      </c>
      <c r="H37" s="54">
        <f t="shared" si="3"/>
        <v>2.2123893805310324E-3</v>
      </c>
    </row>
    <row r="38" spans="2:8" x14ac:dyDescent="0.25">
      <c r="B38" s="60">
        <v>43854</v>
      </c>
      <c r="C38" s="5">
        <v>80.27</v>
      </c>
      <c r="D38" s="54">
        <f t="shared" si="2"/>
        <v>-8.2777365950086335E-3</v>
      </c>
      <c r="F38" s="59" t="s">
        <v>1469</v>
      </c>
      <c r="G38" s="5">
        <v>13.59</v>
      </c>
      <c r="H38" s="54">
        <f t="shared" si="3"/>
        <v>0</v>
      </c>
    </row>
    <row r="39" spans="2:8" x14ac:dyDescent="0.25">
      <c r="B39" s="60">
        <v>43857</v>
      </c>
      <c r="C39" s="5">
        <v>78.78</v>
      </c>
      <c r="D39" s="54">
        <f t="shared" si="2"/>
        <v>-1.8562352061791354E-2</v>
      </c>
      <c r="F39" s="59" t="s">
        <v>1468</v>
      </c>
      <c r="G39" s="5">
        <v>13.61</v>
      </c>
      <c r="H39" s="54">
        <f t="shared" si="3"/>
        <v>1.4716703458423908E-3</v>
      </c>
    </row>
    <row r="40" spans="2:8" x14ac:dyDescent="0.25">
      <c r="B40" s="60">
        <v>43858</v>
      </c>
      <c r="C40" s="5">
        <v>79.52</v>
      </c>
      <c r="D40" s="54">
        <f t="shared" si="2"/>
        <v>9.3932470170092763E-3</v>
      </c>
      <c r="F40" s="59" t="s">
        <v>1467</v>
      </c>
      <c r="G40" s="5">
        <v>13.61</v>
      </c>
      <c r="H40" s="54">
        <f t="shared" si="3"/>
        <v>0</v>
      </c>
    </row>
    <row r="41" spans="2:8" x14ac:dyDescent="0.25">
      <c r="B41" s="60">
        <v>43859</v>
      </c>
      <c r="C41" s="5">
        <v>79.510000000000005</v>
      </c>
      <c r="D41" s="54">
        <f t="shared" si="2"/>
        <v>-1.2575452716290236E-4</v>
      </c>
      <c r="F41" s="59" t="s">
        <v>1466</v>
      </c>
      <c r="G41" s="5">
        <v>13.62</v>
      </c>
      <c r="H41" s="54">
        <f t="shared" si="3"/>
        <v>7.3475385745780386E-4</v>
      </c>
    </row>
    <row r="42" spans="2:8" x14ac:dyDescent="0.25">
      <c r="B42" s="60">
        <v>43860</v>
      </c>
      <c r="C42" s="5">
        <v>79.510000000000005</v>
      </c>
      <c r="D42" s="54">
        <f t="shared" si="2"/>
        <v>0</v>
      </c>
      <c r="F42" s="59" t="s">
        <v>1465</v>
      </c>
      <c r="G42" s="5">
        <v>13.64</v>
      </c>
      <c r="H42" s="54">
        <f t="shared" si="3"/>
        <v>1.468428781204123E-3</v>
      </c>
    </row>
    <row r="43" spans="2:8" x14ac:dyDescent="0.25">
      <c r="B43" s="60">
        <v>43861</v>
      </c>
      <c r="C43" s="5">
        <v>78.11</v>
      </c>
      <c r="D43" s="54">
        <f t="shared" si="2"/>
        <v>-1.760784806942528E-2</v>
      </c>
      <c r="F43" s="59" t="s">
        <v>1464</v>
      </c>
      <c r="G43" s="5">
        <v>13.66</v>
      </c>
      <c r="H43" s="54">
        <f t="shared" si="3"/>
        <v>1.4662756598240456E-3</v>
      </c>
    </row>
    <row r="44" spans="2:8" x14ac:dyDescent="0.25">
      <c r="B44" s="60">
        <v>43864</v>
      </c>
      <c r="C44" s="5">
        <v>78.64</v>
      </c>
      <c r="D44" s="54">
        <f t="shared" si="2"/>
        <v>6.7853027781334951E-3</v>
      </c>
      <c r="F44" s="59" t="s">
        <v>1463</v>
      </c>
      <c r="G44" s="5">
        <v>13.66</v>
      </c>
      <c r="H44" s="54">
        <f t="shared" si="3"/>
        <v>0</v>
      </c>
    </row>
    <row r="45" spans="2:8" x14ac:dyDescent="0.25">
      <c r="B45" s="60">
        <v>43865</v>
      </c>
      <c r="C45" s="5">
        <v>79.989999999999995</v>
      </c>
      <c r="D45" s="54">
        <f t="shared" si="2"/>
        <v>1.7166836215666281E-2</v>
      </c>
      <c r="F45" s="59" t="s">
        <v>1462</v>
      </c>
      <c r="G45" s="5">
        <v>13.64</v>
      </c>
      <c r="H45" s="54">
        <f t="shared" si="3"/>
        <v>-1.4641288433381305E-3</v>
      </c>
    </row>
    <row r="46" spans="2:8" x14ac:dyDescent="0.25">
      <c r="B46" s="60">
        <v>43866</v>
      </c>
      <c r="C46" s="5">
        <v>80.75</v>
      </c>
      <c r="D46" s="54">
        <f t="shared" si="2"/>
        <v>9.5011876484560887E-3</v>
      </c>
      <c r="F46" s="59" t="s">
        <v>1461</v>
      </c>
      <c r="G46" s="5">
        <v>13.6</v>
      </c>
      <c r="H46" s="54">
        <f t="shared" si="3"/>
        <v>-2.9325513196482023E-3</v>
      </c>
    </row>
    <row r="47" spans="2:8" x14ac:dyDescent="0.25">
      <c r="B47" s="60">
        <v>43867</v>
      </c>
      <c r="C47" s="5">
        <v>80.91</v>
      </c>
      <c r="D47" s="54">
        <f t="shared" si="2"/>
        <v>1.9814241486066919E-3</v>
      </c>
      <c r="F47" s="59" t="s">
        <v>1460</v>
      </c>
      <c r="G47" s="5">
        <v>13.57</v>
      </c>
      <c r="H47" s="54">
        <f t="shared" si="3"/>
        <v>-2.2058823529411686E-3</v>
      </c>
    </row>
    <row r="48" spans="2:8" x14ac:dyDescent="0.25">
      <c r="B48" s="60">
        <v>43868</v>
      </c>
      <c r="C48" s="5">
        <v>80.38</v>
      </c>
      <c r="D48" s="54">
        <f t="shared" si="2"/>
        <v>-6.55048819676185E-3</v>
      </c>
      <c r="F48" s="59" t="s">
        <v>1459</v>
      </c>
      <c r="G48" s="5">
        <v>13.61</v>
      </c>
      <c r="H48" s="54">
        <f t="shared" si="3"/>
        <v>2.9476787030213725E-3</v>
      </c>
    </row>
    <row r="49" spans="2:8" x14ac:dyDescent="0.25">
      <c r="B49" s="60">
        <v>43871</v>
      </c>
      <c r="C49" s="5">
        <v>80.78</v>
      </c>
      <c r="D49" s="54">
        <f t="shared" si="2"/>
        <v>4.9763622791740847E-3</v>
      </c>
      <c r="F49" s="59" t="s">
        <v>1458</v>
      </c>
      <c r="G49" s="5">
        <v>13.6</v>
      </c>
      <c r="H49" s="54">
        <f t="shared" si="3"/>
        <v>-7.3475385745769284E-4</v>
      </c>
    </row>
    <row r="50" spans="2:8" x14ac:dyDescent="0.25">
      <c r="B50" s="60">
        <v>43872</v>
      </c>
      <c r="C50" s="5">
        <v>81.19</v>
      </c>
      <c r="D50" s="54">
        <f t="shared" si="2"/>
        <v>5.0755137410249951E-3</v>
      </c>
      <c r="F50" s="59" t="s">
        <v>1457</v>
      </c>
      <c r="G50" s="5">
        <v>13.61</v>
      </c>
      <c r="H50" s="54">
        <f t="shared" si="3"/>
        <v>7.3529411764705621E-4</v>
      </c>
    </row>
    <row r="51" spans="2:8" x14ac:dyDescent="0.25">
      <c r="B51" s="60">
        <v>43873</v>
      </c>
      <c r="C51" s="5">
        <v>81.73</v>
      </c>
      <c r="D51" s="54">
        <f t="shared" si="2"/>
        <v>6.6510654021432192E-3</v>
      </c>
      <c r="F51" s="59" t="s">
        <v>1456</v>
      </c>
      <c r="G51" s="5">
        <v>13.61</v>
      </c>
      <c r="H51" s="54">
        <f t="shared" si="3"/>
        <v>0</v>
      </c>
    </row>
    <row r="52" spans="2:8" x14ac:dyDescent="0.25">
      <c r="B52" s="60">
        <v>43874</v>
      </c>
      <c r="C52" s="5">
        <v>81.36</v>
      </c>
      <c r="D52" s="54">
        <f t="shared" si="2"/>
        <v>-4.5271014315428904E-3</v>
      </c>
      <c r="F52" s="59" t="s">
        <v>1455</v>
      </c>
      <c r="G52" s="5">
        <v>13.6</v>
      </c>
      <c r="H52" s="54">
        <f t="shared" si="3"/>
        <v>-7.3475385745769284E-4</v>
      </c>
    </row>
    <row r="53" spans="2:8" x14ac:dyDescent="0.25">
      <c r="B53" s="60">
        <v>43875</v>
      </c>
      <c r="C53" s="5">
        <v>81.44</v>
      </c>
      <c r="D53" s="54">
        <f t="shared" si="2"/>
        <v>9.8328416912485395E-4</v>
      </c>
      <c r="F53" s="59" t="s">
        <v>1454</v>
      </c>
      <c r="G53" s="5">
        <v>13.61</v>
      </c>
      <c r="H53" s="54">
        <f t="shared" si="3"/>
        <v>7.3529411764705621E-4</v>
      </c>
    </row>
    <row r="54" spans="2:8" x14ac:dyDescent="0.25">
      <c r="B54" s="60">
        <v>43879</v>
      </c>
      <c r="C54" s="5">
        <v>81.12</v>
      </c>
      <c r="D54" s="54">
        <f t="shared" si="2"/>
        <v>-3.9292730844793233E-3</v>
      </c>
      <c r="F54" s="59" t="s">
        <v>1453</v>
      </c>
      <c r="G54" s="5">
        <v>13.59</v>
      </c>
      <c r="H54" s="54">
        <f t="shared" si="3"/>
        <v>-1.4695077149154967E-3</v>
      </c>
    </row>
    <row r="55" spans="2:8" x14ac:dyDescent="0.25">
      <c r="B55" s="60">
        <v>43880</v>
      </c>
      <c r="C55" s="5">
        <v>81.459999999999994</v>
      </c>
      <c r="D55" s="54">
        <f t="shared" si="2"/>
        <v>4.1913214990136893E-3</v>
      </c>
      <c r="F55" s="59" t="s">
        <v>1452</v>
      </c>
      <c r="G55" s="5">
        <v>13.57</v>
      </c>
      <c r="H55" s="54">
        <f t="shared" si="3"/>
        <v>-1.4716703458425018E-3</v>
      </c>
    </row>
    <row r="56" spans="2:8" x14ac:dyDescent="0.25">
      <c r="B56" s="60">
        <v>43881</v>
      </c>
      <c r="C56" s="5">
        <v>80.989999999999995</v>
      </c>
      <c r="D56" s="54">
        <f t="shared" si="2"/>
        <v>-5.7697029216793316E-3</v>
      </c>
      <c r="F56" s="59" t="s">
        <v>1451</v>
      </c>
      <c r="G56" s="5">
        <v>13.55</v>
      </c>
      <c r="H56" s="54">
        <f t="shared" si="3"/>
        <v>-1.4738393515106862E-3</v>
      </c>
    </row>
    <row r="57" spans="2:8" x14ac:dyDescent="0.25">
      <c r="B57" s="60">
        <v>43882</v>
      </c>
      <c r="C57" s="5">
        <v>80.36</v>
      </c>
      <c r="D57" s="54">
        <f t="shared" si="2"/>
        <v>-7.7787381158167523E-3</v>
      </c>
      <c r="F57" s="59" t="s">
        <v>1450</v>
      </c>
      <c r="G57" s="5">
        <v>13.59</v>
      </c>
      <c r="H57" s="54">
        <f t="shared" si="3"/>
        <v>2.952029520295163E-3</v>
      </c>
    </row>
    <row r="58" spans="2:8" x14ac:dyDescent="0.25">
      <c r="B58" s="60">
        <v>43885</v>
      </c>
      <c r="C58" s="5">
        <v>77.599999999999994</v>
      </c>
      <c r="D58" s="54">
        <f t="shared" si="2"/>
        <v>-3.4345445495271298E-2</v>
      </c>
      <c r="F58" s="59" t="s">
        <v>1449</v>
      </c>
      <c r="G58" s="5">
        <v>13.61</v>
      </c>
      <c r="H58" s="54">
        <f t="shared" si="3"/>
        <v>1.4716703458423908E-3</v>
      </c>
    </row>
    <row r="59" spans="2:8" x14ac:dyDescent="0.25">
      <c r="B59" s="60">
        <v>43886</v>
      </c>
      <c r="C59" s="5">
        <v>75.61</v>
      </c>
      <c r="D59" s="54">
        <f t="shared" si="2"/>
        <v>-2.5644329896907125E-2</v>
      </c>
      <c r="F59" s="59" t="s">
        <v>1448</v>
      </c>
      <c r="G59" s="5">
        <v>13.62</v>
      </c>
      <c r="H59" s="54">
        <f t="shared" si="3"/>
        <v>7.3475385745780386E-4</v>
      </c>
    </row>
    <row r="60" spans="2:8" x14ac:dyDescent="0.25">
      <c r="B60" s="60">
        <v>43887</v>
      </c>
      <c r="C60" s="5">
        <v>75.680000000000007</v>
      </c>
      <c r="D60" s="54">
        <f t="shared" si="2"/>
        <v>9.2580346515025447E-4</v>
      </c>
      <c r="F60" s="59" t="s">
        <v>1447</v>
      </c>
      <c r="G60" s="5">
        <v>13.59</v>
      </c>
      <c r="H60" s="54">
        <f t="shared" si="3"/>
        <v>-2.2026431718060735E-3</v>
      </c>
    </row>
    <row r="61" spans="2:8" x14ac:dyDescent="0.25">
      <c r="B61" s="60">
        <v>43888</v>
      </c>
      <c r="C61" s="5">
        <v>73.03</v>
      </c>
      <c r="D61" s="54">
        <f t="shared" si="2"/>
        <v>-3.5015856236786491E-2</v>
      </c>
      <c r="F61" s="59" t="s">
        <v>1446</v>
      </c>
      <c r="G61" s="5">
        <v>13.63</v>
      </c>
      <c r="H61" s="54">
        <f t="shared" si="3"/>
        <v>2.9433406916852256E-3</v>
      </c>
    </row>
    <row r="62" spans="2:8" x14ac:dyDescent="0.25">
      <c r="B62" s="60">
        <v>43889</v>
      </c>
      <c r="C62" s="5">
        <v>72.260000000000005</v>
      </c>
      <c r="D62" s="54">
        <f t="shared" si="2"/>
        <v>-1.054361221415856E-2</v>
      </c>
      <c r="F62" s="59" t="s">
        <v>1445</v>
      </c>
      <c r="G62" s="5">
        <v>13.68</v>
      </c>
      <c r="H62" s="54">
        <f t="shared" si="3"/>
        <v>3.668378576669129E-3</v>
      </c>
    </row>
    <row r="63" spans="2:8" x14ac:dyDescent="0.25">
      <c r="B63" s="60">
        <v>43892</v>
      </c>
      <c r="C63" s="5">
        <v>74.650000000000006</v>
      </c>
      <c r="D63" s="54">
        <f t="shared" si="2"/>
        <v>3.3075006919457417E-2</v>
      </c>
      <c r="F63" s="59" t="s">
        <v>1444</v>
      </c>
      <c r="G63" s="5">
        <v>13.68</v>
      </c>
      <c r="H63" s="54">
        <f t="shared" si="3"/>
        <v>0</v>
      </c>
    </row>
    <row r="64" spans="2:8" x14ac:dyDescent="0.25">
      <c r="B64" s="60">
        <v>43893</v>
      </c>
      <c r="C64" s="5">
        <v>72.87</v>
      </c>
      <c r="D64" s="54">
        <f t="shared" si="2"/>
        <v>-2.384460817146683E-2</v>
      </c>
      <c r="F64" s="59" t="s">
        <v>1443</v>
      </c>
      <c r="G64" s="5">
        <v>13.8</v>
      </c>
      <c r="H64" s="54">
        <f t="shared" si="3"/>
        <v>8.7719298245614308E-3</v>
      </c>
    </row>
    <row r="65" spans="2:8" x14ac:dyDescent="0.25">
      <c r="B65" s="60">
        <v>43894</v>
      </c>
      <c r="C65" s="5">
        <v>75.86</v>
      </c>
      <c r="D65" s="54">
        <f t="shared" si="2"/>
        <v>4.1031974749554001E-2</v>
      </c>
      <c r="F65" s="59" t="s">
        <v>1442</v>
      </c>
      <c r="G65" s="5">
        <v>13.79</v>
      </c>
      <c r="H65" s="54">
        <f t="shared" si="3"/>
        <v>-7.2463768115949012E-4</v>
      </c>
    </row>
    <row r="66" spans="2:8" x14ac:dyDescent="0.25">
      <c r="B66" s="60">
        <v>43895</v>
      </c>
      <c r="C66" s="5">
        <v>73.540000000000006</v>
      </c>
      <c r="D66" s="54">
        <f t="shared" si="2"/>
        <v>-3.0582652254152243E-2</v>
      </c>
      <c r="F66" s="59" t="s">
        <v>1441</v>
      </c>
      <c r="G66" s="5">
        <v>13.9</v>
      </c>
      <c r="H66" s="54">
        <f t="shared" si="3"/>
        <v>7.9767947788254023E-3</v>
      </c>
    </row>
    <row r="67" spans="2:8" x14ac:dyDescent="0.25">
      <c r="B67" s="60">
        <v>43896</v>
      </c>
      <c r="C67" s="5">
        <v>72.23</v>
      </c>
      <c r="D67" s="54">
        <f t="shared" si="2"/>
        <v>-1.7813434865379452E-2</v>
      </c>
      <c r="F67" s="59" t="s">
        <v>1440</v>
      </c>
      <c r="G67" s="5">
        <v>13.93</v>
      </c>
      <c r="H67" s="54">
        <f t="shared" si="3"/>
        <v>2.1582733812948174E-3</v>
      </c>
    </row>
    <row r="68" spans="2:8" x14ac:dyDescent="0.25">
      <c r="B68" s="60">
        <v>43899</v>
      </c>
      <c r="C68" s="5">
        <v>66.790000000000006</v>
      </c>
      <c r="D68" s="54">
        <f t="shared" si="2"/>
        <v>-7.5314966080575863E-2</v>
      </c>
      <c r="F68" s="59" t="s">
        <v>1439</v>
      </c>
      <c r="G68" s="5">
        <v>14.14</v>
      </c>
      <c r="H68" s="54">
        <f t="shared" si="3"/>
        <v>1.5075376884422065E-2</v>
      </c>
    </row>
    <row r="69" spans="2:8" x14ac:dyDescent="0.25">
      <c r="B69" s="60">
        <v>43900</v>
      </c>
      <c r="C69" s="5">
        <v>69.86</v>
      </c>
      <c r="D69" s="54">
        <f t="shared" si="2"/>
        <v>4.5964964815091935E-2</v>
      </c>
      <c r="F69" s="59" t="s">
        <v>1438</v>
      </c>
      <c r="G69" s="5">
        <v>14.28</v>
      </c>
      <c r="H69" s="54">
        <f t="shared" si="3"/>
        <v>9.9009900990099098E-3</v>
      </c>
    </row>
    <row r="70" spans="2:8" x14ac:dyDescent="0.25">
      <c r="B70" s="60">
        <v>43901</v>
      </c>
      <c r="C70" s="5">
        <v>66.25</v>
      </c>
      <c r="D70" s="54">
        <f t="shared" si="2"/>
        <v>-5.1674778127683951E-2</v>
      </c>
      <c r="F70" s="59" t="s">
        <v>1437</v>
      </c>
      <c r="G70" s="5">
        <v>14.15</v>
      </c>
      <c r="H70" s="54">
        <f t="shared" si="3"/>
        <v>-9.1036414565826007E-3</v>
      </c>
    </row>
    <row r="71" spans="2:8" x14ac:dyDescent="0.25">
      <c r="B71" s="60">
        <v>43902</v>
      </c>
      <c r="C71" s="5">
        <v>59.74</v>
      </c>
      <c r="D71" s="54">
        <f t="shared" si="2"/>
        <v>-9.8264150943396245E-2</v>
      </c>
      <c r="F71" s="59" t="s">
        <v>1436</v>
      </c>
      <c r="G71" s="5">
        <v>14.02</v>
      </c>
      <c r="H71" s="54">
        <f t="shared" si="3"/>
        <v>-9.187279151943506E-3</v>
      </c>
    </row>
    <row r="72" spans="2:8" x14ac:dyDescent="0.25">
      <c r="B72" s="60">
        <v>43903</v>
      </c>
      <c r="C72" s="5">
        <v>64.02</v>
      </c>
      <c r="D72" s="54">
        <f t="shared" si="2"/>
        <v>7.1643789755607479E-2</v>
      </c>
      <c r="F72" s="59" t="s">
        <v>1435</v>
      </c>
      <c r="G72" s="5">
        <v>13.8</v>
      </c>
      <c r="H72" s="54">
        <f t="shared" si="3"/>
        <v>-1.5691868758915706E-2</v>
      </c>
    </row>
    <row r="73" spans="2:8" x14ac:dyDescent="0.25">
      <c r="B73" s="60">
        <v>43906</v>
      </c>
      <c r="C73" s="5">
        <v>56.84</v>
      </c>
      <c r="D73" s="54">
        <f t="shared" si="2"/>
        <v>-0.1121524523586378</v>
      </c>
      <c r="F73" s="59" t="s">
        <v>1434</v>
      </c>
      <c r="G73" s="5">
        <v>13.58</v>
      </c>
      <c r="H73" s="54">
        <f t="shared" si="3"/>
        <v>-1.5942028985507339E-2</v>
      </c>
    </row>
    <row r="74" spans="2:8" x14ac:dyDescent="0.25">
      <c r="B74" s="60">
        <v>43907</v>
      </c>
      <c r="C74" s="5">
        <v>60.39</v>
      </c>
      <c r="D74" s="54">
        <f t="shared" si="2"/>
        <v>6.2456016889514299E-2</v>
      </c>
      <c r="F74" s="59" t="s">
        <v>1433</v>
      </c>
      <c r="G74" s="5">
        <v>13.41</v>
      </c>
      <c r="H74" s="54">
        <f t="shared" si="3"/>
        <v>-1.2518409425625876E-2</v>
      </c>
    </row>
    <row r="75" spans="2:8" x14ac:dyDescent="0.25">
      <c r="B75" s="60">
        <v>43908</v>
      </c>
      <c r="C75" s="5">
        <v>56.76</v>
      </c>
      <c r="D75" s="54">
        <f t="shared" si="2"/>
        <v>-6.0109289617486406E-2</v>
      </c>
      <c r="F75" s="59" t="s">
        <v>1432</v>
      </c>
      <c r="G75" s="5">
        <v>13.31</v>
      </c>
      <c r="H75" s="54">
        <f t="shared" si="3"/>
        <v>-7.4571215510812472E-3</v>
      </c>
    </row>
    <row r="76" spans="2:8" x14ac:dyDescent="0.25">
      <c r="B76" s="60">
        <v>43909</v>
      </c>
      <c r="C76" s="5">
        <v>57.12</v>
      </c>
      <c r="D76" s="54">
        <f t="shared" si="2"/>
        <v>6.3424947145878097E-3</v>
      </c>
      <c r="F76" s="59" t="s">
        <v>1431</v>
      </c>
      <c r="G76" s="5">
        <v>12.95</v>
      </c>
      <c r="H76" s="54">
        <f t="shared" si="3"/>
        <v>-2.7047332832456861E-2</v>
      </c>
    </row>
    <row r="77" spans="2:8" x14ac:dyDescent="0.25">
      <c r="B77" s="60">
        <v>43910</v>
      </c>
      <c r="C77" s="5">
        <v>55.31</v>
      </c>
      <c r="D77" s="54">
        <f t="shared" si="2"/>
        <v>-3.1687675070027899E-2</v>
      </c>
      <c r="F77" s="59" t="s">
        <v>1430</v>
      </c>
      <c r="G77" s="5">
        <v>12.81</v>
      </c>
      <c r="H77" s="54">
        <f t="shared" si="3"/>
        <v>-1.08108108108107E-2</v>
      </c>
    </row>
    <row r="78" spans="2:8" x14ac:dyDescent="0.25">
      <c r="B78" s="60">
        <v>43913</v>
      </c>
      <c r="C78" s="5">
        <v>54.33</v>
      </c>
      <c r="D78" s="54">
        <f t="shared" si="2"/>
        <v>-1.771831495208831E-2</v>
      </c>
      <c r="F78" s="59" t="s">
        <v>1429</v>
      </c>
      <c r="G78" s="5">
        <v>12.91</v>
      </c>
      <c r="H78" s="54">
        <f t="shared" si="3"/>
        <v>7.8064012490242085E-3</v>
      </c>
    </row>
    <row r="79" spans="2:8" x14ac:dyDescent="0.25">
      <c r="B79" s="60">
        <v>43914</v>
      </c>
      <c r="C79" s="5">
        <v>58.75</v>
      </c>
      <c r="D79" s="54">
        <f t="shared" si="2"/>
        <v>8.1354684336462313E-2</v>
      </c>
      <c r="F79" s="59" t="s">
        <v>1428</v>
      </c>
      <c r="G79" s="5">
        <v>13.04</v>
      </c>
      <c r="H79" s="54">
        <f t="shared" si="3"/>
        <v>1.0069713400464586E-2</v>
      </c>
    </row>
    <row r="80" spans="2:8" x14ac:dyDescent="0.25">
      <c r="B80" s="60">
        <v>43915</v>
      </c>
      <c r="C80" s="5">
        <v>60.36</v>
      </c>
      <c r="D80" s="54">
        <f t="shared" si="2"/>
        <v>2.7404255319148918E-2</v>
      </c>
      <c r="F80" s="59" t="s">
        <v>1427</v>
      </c>
      <c r="G80" s="5">
        <v>12.96</v>
      </c>
      <c r="H80" s="54">
        <f t="shared" si="3"/>
        <v>-6.1349693251532278E-3</v>
      </c>
    </row>
    <row r="81" spans="2:8" x14ac:dyDescent="0.25">
      <c r="B81" s="60">
        <v>43916</v>
      </c>
      <c r="C81" s="5">
        <v>63.54</v>
      </c>
      <c r="D81" s="54">
        <f t="shared" si="2"/>
        <v>5.2683896620278281E-2</v>
      </c>
      <c r="F81" s="59" t="s">
        <v>1426</v>
      </c>
      <c r="G81" s="5">
        <v>12.97</v>
      </c>
      <c r="H81" s="54">
        <f t="shared" si="3"/>
        <v>7.7160493827155285E-4</v>
      </c>
    </row>
    <row r="82" spans="2:8" x14ac:dyDescent="0.25">
      <c r="B82" s="60">
        <v>43917</v>
      </c>
      <c r="C82" s="5">
        <v>61.68</v>
      </c>
      <c r="D82" s="54">
        <f t="shared" si="2"/>
        <v>-2.9272898961284266E-2</v>
      </c>
      <c r="F82" s="59" t="s">
        <v>1425</v>
      </c>
      <c r="G82" s="5">
        <v>13.22</v>
      </c>
      <c r="H82" s="54">
        <f t="shared" si="3"/>
        <v>1.9275250578257408E-2</v>
      </c>
    </row>
    <row r="83" spans="2:8" x14ac:dyDescent="0.25">
      <c r="B83" s="60">
        <v>43920</v>
      </c>
      <c r="C83" s="5">
        <v>63.04</v>
      </c>
      <c r="D83" s="54">
        <f t="shared" si="2"/>
        <v>2.2049286640726251E-2</v>
      </c>
      <c r="F83" s="59" t="s">
        <v>1424</v>
      </c>
      <c r="G83" s="5">
        <v>13.24</v>
      </c>
      <c r="H83" s="54">
        <f t="shared" si="3"/>
        <v>1.5128593040847349E-3</v>
      </c>
    </row>
    <row r="84" spans="2:8" x14ac:dyDescent="0.25">
      <c r="B84" s="60">
        <v>43921</v>
      </c>
      <c r="C84" s="5">
        <v>62.57</v>
      </c>
      <c r="D84" s="54">
        <f t="shared" si="2"/>
        <v>-7.455583756345141E-3</v>
      </c>
      <c r="F84" s="59" t="s">
        <v>1423</v>
      </c>
      <c r="G84" s="5">
        <v>13.37</v>
      </c>
      <c r="H84" s="54">
        <f t="shared" si="3"/>
        <v>9.8187311178246084E-3</v>
      </c>
    </row>
    <row r="85" spans="2:8" x14ac:dyDescent="0.25">
      <c r="B85" s="60">
        <v>43922</v>
      </c>
      <c r="C85" s="5">
        <v>59.7</v>
      </c>
      <c r="D85" s="54">
        <f t="shared" si="2"/>
        <v>-4.5868627137605866E-2</v>
      </c>
      <c r="F85" s="59" t="s">
        <v>1422</v>
      </c>
      <c r="G85" s="5">
        <v>13.39</v>
      </c>
      <c r="H85" s="54">
        <f t="shared" si="3"/>
        <v>1.4958863126404154E-3</v>
      </c>
    </row>
    <row r="86" spans="2:8" x14ac:dyDescent="0.25">
      <c r="B86" s="60">
        <v>43923</v>
      </c>
      <c r="C86" s="5">
        <v>60.9</v>
      </c>
      <c r="D86" s="54">
        <f t="shared" si="2"/>
        <v>2.0100502512562679E-2</v>
      </c>
      <c r="F86" s="59" t="s">
        <v>1421</v>
      </c>
      <c r="G86" s="5">
        <v>13.42</v>
      </c>
      <c r="H86" s="54">
        <f t="shared" si="3"/>
        <v>2.2404779686333587E-3</v>
      </c>
    </row>
    <row r="87" spans="2:8" x14ac:dyDescent="0.25">
      <c r="B87" s="60">
        <v>43924</v>
      </c>
      <c r="C87" s="5">
        <v>59.99</v>
      </c>
      <c r="D87" s="54">
        <f t="shared" ref="D87:D150" si="4">C87/C86-1</f>
        <v>-1.4942528735632177E-2</v>
      </c>
      <c r="F87" s="59" t="s">
        <v>1420</v>
      </c>
      <c r="G87" s="5">
        <v>13.41</v>
      </c>
      <c r="H87" s="54">
        <f t="shared" ref="H87:H150" si="5">G87/G86-1</f>
        <v>-7.4515648286133107E-4</v>
      </c>
    </row>
    <row r="88" spans="2:8" x14ac:dyDescent="0.25">
      <c r="B88" s="60">
        <v>43927</v>
      </c>
      <c r="C88" s="5">
        <v>63.69</v>
      </c>
      <c r="D88" s="54">
        <f t="shared" si="4"/>
        <v>6.1676946157692925E-2</v>
      </c>
      <c r="F88" s="59" t="s">
        <v>1419</v>
      </c>
      <c r="G88" s="5">
        <v>13.36</v>
      </c>
      <c r="H88" s="54">
        <f t="shared" si="5"/>
        <v>-3.7285607755407346E-3</v>
      </c>
    </row>
    <row r="89" spans="2:8" x14ac:dyDescent="0.25">
      <c r="B89" s="60">
        <v>43928</v>
      </c>
      <c r="C89" s="5">
        <v>63.76</v>
      </c>
      <c r="D89" s="54">
        <f t="shared" si="4"/>
        <v>1.0990736379337118E-3</v>
      </c>
      <c r="F89" s="59" t="s">
        <v>1418</v>
      </c>
      <c r="G89" s="5">
        <v>13.34</v>
      </c>
      <c r="H89" s="54">
        <f t="shared" si="5"/>
        <v>-1.4970059880239361E-3</v>
      </c>
    </row>
    <row r="90" spans="2:8" x14ac:dyDescent="0.25">
      <c r="B90" s="60">
        <v>43929</v>
      </c>
      <c r="C90" s="5">
        <v>65.3</v>
      </c>
      <c r="D90" s="54">
        <f t="shared" si="4"/>
        <v>2.4153074027603472E-2</v>
      </c>
      <c r="F90" s="59" t="s">
        <v>1417</v>
      </c>
      <c r="G90" s="5">
        <v>13.36</v>
      </c>
      <c r="H90" s="54">
        <f t="shared" si="5"/>
        <v>1.4992503748125774E-3</v>
      </c>
    </row>
    <row r="91" spans="2:8" x14ac:dyDescent="0.25">
      <c r="B91" s="60">
        <v>43930</v>
      </c>
      <c r="C91" s="5">
        <v>66.25</v>
      </c>
      <c r="D91" s="54">
        <f t="shared" si="4"/>
        <v>1.4548238897396759E-2</v>
      </c>
      <c r="F91" s="59" t="s">
        <v>1416</v>
      </c>
      <c r="G91" s="5">
        <v>13.37</v>
      </c>
      <c r="H91" s="54">
        <f t="shared" si="5"/>
        <v>7.4850299401196807E-4</v>
      </c>
    </row>
    <row r="92" spans="2:8" x14ac:dyDescent="0.25">
      <c r="B92" s="60">
        <v>43934</v>
      </c>
      <c r="C92" s="5">
        <v>65.72</v>
      </c>
      <c r="D92" s="54">
        <f t="shared" si="4"/>
        <v>-8.0000000000000071E-3</v>
      </c>
      <c r="F92" s="59" t="s">
        <v>1415</v>
      </c>
      <c r="G92" s="5">
        <v>13.44</v>
      </c>
      <c r="H92" s="54">
        <f t="shared" si="5"/>
        <v>5.2356020942407877E-3</v>
      </c>
    </row>
    <row r="93" spans="2:8" x14ac:dyDescent="0.25">
      <c r="B93" s="60">
        <v>43935</v>
      </c>
      <c r="C93" s="5">
        <v>67.41</v>
      </c>
      <c r="D93" s="54">
        <f t="shared" si="4"/>
        <v>2.5715155203895224E-2</v>
      </c>
      <c r="F93" s="59" t="s">
        <v>1414</v>
      </c>
      <c r="G93" s="5">
        <v>13.59</v>
      </c>
      <c r="H93" s="54">
        <f t="shared" si="5"/>
        <v>1.1160714285714413E-2</v>
      </c>
    </row>
    <row r="94" spans="2:8" x14ac:dyDescent="0.25">
      <c r="B94" s="60">
        <v>43936</v>
      </c>
      <c r="C94" s="5">
        <v>65.73</v>
      </c>
      <c r="D94" s="54">
        <f t="shared" si="4"/>
        <v>-2.4922118380062197E-2</v>
      </c>
      <c r="F94" s="59" t="s">
        <v>1413</v>
      </c>
      <c r="G94" s="5">
        <v>13.56</v>
      </c>
      <c r="H94" s="54">
        <f t="shared" si="5"/>
        <v>-2.2075055187636972E-3</v>
      </c>
    </row>
    <row r="95" spans="2:8" x14ac:dyDescent="0.25">
      <c r="B95" s="60">
        <v>43937</v>
      </c>
      <c r="C95" s="5">
        <v>66.010000000000005</v>
      </c>
      <c r="D95" s="54">
        <f t="shared" si="4"/>
        <v>4.2598509052182987E-3</v>
      </c>
      <c r="F95" s="59" t="s">
        <v>1412</v>
      </c>
      <c r="G95" s="5">
        <v>13.61</v>
      </c>
      <c r="H95" s="54">
        <f t="shared" si="5"/>
        <v>3.6873156342183133E-3</v>
      </c>
    </row>
    <row r="96" spans="2:8" x14ac:dyDescent="0.25">
      <c r="B96" s="60">
        <v>43938</v>
      </c>
      <c r="C96" s="5">
        <v>67.81</v>
      </c>
      <c r="D96" s="54">
        <f t="shared" si="4"/>
        <v>2.7268595667323092E-2</v>
      </c>
      <c r="F96" s="59" t="s">
        <v>1411</v>
      </c>
      <c r="G96" s="5">
        <v>13.7</v>
      </c>
      <c r="H96" s="54">
        <f t="shared" si="5"/>
        <v>6.6127847171197907E-3</v>
      </c>
    </row>
    <row r="97" spans="2:8" x14ac:dyDescent="0.25">
      <c r="B97" s="60">
        <v>43941</v>
      </c>
      <c r="C97" s="5">
        <v>66.819999999999993</v>
      </c>
      <c r="D97" s="54">
        <f t="shared" si="4"/>
        <v>-1.4599616575726393E-2</v>
      </c>
      <c r="F97" s="59" t="s">
        <v>1410</v>
      </c>
      <c r="G97" s="5">
        <v>13.57</v>
      </c>
      <c r="H97" s="54">
        <f t="shared" si="5"/>
        <v>-9.4890510948903994E-3</v>
      </c>
    </row>
    <row r="98" spans="2:8" x14ac:dyDescent="0.25">
      <c r="B98" s="60">
        <v>43942</v>
      </c>
      <c r="C98" s="5">
        <v>64.77</v>
      </c>
      <c r="D98" s="54">
        <f t="shared" si="4"/>
        <v>-3.0679437294223288E-2</v>
      </c>
      <c r="F98" s="59" t="s">
        <v>1409</v>
      </c>
      <c r="G98" s="5">
        <v>13.57</v>
      </c>
      <c r="H98" s="54">
        <f t="shared" si="5"/>
        <v>0</v>
      </c>
    </row>
    <row r="99" spans="2:8" x14ac:dyDescent="0.25">
      <c r="B99" s="60">
        <v>43943</v>
      </c>
      <c r="C99" s="5">
        <v>66.290000000000006</v>
      </c>
      <c r="D99" s="54">
        <f t="shared" si="4"/>
        <v>2.3467654778446922E-2</v>
      </c>
      <c r="F99" s="59" t="s">
        <v>1408</v>
      </c>
      <c r="G99" s="5">
        <v>13.56</v>
      </c>
      <c r="H99" s="54">
        <f t="shared" si="5"/>
        <v>-7.3691967575528761E-4</v>
      </c>
    </row>
    <row r="100" spans="2:8" x14ac:dyDescent="0.25">
      <c r="B100" s="60">
        <v>43944</v>
      </c>
      <c r="C100" s="5">
        <v>66.22</v>
      </c>
      <c r="D100" s="54">
        <f t="shared" si="4"/>
        <v>-1.0559662090814381E-3</v>
      </c>
      <c r="F100" s="59" t="s">
        <v>1407</v>
      </c>
      <c r="G100" s="5">
        <v>13.58</v>
      </c>
      <c r="H100" s="54">
        <f t="shared" si="5"/>
        <v>1.4749262536872809E-3</v>
      </c>
    </row>
    <row r="101" spans="2:8" x14ac:dyDescent="0.25">
      <c r="B101" s="60">
        <v>43945</v>
      </c>
      <c r="C101" s="5">
        <v>66.900000000000006</v>
      </c>
      <c r="D101" s="54">
        <f t="shared" si="4"/>
        <v>1.0268800966475533E-2</v>
      </c>
      <c r="F101" s="59" t="s">
        <v>1406</v>
      </c>
      <c r="G101" s="5">
        <v>13.61</v>
      </c>
      <c r="H101" s="54">
        <f t="shared" si="5"/>
        <v>2.2091310751104487E-3</v>
      </c>
    </row>
    <row r="102" spans="2:8" x14ac:dyDescent="0.25">
      <c r="B102" s="60">
        <v>43948</v>
      </c>
      <c r="C102" s="5">
        <v>67.989999999999995</v>
      </c>
      <c r="D102" s="54">
        <f t="shared" si="4"/>
        <v>1.6292974588938636E-2</v>
      </c>
      <c r="F102" s="59" t="s">
        <v>1405</v>
      </c>
      <c r="G102" s="5">
        <v>13.64</v>
      </c>
      <c r="H102" s="54">
        <f t="shared" si="5"/>
        <v>2.2042615723734116E-3</v>
      </c>
    </row>
    <row r="103" spans="2:8" x14ac:dyDescent="0.25">
      <c r="B103" s="60">
        <v>43949</v>
      </c>
      <c r="C103" s="5">
        <v>68</v>
      </c>
      <c r="D103" s="54">
        <f t="shared" si="4"/>
        <v>1.470804530079306E-4</v>
      </c>
      <c r="F103" s="59" t="s">
        <v>1404</v>
      </c>
      <c r="G103" s="5">
        <v>13.66</v>
      </c>
      <c r="H103" s="54">
        <f t="shared" si="5"/>
        <v>1.4662756598240456E-3</v>
      </c>
    </row>
    <row r="104" spans="2:8" x14ac:dyDescent="0.25">
      <c r="B104" s="60">
        <v>43950</v>
      </c>
      <c r="C104" s="5">
        <v>69.8</v>
      </c>
      <c r="D104" s="54">
        <f t="shared" si="4"/>
        <v>2.6470588235294024E-2</v>
      </c>
      <c r="F104" s="59" t="s">
        <v>1403</v>
      </c>
      <c r="G104" s="5">
        <v>13.71</v>
      </c>
      <c r="H104" s="54">
        <f t="shared" si="5"/>
        <v>3.6603221083455484E-3</v>
      </c>
    </row>
    <row r="105" spans="2:8" x14ac:dyDescent="0.25">
      <c r="B105" s="60">
        <v>43951</v>
      </c>
      <c r="C105" s="5">
        <v>68.72</v>
      </c>
      <c r="D105" s="54">
        <f t="shared" si="4"/>
        <v>-1.5472779369627432E-2</v>
      </c>
      <c r="F105" s="59" t="s">
        <v>1402</v>
      </c>
      <c r="G105" s="5">
        <v>13.73</v>
      </c>
      <c r="H105" s="54">
        <f t="shared" si="5"/>
        <v>1.4587892049597873E-3</v>
      </c>
    </row>
    <row r="106" spans="2:8" x14ac:dyDescent="0.25">
      <c r="B106" s="60">
        <v>43952</v>
      </c>
      <c r="C106" s="5">
        <v>66.91</v>
      </c>
      <c r="D106" s="54">
        <f t="shared" si="4"/>
        <v>-2.6338766006984926E-2</v>
      </c>
      <c r="F106" s="59" t="s">
        <v>1401</v>
      </c>
      <c r="G106" s="5">
        <v>13.71</v>
      </c>
      <c r="H106" s="54">
        <f t="shared" si="5"/>
        <v>-1.4566642388929019E-3</v>
      </c>
    </row>
    <row r="107" spans="2:8" x14ac:dyDescent="0.25">
      <c r="B107" s="60">
        <v>43955</v>
      </c>
      <c r="C107" s="5">
        <v>67.13</v>
      </c>
      <c r="D107" s="54">
        <f t="shared" si="4"/>
        <v>3.287998804364145E-3</v>
      </c>
      <c r="F107" s="59" t="s">
        <v>1400</v>
      </c>
      <c r="G107" s="5">
        <v>13.69</v>
      </c>
      <c r="H107" s="54">
        <f t="shared" si="5"/>
        <v>-1.4587892049600093E-3</v>
      </c>
    </row>
    <row r="108" spans="2:8" x14ac:dyDescent="0.25">
      <c r="B108" s="60">
        <v>43956</v>
      </c>
      <c r="C108" s="5">
        <v>67.599999999999994</v>
      </c>
      <c r="D108" s="54">
        <f t="shared" si="4"/>
        <v>7.0013406822582169E-3</v>
      </c>
      <c r="F108" s="59" t="s">
        <v>1399</v>
      </c>
      <c r="G108" s="5">
        <v>13.7</v>
      </c>
      <c r="H108" s="54">
        <f t="shared" si="5"/>
        <v>7.3046018991962391E-4</v>
      </c>
    </row>
    <row r="109" spans="2:8" x14ac:dyDescent="0.25">
      <c r="B109" s="60">
        <v>43957</v>
      </c>
      <c r="C109" s="5">
        <v>67.239999999999995</v>
      </c>
      <c r="D109" s="54">
        <f t="shared" si="4"/>
        <v>-5.3254437869821869E-3</v>
      </c>
      <c r="F109" s="59" t="s">
        <v>1398</v>
      </c>
      <c r="G109" s="5">
        <v>13.67</v>
      </c>
      <c r="H109" s="54">
        <f t="shared" si="5"/>
        <v>-2.1897810218978186E-3</v>
      </c>
    </row>
    <row r="110" spans="2:8" x14ac:dyDescent="0.25">
      <c r="B110" s="60">
        <v>43958</v>
      </c>
      <c r="C110" s="5">
        <v>68.13</v>
      </c>
      <c r="D110" s="54">
        <f t="shared" si="4"/>
        <v>1.323616894705526E-2</v>
      </c>
      <c r="F110" s="59" t="s">
        <v>1397</v>
      </c>
      <c r="G110" s="5">
        <v>13.63</v>
      </c>
      <c r="H110" s="54">
        <f t="shared" si="5"/>
        <v>-2.9261155815654138E-3</v>
      </c>
    </row>
    <row r="111" spans="2:8" x14ac:dyDescent="0.25">
      <c r="B111" s="60">
        <v>43959</v>
      </c>
      <c r="C111" s="5">
        <v>69.260000000000005</v>
      </c>
      <c r="D111" s="54">
        <f t="shared" si="4"/>
        <v>1.6585938646704879E-2</v>
      </c>
      <c r="F111" s="59" t="s">
        <v>1396</v>
      </c>
      <c r="G111" s="5">
        <v>13.68</v>
      </c>
      <c r="H111" s="54">
        <f t="shared" si="5"/>
        <v>3.668378576669129E-3</v>
      </c>
    </row>
    <row r="112" spans="2:8" x14ac:dyDescent="0.25">
      <c r="B112" s="60">
        <v>43962</v>
      </c>
      <c r="C112" s="5">
        <v>69.33</v>
      </c>
      <c r="D112" s="54">
        <f t="shared" si="4"/>
        <v>1.0106843777071273E-3</v>
      </c>
      <c r="F112" s="59" t="s">
        <v>1395</v>
      </c>
      <c r="G112" s="5">
        <v>13.64</v>
      </c>
      <c r="H112" s="54">
        <f t="shared" si="5"/>
        <v>-2.9239766081871066E-3</v>
      </c>
    </row>
    <row r="113" spans="2:8" x14ac:dyDescent="0.25">
      <c r="B113" s="60">
        <v>43963</v>
      </c>
      <c r="C113" s="5">
        <v>68.16</v>
      </c>
      <c r="D113" s="54">
        <f t="shared" si="4"/>
        <v>-1.6875811337083491E-2</v>
      </c>
      <c r="F113" s="59" t="s">
        <v>1394</v>
      </c>
      <c r="G113" s="5">
        <v>13.63</v>
      </c>
      <c r="H113" s="54">
        <f t="shared" si="5"/>
        <v>-7.3313782991202281E-4</v>
      </c>
    </row>
    <row r="114" spans="2:8" x14ac:dyDescent="0.25">
      <c r="B114" s="60">
        <v>43964</v>
      </c>
      <c r="C114" s="5">
        <v>67.260000000000005</v>
      </c>
      <c r="D114" s="54">
        <f t="shared" si="4"/>
        <v>-1.320422535211252E-2</v>
      </c>
      <c r="F114" s="59" t="s">
        <v>1393</v>
      </c>
      <c r="G114" s="5">
        <v>13.66</v>
      </c>
      <c r="H114" s="54">
        <f t="shared" si="5"/>
        <v>2.2010271460013442E-3</v>
      </c>
    </row>
    <row r="115" spans="2:8" x14ac:dyDescent="0.25">
      <c r="B115" s="60">
        <v>43965</v>
      </c>
      <c r="C115" s="5">
        <v>67.680000000000007</v>
      </c>
      <c r="D115" s="54">
        <f t="shared" si="4"/>
        <v>6.2444246208741561E-3</v>
      </c>
      <c r="F115" s="59" t="s">
        <v>1392</v>
      </c>
      <c r="G115" s="5">
        <v>13.65</v>
      </c>
      <c r="H115" s="54">
        <f t="shared" si="5"/>
        <v>-7.3206442166906527E-4</v>
      </c>
    </row>
    <row r="116" spans="2:8" x14ac:dyDescent="0.25">
      <c r="B116" s="60">
        <v>43966</v>
      </c>
      <c r="C116" s="5">
        <v>67.739999999999995</v>
      </c>
      <c r="D116" s="54">
        <f t="shared" si="4"/>
        <v>8.8652482269480082E-4</v>
      </c>
      <c r="F116" s="59" t="s">
        <v>1391</v>
      </c>
      <c r="G116" s="5">
        <v>13.66</v>
      </c>
      <c r="H116" s="54">
        <f t="shared" si="5"/>
        <v>7.3260073260073E-4</v>
      </c>
    </row>
    <row r="117" spans="2:8" x14ac:dyDescent="0.25">
      <c r="B117" s="60">
        <v>43969</v>
      </c>
      <c r="C117" s="5">
        <v>70.040000000000006</v>
      </c>
      <c r="D117" s="54">
        <f t="shared" si="4"/>
        <v>3.3953351048125358E-2</v>
      </c>
      <c r="F117" s="59" t="s">
        <v>1390</v>
      </c>
      <c r="G117" s="5">
        <v>13.65</v>
      </c>
      <c r="H117" s="54">
        <f t="shared" si="5"/>
        <v>-7.3206442166906527E-4</v>
      </c>
    </row>
    <row r="118" spans="2:8" x14ac:dyDescent="0.25">
      <c r="B118" s="60">
        <v>43970</v>
      </c>
      <c r="C118" s="5">
        <v>69.33</v>
      </c>
      <c r="D118" s="54">
        <f t="shared" si="4"/>
        <v>-1.0137064534551765E-2</v>
      </c>
      <c r="F118" s="59" t="s">
        <v>1389</v>
      </c>
      <c r="G118" s="5">
        <v>13.65</v>
      </c>
      <c r="H118" s="54">
        <f t="shared" si="5"/>
        <v>0</v>
      </c>
    </row>
    <row r="119" spans="2:8" x14ac:dyDescent="0.25">
      <c r="B119" s="60">
        <v>43971</v>
      </c>
      <c r="C119" s="5">
        <v>70.489999999999995</v>
      </c>
      <c r="D119" s="54">
        <f t="shared" si="4"/>
        <v>1.6731573633347763E-2</v>
      </c>
      <c r="F119" s="59" t="s">
        <v>1388</v>
      </c>
      <c r="G119" s="5">
        <v>13.7</v>
      </c>
      <c r="H119" s="54">
        <f t="shared" si="5"/>
        <v>3.66300366300365E-3</v>
      </c>
    </row>
    <row r="120" spans="2:8" x14ac:dyDescent="0.25">
      <c r="B120" s="60">
        <v>43972</v>
      </c>
      <c r="C120" s="5">
        <v>69.87</v>
      </c>
      <c r="D120" s="54">
        <f t="shared" si="4"/>
        <v>-8.7955738402608619E-3</v>
      </c>
      <c r="F120" s="59" t="s">
        <v>1387</v>
      </c>
      <c r="G120" s="5">
        <v>13.75</v>
      </c>
      <c r="H120" s="54">
        <f t="shared" si="5"/>
        <v>3.6496350364965124E-3</v>
      </c>
    </row>
    <row r="121" spans="2:8" x14ac:dyDescent="0.25">
      <c r="B121" s="60">
        <v>43973</v>
      </c>
      <c r="C121" s="5">
        <v>69.790000000000006</v>
      </c>
      <c r="D121" s="54">
        <f t="shared" si="4"/>
        <v>-1.1449835408615661E-3</v>
      </c>
      <c r="F121" s="59" t="s">
        <v>1386</v>
      </c>
      <c r="G121" s="5">
        <v>13.72</v>
      </c>
      <c r="H121" s="54">
        <f t="shared" si="5"/>
        <v>-2.1818181818181737E-3</v>
      </c>
    </row>
    <row r="122" spans="2:8" x14ac:dyDescent="0.25">
      <c r="B122" s="60">
        <v>43977</v>
      </c>
      <c r="C122" s="5">
        <v>71.099999999999994</v>
      </c>
      <c r="D122" s="54">
        <f t="shared" si="4"/>
        <v>1.8770597506805986E-2</v>
      </c>
      <c r="F122" s="59" t="s">
        <v>1385</v>
      </c>
      <c r="G122" s="5">
        <v>13.75</v>
      </c>
      <c r="H122" s="54">
        <f t="shared" si="5"/>
        <v>2.1865889212826506E-3</v>
      </c>
    </row>
    <row r="123" spans="2:8" x14ac:dyDescent="0.25">
      <c r="B123" s="60">
        <v>43978</v>
      </c>
      <c r="C123" s="5">
        <v>71.989999999999995</v>
      </c>
      <c r="D123" s="54">
        <f t="shared" si="4"/>
        <v>1.2517580872011269E-2</v>
      </c>
      <c r="F123" s="59" t="s">
        <v>1384</v>
      </c>
      <c r="G123" s="5">
        <v>13.74</v>
      </c>
      <c r="H123" s="54">
        <f t="shared" si="5"/>
        <v>-7.2727272727268755E-4</v>
      </c>
    </row>
    <row r="124" spans="2:8" x14ac:dyDescent="0.25">
      <c r="B124" s="60">
        <v>43979</v>
      </c>
      <c r="C124" s="5">
        <v>72.05</v>
      </c>
      <c r="D124" s="54">
        <f t="shared" si="4"/>
        <v>8.3344909015137247E-4</v>
      </c>
      <c r="F124" s="59" t="s">
        <v>1383</v>
      </c>
      <c r="G124" s="5">
        <v>13.76</v>
      </c>
      <c r="H124" s="54">
        <f t="shared" si="5"/>
        <v>1.4556040756914523E-3</v>
      </c>
    </row>
    <row r="125" spans="2:8" x14ac:dyDescent="0.25">
      <c r="B125" s="60">
        <v>43980</v>
      </c>
      <c r="C125" s="5">
        <v>72.22</v>
      </c>
      <c r="D125" s="54">
        <f t="shared" si="4"/>
        <v>2.3594725884803491E-3</v>
      </c>
      <c r="F125" s="59" t="s">
        <v>1382</v>
      </c>
      <c r="G125" s="5">
        <v>13.8</v>
      </c>
      <c r="H125" s="54">
        <f t="shared" si="5"/>
        <v>2.9069767441860517E-3</v>
      </c>
    </row>
    <row r="126" spans="2:8" x14ac:dyDescent="0.25">
      <c r="B126" s="60">
        <v>43983</v>
      </c>
      <c r="C126" s="5">
        <v>73.14</v>
      </c>
      <c r="D126" s="54">
        <f t="shared" si="4"/>
        <v>1.2738853503184711E-2</v>
      </c>
      <c r="F126" s="59" t="s">
        <v>1381</v>
      </c>
      <c r="G126" s="5">
        <v>13.8</v>
      </c>
      <c r="H126" s="54">
        <f t="shared" si="5"/>
        <v>0</v>
      </c>
    </row>
    <row r="127" spans="2:8" x14ac:dyDescent="0.25">
      <c r="B127" s="60">
        <v>43984</v>
      </c>
      <c r="C127" s="5">
        <v>73.94</v>
      </c>
      <c r="D127" s="54">
        <f t="shared" si="4"/>
        <v>1.0937927262783642E-2</v>
      </c>
      <c r="F127" s="59" t="s">
        <v>1380</v>
      </c>
      <c r="G127" s="5">
        <v>13.82</v>
      </c>
      <c r="H127" s="54">
        <f t="shared" si="5"/>
        <v>1.4492753623187582E-3</v>
      </c>
    </row>
    <row r="128" spans="2:8" x14ac:dyDescent="0.25">
      <c r="B128" s="60">
        <v>43985</v>
      </c>
      <c r="C128" s="5">
        <v>75.150000000000006</v>
      </c>
      <c r="D128" s="54">
        <f t="shared" si="4"/>
        <v>1.6364619962131677E-2</v>
      </c>
      <c r="F128" s="59" t="s">
        <v>1379</v>
      </c>
      <c r="G128" s="5">
        <v>13.87</v>
      </c>
      <c r="H128" s="54">
        <f t="shared" si="5"/>
        <v>3.6179450072357788E-3</v>
      </c>
    </row>
    <row r="129" spans="2:8" x14ac:dyDescent="0.25">
      <c r="B129" s="60">
        <v>43986</v>
      </c>
      <c r="C129" s="5">
        <v>74.739999999999995</v>
      </c>
      <c r="D129" s="54">
        <f t="shared" si="4"/>
        <v>-5.4557551563541029E-3</v>
      </c>
      <c r="F129" s="59" t="s">
        <v>1378</v>
      </c>
      <c r="G129" s="5">
        <v>13.86</v>
      </c>
      <c r="H129" s="54">
        <f t="shared" si="5"/>
        <v>-7.2098053352553926E-4</v>
      </c>
    </row>
    <row r="130" spans="2:8" x14ac:dyDescent="0.25">
      <c r="B130" s="60">
        <v>43987</v>
      </c>
      <c r="C130" s="5">
        <v>76.45</v>
      </c>
      <c r="D130" s="54">
        <f t="shared" si="4"/>
        <v>2.2879314958522912E-2</v>
      </c>
      <c r="F130" s="59" t="s">
        <v>1377</v>
      </c>
      <c r="G130" s="5">
        <v>13.92</v>
      </c>
      <c r="H130" s="54">
        <f t="shared" si="5"/>
        <v>4.3290043290042934E-3</v>
      </c>
    </row>
    <row r="131" spans="2:8" x14ac:dyDescent="0.25">
      <c r="B131" s="60">
        <v>43990</v>
      </c>
      <c r="C131" s="5">
        <v>77.34</v>
      </c>
      <c r="D131" s="54">
        <f t="shared" si="4"/>
        <v>1.1641595814257721E-2</v>
      </c>
      <c r="F131" s="59" t="s">
        <v>1376</v>
      </c>
      <c r="G131" s="5">
        <v>13.89</v>
      </c>
      <c r="H131" s="54">
        <f t="shared" si="5"/>
        <v>-2.1551724137930384E-3</v>
      </c>
    </row>
    <row r="132" spans="2:8" x14ac:dyDescent="0.25">
      <c r="B132" s="60">
        <v>43991</v>
      </c>
      <c r="C132" s="5">
        <v>76.66</v>
      </c>
      <c r="D132" s="54">
        <f t="shared" si="4"/>
        <v>-8.7923454874581086E-3</v>
      </c>
      <c r="F132" s="59" t="s">
        <v>1375</v>
      </c>
      <c r="G132" s="5">
        <v>13.95</v>
      </c>
      <c r="H132" s="54">
        <f t="shared" si="5"/>
        <v>4.3196544276455917E-3</v>
      </c>
    </row>
    <row r="133" spans="2:8" x14ac:dyDescent="0.25">
      <c r="B133" s="60">
        <v>43992</v>
      </c>
      <c r="C133" s="5">
        <v>76.45</v>
      </c>
      <c r="D133" s="54">
        <f t="shared" si="4"/>
        <v>-2.7393686407513052E-3</v>
      </c>
      <c r="F133" s="59" t="s">
        <v>1374</v>
      </c>
      <c r="G133" s="5">
        <v>13.99</v>
      </c>
      <c r="H133" s="54">
        <f t="shared" si="5"/>
        <v>2.8673835125447855E-3</v>
      </c>
    </row>
    <row r="134" spans="2:8" x14ac:dyDescent="0.25">
      <c r="B134" s="60">
        <v>43993</v>
      </c>
      <c r="C134" s="5">
        <v>72.150000000000006</v>
      </c>
      <c r="D134" s="54">
        <f t="shared" si="4"/>
        <v>-5.6245912361020278E-2</v>
      </c>
      <c r="F134" s="59" t="s">
        <v>1373</v>
      </c>
      <c r="G134" s="5">
        <v>14</v>
      </c>
      <c r="H134" s="54">
        <f t="shared" si="5"/>
        <v>7.1479628305937126E-4</v>
      </c>
    </row>
    <row r="135" spans="2:8" x14ac:dyDescent="0.25">
      <c r="B135" s="60">
        <v>43994</v>
      </c>
      <c r="C135" s="5">
        <v>73.19</v>
      </c>
      <c r="D135" s="54">
        <f t="shared" si="4"/>
        <v>1.4414414414414267E-2</v>
      </c>
      <c r="F135" s="59" t="s">
        <v>1372</v>
      </c>
      <c r="G135" s="5">
        <v>13.97</v>
      </c>
      <c r="H135" s="54">
        <f t="shared" si="5"/>
        <v>-2.142857142857113E-3</v>
      </c>
    </row>
    <row r="136" spans="2:8" x14ac:dyDescent="0.25">
      <c r="B136" s="60">
        <v>43997</v>
      </c>
      <c r="C136" s="5">
        <v>73.069999999999993</v>
      </c>
      <c r="D136" s="54">
        <f t="shared" si="4"/>
        <v>-1.6395682470283779E-3</v>
      </c>
      <c r="F136" s="59" t="s">
        <v>1371</v>
      </c>
      <c r="G136" s="5">
        <v>13.88</v>
      </c>
      <c r="H136" s="54">
        <f t="shared" si="5"/>
        <v>-6.4423765211166772E-3</v>
      </c>
    </row>
    <row r="137" spans="2:8" x14ac:dyDescent="0.25">
      <c r="B137" s="60">
        <v>43998</v>
      </c>
      <c r="C137" s="5">
        <v>74.28</v>
      </c>
      <c r="D137" s="54">
        <f t="shared" si="4"/>
        <v>1.6559463528123874E-2</v>
      </c>
      <c r="F137" s="59" t="s">
        <v>1370</v>
      </c>
      <c r="G137" s="5">
        <v>13.89</v>
      </c>
      <c r="H137" s="54">
        <f t="shared" si="5"/>
        <v>7.2046109510082168E-4</v>
      </c>
    </row>
    <row r="138" spans="2:8" x14ac:dyDescent="0.25">
      <c r="B138" s="60">
        <v>43999</v>
      </c>
      <c r="C138" s="5">
        <v>74.239999999999995</v>
      </c>
      <c r="D138" s="54">
        <f t="shared" si="4"/>
        <v>-5.3850296176638501E-4</v>
      </c>
      <c r="F138" s="59" t="s">
        <v>1369</v>
      </c>
      <c r="G138" s="5">
        <v>13.98</v>
      </c>
      <c r="H138" s="54">
        <f t="shared" si="5"/>
        <v>6.4794816414686096E-3</v>
      </c>
    </row>
    <row r="139" spans="2:8" x14ac:dyDescent="0.25">
      <c r="B139" s="60">
        <v>44000</v>
      </c>
      <c r="C139" s="5">
        <v>74.150000000000006</v>
      </c>
      <c r="D139" s="54">
        <f t="shared" si="4"/>
        <v>-1.2122844827584522E-3</v>
      </c>
      <c r="F139" s="59" t="s">
        <v>1368</v>
      </c>
      <c r="G139" s="5">
        <v>13.95</v>
      </c>
      <c r="H139" s="54">
        <f t="shared" si="5"/>
        <v>-2.1459227467811592E-3</v>
      </c>
    </row>
    <row r="140" spans="2:8" x14ac:dyDescent="0.25">
      <c r="B140" s="60">
        <v>44001</v>
      </c>
      <c r="C140" s="5">
        <v>73.73</v>
      </c>
      <c r="D140" s="54">
        <f t="shared" si="4"/>
        <v>-5.664194200944106E-3</v>
      </c>
      <c r="F140" s="59" t="s">
        <v>1367</v>
      </c>
      <c r="G140" s="5">
        <v>13.92</v>
      </c>
      <c r="H140" s="54">
        <f t="shared" si="5"/>
        <v>-2.1505376344085336E-3</v>
      </c>
    </row>
    <row r="141" spans="2:8" x14ac:dyDescent="0.25">
      <c r="B141" s="60">
        <v>44004</v>
      </c>
      <c r="C141" s="5">
        <v>74.47</v>
      </c>
      <c r="D141" s="54">
        <f t="shared" si="4"/>
        <v>1.00366201003661E-2</v>
      </c>
      <c r="F141" s="59" t="s">
        <v>1366</v>
      </c>
      <c r="G141" s="5">
        <v>13.9</v>
      </c>
      <c r="H141" s="54">
        <f t="shared" si="5"/>
        <v>-1.4367816091953589E-3</v>
      </c>
    </row>
    <row r="142" spans="2:8" x14ac:dyDescent="0.25">
      <c r="B142" s="60">
        <v>44005</v>
      </c>
      <c r="C142" s="5">
        <v>74.819999999999993</v>
      </c>
      <c r="D142" s="54">
        <f t="shared" si="4"/>
        <v>4.6998791459647027E-3</v>
      </c>
      <c r="F142" s="59" t="s">
        <v>1365</v>
      </c>
      <c r="G142" s="5">
        <v>13.96</v>
      </c>
      <c r="H142" s="54">
        <f t="shared" si="5"/>
        <v>4.3165467625898568E-3</v>
      </c>
    </row>
    <row r="143" spans="2:8" x14ac:dyDescent="0.25">
      <c r="B143" s="60">
        <v>44006</v>
      </c>
      <c r="C143" s="5">
        <v>73.06</v>
      </c>
      <c r="D143" s="54">
        <f t="shared" si="4"/>
        <v>-2.3523122159850196E-2</v>
      </c>
      <c r="F143" s="59" t="s">
        <v>1364</v>
      </c>
      <c r="G143" s="5">
        <v>14</v>
      </c>
      <c r="H143" s="54">
        <f t="shared" si="5"/>
        <v>2.8653295128939771E-3</v>
      </c>
    </row>
    <row r="144" spans="2:8" x14ac:dyDescent="0.25">
      <c r="B144" s="60">
        <v>44007</v>
      </c>
      <c r="C144" s="5">
        <v>73.84</v>
      </c>
      <c r="D144" s="54">
        <f t="shared" si="4"/>
        <v>1.067615658362997E-2</v>
      </c>
      <c r="F144" s="59" t="s">
        <v>1363</v>
      </c>
      <c r="G144" s="5">
        <v>13.94</v>
      </c>
      <c r="H144" s="54">
        <f t="shared" si="5"/>
        <v>-4.2857142857143371E-3</v>
      </c>
    </row>
    <row r="145" spans="2:8" x14ac:dyDescent="0.25">
      <c r="B145" s="60">
        <v>44008</v>
      </c>
      <c r="C145" s="5">
        <v>72.41</v>
      </c>
      <c r="D145" s="54">
        <f t="shared" si="4"/>
        <v>-1.9366197183098732E-2</v>
      </c>
      <c r="F145" s="59" t="s">
        <v>1362</v>
      </c>
      <c r="G145" s="5">
        <v>13.91</v>
      </c>
      <c r="H145" s="54">
        <f t="shared" si="5"/>
        <v>-2.1520803443327852E-3</v>
      </c>
    </row>
    <row r="146" spans="2:8" x14ac:dyDescent="0.25">
      <c r="B146" s="60">
        <v>44011</v>
      </c>
      <c r="C146" s="5">
        <v>73.239999999999995</v>
      </c>
      <c r="D146" s="54">
        <f t="shared" si="4"/>
        <v>1.1462505178842619E-2</v>
      </c>
      <c r="F146" s="59" t="s">
        <v>1361</v>
      </c>
      <c r="G146" s="5">
        <v>13.92</v>
      </c>
      <c r="H146" s="54">
        <f t="shared" si="5"/>
        <v>7.1890726096324187E-4</v>
      </c>
    </row>
    <row r="147" spans="2:8" x14ac:dyDescent="0.25">
      <c r="B147" s="60">
        <v>44012</v>
      </c>
      <c r="C147" s="5">
        <v>73.72</v>
      </c>
      <c r="D147" s="54">
        <f t="shared" si="4"/>
        <v>6.5537957400327862E-3</v>
      </c>
      <c r="F147" s="59" t="s">
        <v>1360</v>
      </c>
      <c r="G147" s="5">
        <v>13.91</v>
      </c>
      <c r="H147" s="54">
        <f t="shared" si="5"/>
        <v>-7.1839080459767946E-4</v>
      </c>
    </row>
    <row r="148" spans="2:8" x14ac:dyDescent="0.25">
      <c r="B148" s="60">
        <v>44013</v>
      </c>
      <c r="C148" s="5">
        <v>74.27</v>
      </c>
      <c r="D148" s="54">
        <f t="shared" si="4"/>
        <v>7.4606619641888194E-3</v>
      </c>
      <c r="F148" s="59" t="s">
        <v>1359</v>
      </c>
      <c r="G148" s="5">
        <v>13.9</v>
      </c>
      <c r="H148" s="54">
        <f t="shared" si="5"/>
        <v>-7.1890726096335289E-4</v>
      </c>
    </row>
    <row r="149" spans="2:8" x14ac:dyDescent="0.25">
      <c r="B149" s="60">
        <v>44014</v>
      </c>
      <c r="C149" s="5">
        <v>74.959999999999994</v>
      </c>
      <c r="D149" s="54">
        <f t="shared" si="4"/>
        <v>9.2904268210582952E-3</v>
      </c>
      <c r="F149" s="59" t="s">
        <v>1358</v>
      </c>
      <c r="G149" s="5">
        <v>13.92</v>
      </c>
      <c r="H149" s="54">
        <f t="shared" si="5"/>
        <v>1.4388489208632116E-3</v>
      </c>
    </row>
    <row r="150" spans="2:8" x14ac:dyDescent="0.25">
      <c r="B150" s="60">
        <v>44018</v>
      </c>
      <c r="C150" s="5">
        <v>76.400000000000006</v>
      </c>
      <c r="D150" s="54">
        <f t="shared" si="4"/>
        <v>1.9210245464247766E-2</v>
      </c>
      <c r="F150" s="59" t="s">
        <v>1357</v>
      </c>
      <c r="G150" s="5">
        <v>13.98</v>
      </c>
      <c r="H150" s="54">
        <f t="shared" si="5"/>
        <v>4.3103448275862988E-3</v>
      </c>
    </row>
    <row r="151" spans="2:8" x14ac:dyDescent="0.25">
      <c r="B151" s="60">
        <v>44019</v>
      </c>
      <c r="C151" s="5">
        <v>75.510000000000005</v>
      </c>
      <c r="D151" s="54">
        <f t="shared" ref="D151:D214" si="6">C151/C150-1</f>
        <v>-1.1649214659685825E-2</v>
      </c>
      <c r="F151" s="59" t="s">
        <v>1356</v>
      </c>
      <c r="G151" s="5">
        <v>14.02</v>
      </c>
      <c r="H151" s="54">
        <f t="shared" ref="H151:H214" si="7">G151/G150-1</f>
        <v>2.8612303290413976E-3</v>
      </c>
    </row>
    <row r="152" spans="2:8" x14ac:dyDescent="0.25">
      <c r="B152" s="60">
        <v>44020</v>
      </c>
      <c r="C152" s="5">
        <v>76.290000000000006</v>
      </c>
      <c r="D152" s="54">
        <f t="shared" si="6"/>
        <v>1.0329757647993709E-2</v>
      </c>
      <c r="F152" s="59" t="s">
        <v>1355</v>
      </c>
      <c r="G152" s="5">
        <v>14</v>
      </c>
      <c r="H152" s="54">
        <f t="shared" si="7"/>
        <v>-1.4265335235377208E-3</v>
      </c>
    </row>
    <row r="153" spans="2:8" x14ac:dyDescent="0.25">
      <c r="B153" s="60">
        <v>44021</v>
      </c>
      <c r="C153" s="5">
        <v>75.819999999999993</v>
      </c>
      <c r="D153" s="54">
        <f t="shared" si="6"/>
        <v>-6.1607025822520978E-3</v>
      </c>
      <c r="F153" s="59" t="s">
        <v>1354</v>
      </c>
      <c r="G153" s="5">
        <v>14.03</v>
      </c>
      <c r="H153" s="54">
        <f t="shared" si="7"/>
        <v>2.142857142857002E-3</v>
      </c>
    </row>
    <row r="154" spans="2:8" x14ac:dyDescent="0.25">
      <c r="B154" s="60">
        <v>44022</v>
      </c>
      <c r="C154" s="5">
        <v>76.430000000000007</v>
      </c>
      <c r="D154" s="54">
        <f t="shared" si="6"/>
        <v>8.0453706146137449E-3</v>
      </c>
      <c r="F154" s="59" t="s">
        <v>1353</v>
      </c>
      <c r="G154" s="5">
        <v>14.05</v>
      </c>
      <c r="H154" s="54">
        <f t="shared" si="7"/>
        <v>1.4255167498218313E-3</v>
      </c>
    </row>
    <row r="155" spans="2:8" x14ac:dyDescent="0.25">
      <c r="B155" s="60">
        <v>44025</v>
      </c>
      <c r="C155" s="5">
        <v>75.760000000000005</v>
      </c>
      <c r="D155" s="54">
        <f t="shared" si="6"/>
        <v>-8.7661912861441982E-3</v>
      </c>
      <c r="F155" s="59" t="s">
        <v>1352</v>
      </c>
      <c r="G155" s="5">
        <v>14.04</v>
      </c>
      <c r="H155" s="54">
        <f t="shared" si="7"/>
        <v>-7.1174377224214602E-4</v>
      </c>
    </row>
    <row r="156" spans="2:8" x14ac:dyDescent="0.25">
      <c r="B156" s="60">
        <v>44026</v>
      </c>
      <c r="C156" s="5">
        <v>76.7</v>
      </c>
      <c r="D156" s="54">
        <f t="shared" si="6"/>
        <v>1.2407602956705288E-2</v>
      </c>
      <c r="F156" s="59" t="s">
        <v>1351</v>
      </c>
      <c r="G156" s="5">
        <v>14.03</v>
      </c>
      <c r="H156" s="54">
        <f t="shared" si="7"/>
        <v>-7.1225071225067271E-4</v>
      </c>
    </row>
    <row r="157" spans="2:8" x14ac:dyDescent="0.25">
      <c r="B157" s="60">
        <v>44027</v>
      </c>
      <c r="C157" s="5">
        <v>77.459999999999994</v>
      </c>
      <c r="D157" s="54">
        <f t="shared" si="6"/>
        <v>9.9087353324640581E-3</v>
      </c>
      <c r="F157" s="59" t="s">
        <v>1350</v>
      </c>
      <c r="G157" s="5">
        <v>14.04</v>
      </c>
      <c r="H157" s="54">
        <f t="shared" si="7"/>
        <v>7.1275837491091565E-4</v>
      </c>
    </row>
    <row r="158" spans="2:8" x14ac:dyDescent="0.25">
      <c r="B158" s="60">
        <v>44028</v>
      </c>
      <c r="C158" s="5">
        <v>76.989999999999995</v>
      </c>
      <c r="D158" s="54">
        <f t="shared" si="6"/>
        <v>-6.0676478182287719E-3</v>
      </c>
      <c r="F158" s="59" t="s">
        <v>1349</v>
      </c>
      <c r="G158" s="5">
        <v>14.08</v>
      </c>
      <c r="H158" s="54">
        <f t="shared" si="7"/>
        <v>2.8490028490029129E-3</v>
      </c>
    </row>
    <row r="159" spans="2:8" x14ac:dyDescent="0.25">
      <c r="B159" s="60">
        <v>44029</v>
      </c>
      <c r="C159" s="5">
        <v>77.260000000000005</v>
      </c>
      <c r="D159" s="54">
        <f t="shared" si="6"/>
        <v>3.5069489544097276E-3</v>
      </c>
      <c r="F159" s="59" t="s">
        <v>1348</v>
      </c>
      <c r="G159" s="5">
        <v>14.1</v>
      </c>
      <c r="H159" s="54">
        <f t="shared" si="7"/>
        <v>1.4204545454545858E-3</v>
      </c>
    </row>
    <row r="160" spans="2:8" x14ac:dyDescent="0.25">
      <c r="B160" s="60">
        <v>44032</v>
      </c>
      <c r="C160" s="5">
        <v>77.94</v>
      </c>
      <c r="D160" s="54">
        <f t="shared" si="6"/>
        <v>8.8014496505306461E-3</v>
      </c>
      <c r="F160" s="59" t="s">
        <v>1347</v>
      </c>
      <c r="G160" s="5">
        <v>14.12</v>
      </c>
      <c r="H160" s="54">
        <f t="shared" si="7"/>
        <v>1.4184397163119478E-3</v>
      </c>
    </row>
    <row r="161" spans="2:8" x14ac:dyDescent="0.25">
      <c r="B161" s="60">
        <v>44033</v>
      </c>
      <c r="C161" s="5">
        <v>78.180000000000007</v>
      </c>
      <c r="D161" s="54">
        <f t="shared" si="6"/>
        <v>3.0792917628945649E-3</v>
      </c>
      <c r="F161" s="59" t="s">
        <v>1346</v>
      </c>
      <c r="G161" s="5">
        <v>14.14</v>
      </c>
      <c r="H161" s="54">
        <f t="shared" si="7"/>
        <v>1.4164305949009304E-3</v>
      </c>
    </row>
    <row r="162" spans="2:8" x14ac:dyDescent="0.25">
      <c r="B162" s="60">
        <v>44034</v>
      </c>
      <c r="C162" s="5">
        <v>78.430000000000007</v>
      </c>
      <c r="D162" s="54">
        <f t="shared" si="6"/>
        <v>3.1977487848555697E-3</v>
      </c>
      <c r="F162" s="59" t="s">
        <v>1345</v>
      </c>
      <c r="G162" s="5">
        <v>14.2</v>
      </c>
      <c r="H162" s="54">
        <f t="shared" si="7"/>
        <v>4.2432814710040567E-3</v>
      </c>
    </row>
    <row r="163" spans="2:8" x14ac:dyDescent="0.25">
      <c r="B163" s="60">
        <v>44035</v>
      </c>
      <c r="C163" s="5">
        <v>77.62</v>
      </c>
      <c r="D163" s="54">
        <f t="shared" si="6"/>
        <v>-1.0327680734412925E-2</v>
      </c>
      <c r="F163" s="59" t="s">
        <v>1344</v>
      </c>
      <c r="G163" s="5">
        <v>14.28</v>
      </c>
      <c r="H163" s="54">
        <f t="shared" si="7"/>
        <v>5.6338028169014009E-3</v>
      </c>
    </row>
    <row r="164" spans="2:8" x14ac:dyDescent="0.25">
      <c r="B164" s="60">
        <v>44036</v>
      </c>
      <c r="C164" s="5">
        <v>77.16</v>
      </c>
      <c r="D164" s="54">
        <f t="shared" si="6"/>
        <v>-5.9263076526669956E-3</v>
      </c>
      <c r="F164" s="59" t="s">
        <v>1343</v>
      </c>
      <c r="G164" s="5">
        <v>14.29</v>
      </c>
      <c r="H164" s="54">
        <f t="shared" si="7"/>
        <v>7.0028011204481544E-4</v>
      </c>
    </row>
    <row r="165" spans="2:8" x14ac:dyDescent="0.25">
      <c r="B165" s="60">
        <v>44039</v>
      </c>
      <c r="C165" s="5">
        <v>78.02</v>
      </c>
      <c r="D165" s="54">
        <f t="shared" si="6"/>
        <v>1.1145671332296603E-2</v>
      </c>
      <c r="F165" s="59" t="s">
        <v>1342</v>
      </c>
      <c r="G165" s="5">
        <v>14.31</v>
      </c>
      <c r="H165" s="54">
        <f t="shared" si="7"/>
        <v>1.3995801259623075E-3</v>
      </c>
    </row>
    <row r="166" spans="2:8" x14ac:dyDescent="0.25">
      <c r="B166" s="60">
        <v>44040</v>
      </c>
      <c r="C166" s="5">
        <v>77.489999999999995</v>
      </c>
      <c r="D166" s="54">
        <f t="shared" si="6"/>
        <v>-6.7931299666752487E-3</v>
      </c>
      <c r="F166" s="59" t="s">
        <v>1341</v>
      </c>
      <c r="G166" s="5">
        <v>14.4</v>
      </c>
      <c r="H166" s="54">
        <f t="shared" si="7"/>
        <v>6.2893081761006275E-3</v>
      </c>
    </row>
    <row r="167" spans="2:8" x14ac:dyDescent="0.25">
      <c r="B167" s="60">
        <v>44041</v>
      </c>
      <c r="C167" s="5">
        <v>78.41</v>
      </c>
      <c r="D167" s="54">
        <f t="shared" si="6"/>
        <v>1.1872499677377801E-2</v>
      </c>
      <c r="F167" s="59" t="s">
        <v>1340</v>
      </c>
      <c r="G167" s="5">
        <v>14.38</v>
      </c>
      <c r="H167" s="54">
        <f t="shared" si="7"/>
        <v>-1.388888888888884E-3</v>
      </c>
    </row>
    <row r="168" spans="2:8" x14ac:dyDescent="0.25">
      <c r="B168" s="60">
        <v>44042</v>
      </c>
      <c r="C168" s="5">
        <v>77.900000000000006</v>
      </c>
      <c r="D168" s="54">
        <f t="shared" si="6"/>
        <v>-6.5042724142327923E-3</v>
      </c>
      <c r="F168" s="59" t="s">
        <v>1339</v>
      </c>
      <c r="G168" s="5">
        <v>14.42</v>
      </c>
      <c r="H168" s="54">
        <f t="shared" si="7"/>
        <v>2.7816411682892728E-3</v>
      </c>
    </row>
    <row r="169" spans="2:8" x14ac:dyDescent="0.25">
      <c r="B169" s="60">
        <v>44043</v>
      </c>
      <c r="C169" s="5">
        <v>77.67</v>
      </c>
      <c r="D169" s="54">
        <f t="shared" si="6"/>
        <v>-2.952503209242674E-3</v>
      </c>
      <c r="F169" s="59" t="s">
        <v>1338</v>
      </c>
      <c r="G169" s="5">
        <v>14.44</v>
      </c>
      <c r="H169" s="54">
        <f t="shared" si="7"/>
        <v>1.3869625520110951E-3</v>
      </c>
    </row>
    <row r="170" spans="2:8" x14ac:dyDescent="0.25">
      <c r="B170" s="60">
        <v>44046</v>
      </c>
      <c r="C170" s="5">
        <v>78.489999999999995</v>
      </c>
      <c r="D170" s="54">
        <f t="shared" si="6"/>
        <v>1.0557486803141503E-2</v>
      </c>
      <c r="F170" s="59" t="s">
        <v>1337</v>
      </c>
      <c r="G170" s="5">
        <v>14.46</v>
      </c>
      <c r="H170" s="54">
        <f t="shared" si="7"/>
        <v>1.3850415512466352E-3</v>
      </c>
    </row>
    <row r="171" spans="2:8" x14ac:dyDescent="0.25">
      <c r="B171" s="60">
        <v>44047</v>
      </c>
      <c r="C171" s="5">
        <v>78.900000000000006</v>
      </c>
      <c r="D171" s="54">
        <f t="shared" si="6"/>
        <v>5.2235953624666376E-3</v>
      </c>
      <c r="F171" s="59" t="s">
        <v>1336</v>
      </c>
      <c r="G171" s="5">
        <v>14.39</v>
      </c>
      <c r="H171" s="54">
        <f t="shared" si="7"/>
        <v>-4.8409405255878113E-3</v>
      </c>
    </row>
    <row r="172" spans="2:8" x14ac:dyDescent="0.25">
      <c r="B172" s="60">
        <v>44048</v>
      </c>
      <c r="C172" s="5">
        <v>79.44</v>
      </c>
      <c r="D172" s="54">
        <f t="shared" si="6"/>
        <v>6.8441064638782301E-3</v>
      </c>
      <c r="F172" s="59" t="s">
        <v>1335</v>
      </c>
      <c r="G172" s="5">
        <v>14.43</v>
      </c>
      <c r="H172" s="54">
        <f t="shared" si="7"/>
        <v>2.7797081306462079E-3</v>
      </c>
    </row>
    <row r="173" spans="2:8" x14ac:dyDescent="0.25">
      <c r="B173" s="60">
        <v>44049</v>
      </c>
      <c r="C173" s="5">
        <v>79.72</v>
      </c>
      <c r="D173" s="54">
        <f t="shared" si="6"/>
        <v>3.5246727089628394E-3</v>
      </c>
      <c r="F173" s="59" t="s">
        <v>1334</v>
      </c>
      <c r="G173" s="5">
        <v>14.58</v>
      </c>
      <c r="H173" s="54">
        <f t="shared" si="7"/>
        <v>1.039501039501034E-2</v>
      </c>
    </row>
    <row r="174" spans="2:8" x14ac:dyDescent="0.25">
      <c r="B174" s="60">
        <v>44050</v>
      </c>
      <c r="C174" s="5">
        <v>79.36</v>
      </c>
      <c r="D174" s="54">
        <f t="shared" si="6"/>
        <v>-4.5158053186151736E-3</v>
      </c>
      <c r="F174" s="59" t="s">
        <v>1333</v>
      </c>
      <c r="G174" s="5">
        <v>14.54</v>
      </c>
      <c r="H174" s="54">
        <f t="shared" si="7"/>
        <v>-2.743484224965731E-3</v>
      </c>
    </row>
    <row r="175" spans="2:8" x14ac:dyDescent="0.25">
      <c r="B175" s="60">
        <v>44053</v>
      </c>
      <c r="C175" s="5">
        <v>79.56</v>
      </c>
      <c r="D175" s="54">
        <f t="shared" si="6"/>
        <v>2.520161290322509E-3</v>
      </c>
      <c r="F175" s="59" t="s">
        <v>1332</v>
      </c>
      <c r="G175" s="5">
        <v>14.49</v>
      </c>
      <c r="H175" s="54">
        <f t="shared" si="7"/>
        <v>-3.4387895460796791E-3</v>
      </c>
    </row>
    <row r="176" spans="2:8" x14ac:dyDescent="0.25">
      <c r="B176" s="60">
        <v>44054</v>
      </c>
      <c r="C176" s="5">
        <v>79.28</v>
      </c>
      <c r="D176" s="54">
        <f t="shared" si="6"/>
        <v>-3.5193564605329186E-3</v>
      </c>
      <c r="F176" s="59" t="s">
        <v>1331</v>
      </c>
      <c r="G176" s="5">
        <v>14.5</v>
      </c>
      <c r="H176" s="54">
        <f t="shared" si="7"/>
        <v>6.9013112491367323E-4</v>
      </c>
    </row>
    <row r="177" spans="2:8" x14ac:dyDescent="0.25">
      <c r="B177" s="60">
        <v>44055</v>
      </c>
      <c r="C177" s="5">
        <v>80.53</v>
      </c>
      <c r="D177" s="54">
        <f t="shared" si="6"/>
        <v>1.5766902119071613E-2</v>
      </c>
      <c r="F177" s="59" t="s">
        <v>1330</v>
      </c>
      <c r="G177" s="5">
        <v>14.46</v>
      </c>
      <c r="H177" s="54">
        <f t="shared" si="7"/>
        <v>-2.7586206896551557E-3</v>
      </c>
    </row>
    <row r="178" spans="2:8" x14ac:dyDescent="0.25">
      <c r="B178" s="60">
        <v>44056</v>
      </c>
      <c r="C178" s="5">
        <v>80.36</v>
      </c>
      <c r="D178" s="54">
        <f t="shared" si="6"/>
        <v>-2.1110145287470683E-3</v>
      </c>
      <c r="F178" s="59" t="s">
        <v>1329</v>
      </c>
      <c r="G178" s="5">
        <v>14.41</v>
      </c>
      <c r="H178" s="54">
        <f t="shared" si="7"/>
        <v>-3.4578146611342619E-3</v>
      </c>
    </row>
    <row r="179" spans="2:8" x14ac:dyDescent="0.25">
      <c r="B179" s="60">
        <v>44057</v>
      </c>
      <c r="C179" s="5">
        <v>80.180000000000007</v>
      </c>
      <c r="D179" s="54">
        <f t="shared" si="6"/>
        <v>-2.2399203583871596E-3</v>
      </c>
      <c r="F179" s="59" t="s">
        <v>1328</v>
      </c>
      <c r="G179" s="5">
        <v>14.44</v>
      </c>
      <c r="H179" s="54">
        <f t="shared" si="7"/>
        <v>2.0818875780708179E-3</v>
      </c>
    </row>
    <row r="180" spans="2:8" x14ac:dyDescent="0.25">
      <c r="B180" s="60">
        <v>44060</v>
      </c>
      <c r="C180" s="5">
        <v>80.760000000000005</v>
      </c>
      <c r="D180" s="54">
        <f t="shared" si="6"/>
        <v>7.2337241207283132E-3</v>
      </c>
      <c r="F180" s="59" t="s">
        <v>1327</v>
      </c>
      <c r="G180" s="5">
        <v>14.41</v>
      </c>
      <c r="H180" s="54">
        <f t="shared" si="7"/>
        <v>-2.0775623268697307E-3</v>
      </c>
    </row>
    <row r="181" spans="2:8" x14ac:dyDescent="0.25">
      <c r="B181" s="60">
        <v>44061</v>
      </c>
      <c r="C181" s="5">
        <v>80.849999999999994</v>
      </c>
      <c r="D181" s="54">
        <f t="shared" si="6"/>
        <v>1.1144130757798631E-3</v>
      </c>
      <c r="F181" s="59" t="s">
        <v>1326</v>
      </c>
      <c r="G181" s="5">
        <v>14.44</v>
      </c>
      <c r="H181" s="54">
        <f t="shared" si="7"/>
        <v>2.0818875780708179E-3</v>
      </c>
    </row>
    <row r="182" spans="2:8" x14ac:dyDescent="0.25">
      <c r="B182" s="60">
        <v>44062</v>
      </c>
      <c r="C182" s="5">
        <v>80.41</v>
      </c>
      <c r="D182" s="54">
        <f t="shared" si="6"/>
        <v>-5.4421768707482165E-3</v>
      </c>
      <c r="F182" s="59" t="s">
        <v>1325</v>
      </c>
      <c r="G182" s="5">
        <v>14.5</v>
      </c>
      <c r="H182" s="54">
        <f t="shared" si="7"/>
        <v>4.1551246537396835E-3</v>
      </c>
    </row>
    <row r="183" spans="2:8" x14ac:dyDescent="0.25">
      <c r="B183" s="60">
        <v>44063</v>
      </c>
      <c r="C183" s="5">
        <v>80.489999999999995</v>
      </c>
      <c r="D183" s="54">
        <f t="shared" si="6"/>
        <v>9.9490113170008776E-4</v>
      </c>
      <c r="F183" s="59" t="s">
        <v>1324</v>
      </c>
      <c r="G183" s="5">
        <v>14.51</v>
      </c>
      <c r="H183" s="54">
        <f t="shared" si="7"/>
        <v>6.8965517241381669E-4</v>
      </c>
    </row>
    <row r="184" spans="2:8" x14ac:dyDescent="0.25">
      <c r="B184" s="60">
        <v>44064</v>
      </c>
      <c r="C184" s="5">
        <v>80.62</v>
      </c>
      <c r="D184" s="54">
        <f t="shared" si="6"/>
        <v>1.6151074667660748E-3</v>
      </c>
      <c r="F184" s="59" t="s">
        <v>1323</v>
      </c>
      <c r="G184" s="5">
        <v>14.45</v>
      </c>
      <c r="H184" s="54">
        <f t="shared" si="7"/>
        <v>-4.1350792556857918E-3</v>
      </c>
    </row>
    <row r="185" spans="2:8" x14ac:dyDescent="0.25">
      <c r="B185" s="60">
        <v>44067</v>
      </c>
      <c r="C185" s="5">
        <v>81.48</v>
      </c>
      <c r="D185" s="54">
        <f t="shared" si="6"/>
        <v>1.0667328206400484E-2</v>
      </c>
      <c r="F185" s="59" t="s">
        <v>1322</v>
      </c>
      <c r="G185" s="5">
        <v>14.41</v>
      </c>
      <c r="H185" s="54">
        <f t="shared" si="7"/>
        <v>-2.7681660899653293E-3</v>
      </c>
    </row>
    <row r="186" spans="2:8" x14ac:dyDescent="0.25">
      <c r="B186" s="60">
        <v>44068</v>
      </c>
      <c r="C186" s="5">
        <v>81.8</v>
      </c>
      <c r="D186" s="54">
        <f t="shared" si="6"/>
        <v>3.9273441335296866E-3</v>
      </c>
      <c r="F186" s="59" t="s">
        <v>1321</v>
      </c>
      <c r="G186" s="5">
        <v>14.47</v>
      </c>
      <c r="H186" s="54">
        <f t="shared" si="7"/>
        <v>4.1637751561416358E-3</v>
      </c>
    </row>
    <row r="187" spans="2:8" x14ac:dyDescent="0.25">
      <c r="B187" s="60">
        <v>44069</v>
      </c>
      <c r="C187" s="5">
        <v>82.47</v>
      </c>
      <c r="D187" s="54">
        <f t="shared" si="6"/>
        <v>8.1907090464548027E-3</v>
      </c>
      <c r="F187" s="59" t="s">
        <v>1320</v>
      </c>
      <c r="G187" s="5">
        <v>14.41</v>
      </c>
      <c r="H187" s="54">
        <f t="shared" si="7"/>
        <v>-4.14651002073263E-3</v>
      </c>
    </row>
    <row r="188" spans="2:8" x14ac:dyDescent="0.25">
      <c r="B188" s="60">
        <v>44070</v>
      </c>
      <c r="C188" s="5">
        <v>82.22</v>
      </c>
      <c r="D188" s="54">
        <f t="shared" si="6"/>
        <v>-3.0314053595247303E-3</v>
      </c>
      <c r="F188" s="59" t="s">
        <v>1319</v>
      </c>
      <c r="G188" s="5">
        <v>14.4</v>
      </c>
      <c r="H188" s="54">
        <f t="shared" si="7"/>
        <v>-6.9396252602360597E-4</v>
      </c>
    </row>
    <row r="189" spans="2:8" x14ac:dyDescent="0.25">
      <c r="B189" s="60">
        <v>44071</v>
      </c>
      <c r="C189" s="5">
        <v>82.85</v>
      </c>
      <c r="D189" s="54">
        <f t="shared" si="6"/>
        <v>7.6623692532229448E-3</v>
      </c>
      <c r="F189" s="59" t="s">
        <v>1318</v>
      </c>
      <c r="G189" s="5">
        <v>14.39</v>
      </c>
      <c r="H189" s="54">
        <f t="shared" si="7"/>
        <v>-6.9444444444444198E-4</v>
      </c>
    </row>
    <row r="190" spans="2:8" x14ac:dyDescent="0.25">
      <c r="B190" s="60">
        <v>44074</v>
      </c>
      <c r="C190" s="5">
        <v>82.35</v>
      </c>
      <c r="D190" s="54">
        <f t="shared" si="6"/>
        <v>-6.0350030175014835E-3</v>
      </c>
      <c r="F190" s="59" t="s">
        <v>1317</v>
      </c>
      <c r="G190" s="5">
        <v>14.42</v>
      </c>
      <c r="H190" s="54">
        <f t="shared" si="7"/>
        <v>2.0847810979847115E-3</v>
      </c>
    </row>
    <row r="191" spans="2:8" x14ac:dyDescent="0.25">
      <c r="B191" s="60">
        <v>44075</v>
      </c>
      <c r="C191" s="5">
        <v>83.06</v>
      </c>
      <c r="D191" s="54">
        <f t="shared" si="6"/>
        <v>8.6217364905889493E-3</v>
      </c>
      <c r="F191" s="59" t="s">
        <v>1316</v>
      </c>
      <c r="G191" s="5">
        <v>14.44</v>
      </c>
      <c r="H191" s="54">
        <f t="shared" si="7"/>
        <v>1.3869625520110951E-3</v>
      </c>
    </row>
    <row r="192" spans="2:8" x14ac:dyDescent="0.25">
      <c r="B192" s="60">
        <v>44076</v>
      </c>
      <c r="C192" s="5">
        <v>84.01</v>
      </c>
      <c r="D192" s="54">
        <f t="shared" si="6"/>
        <v>1.1437515049361968E-2</v>
      </c>
      <c r="F192" s="59" t="s">
        <v>1315</v>
      </c>
      <c r="G192" s="5">
        <v>14.48</v>
      </c>
      <c r="H192" s="54">
        <f t="shared" si="7"/>
        <v>2.7700831024930483E-3</v>
      </c>
    </row>
    <row r="193" spans="2:8" x14ac:dyDescent="0.25">
      <c r="B193" s="60">
        <v>44077</v>
      </c>
      <c r="C193" s="5">
        <v>81.45</v>
      </c>
      <c r="D193" s="54">
        <f t="shared" si="6"/>
        <v>-3.0472562790144098E-2</v>
      </c>
      <c r="F193" s="59" t="s">
        <v>1314</v>
      </c>
      <c r="G193" s="5">
        <v>14.45</v>
      </c>
      <c r="H193" s="54">
        <f t="shared" si="7"/>
        <v>-2.0718232044200091E-3</v>
      </c>
    </row>
    <row r="194" spans="2:8" x14ac:dyDescent="0.25">
      <c r="B194" s="60">
        <v>44078</v>
      </c>
      <c r="C194" s="5">
        <v>81.05</v>
      </c>
      <c r="D194" s="54">
        <f t="shared" si="6"/>
        <v>-4.9109883364027995E-3</v>
      </c>
      <c r="F194" s="59" t="s">
        <v>1313</v>
      </c>
      <c r="G194" s="5">
        <v>14.53</v>
      </c>
      <c r="H194" s="54">
        <f t="shared" si="7"/>
        <v>5.5363321799308807E-3</v>
      </c>
    </row>
    <row r="195" spans="2:8" x14ac:dyDescent="0.25">
      <c r="B195" s="60">
        <v>44082</v>
      </c>
      <c r="C195" s="5">
        <v>79.150000000000006</v>
      </c>
      <c r="D195" s="54">
        <f t="shared" si="6"/>
        <v>-2.3442319555829649E-2</v>
      </c>
      <c r="F195" s="59" t="s">
        <v>1312</v>
      </c>
      <c r="G195" s="5">
        <v>14.43</v>
      </c>
      <c r="H195" s="54">
        <f t="shared" si="7"/>
        <v>-6.882312456985562E-3</v>
      </c>
    </row>
    <row r="196" spans="2:8" x14ac:dyDescent="0.25">
      <c r="B196" s="60">
        <v>44083</v>
      </c>
      <c r="C196" s="5">
        <v>80.7</v>
      </c>
      <c r="D196" s="54">
        <f t="shared" si="6"/>
        <v>1.9583070120025248E-2</v>
      </c>
      <c r="F196" s="59" t="s">
        <v>1311</v>
      </c>
      <c r="G196" s="5">
        <v>14.46</v>
      </c>
      <c r="H196" s="54">
        <f t="shared" si="7"/>
        <v>2.0790020790022457E-3</v>
      </c>
    </row>
    <row r="197" spans="2:8" x14ac:dyDescent="0.25">
      <c r="B197" s="60">
        <v>44084</v>
      </c>
      <c r="C197" s="5">
        <v>79.510000000000005</v>
      </c>
      <c r="D197" s="54">
        <f t="shared" si="6"/>
        <v>-1.4745972738537727E-2</v>
      </c>
      <c r="F197" s="59" t="s">
        <v>1310</v>
      </c>
      <c r="G197" s="5">
        <v>14.42</v>
      </c>
      <c r="H197" s="54">
        <f t="shared" si="7"/>
        <v>-2.7662517289074318E-3</v>
      </c>
    </row>
    <row r="198" spans="2:8" x14ac:dyDescent="0.25">
      <c r="B198" s="60">
        <v>44085</v>
      </c>
      <c r="C198" s="5">
        <v>79.8</v>
      </c>
      <c r="D198" s="54">
        <f t="shared" si="6"/>
        <v>3.6473399572380938E-3</v>
      </c>
      <c r="F198" s="59" t="s">
        <v>1309</v>
      </c>
      <c r="G198" s="5">
        <v>14.43</v>
      </c>
      <c r="H198" s="54">
        <f t="shared" si="7"/>
        <v>6.9348127600554754E-4</v>
      </c>
    </row>
    <row r="199" spans="2:8" x14ac:dyDescent="0.25">
      <c r="B199" s="60">
        <v>44088</v>
      </c>
      <c r="C199" s="5">
        <v>80.78</v>
      </c>
      <c r="D199" s="54">
        <f t="shared" si="6"/>
        <v>1.2280701754386003E-2</v>
      </c>
      <c r="F199" s="59" t="s">
        <v>1308</v>
      </c>
      <c r="G199" s="5">
        <v>14.43</v>
      </c>
      <c r="H199" s="54">
        <f t="shared" si="7"/>
        <v>0</v>
      </c>
    </row>
    <row r="200" spans="2:8" x14ac:dyDescent="0.25">
      <c r="B200" s="60">
        <v>44089</v>
      </c>
      <c r="C200" s="5">
        <v>81.319999999999993</v>
      </c>
      <c r="D200" s="54">
        <f t="shared" si="6"/>
        <v>6.6848229759841615E-3</v>
      </c>
      <c r="F200" s="59" t="s">
        <v>1307</v>
      </c>
      <c r="G200" s="5">
        <v>14.47</v>
      </c>
      <c r="H200" s="54">
        <f t="shared" si="7"/>
        <v>2.7720027720028462E-3</v>
      </c>
    </row>
    <row r="201" spans="2:8" x14ac:dyDescent="0.25">
      <c r="B201" s="60">
        <v>44090</v>
      </c>
      <c r="C201" s="5">
        <v>81.099999999999994</v>
      </c>
      <c r="D201" s="54">
        <f t="shared" si="6"/>
        <v>-2.7053615346778193E-3</v>
      </c>
      <c r="F201" s="59" t="s">
        <v>1306</v>
      </c>
      <c r="G201" s="5">
        <v>14.52</v>
      </c>
      <c r="H201" s="54">
        <f t="shared" si="7"/>
        <v>3.4554250172771361E-3</v>
      </c>
    </row>
    <row r="202" spans="2:8" x14ac:dyDescent="0.25">
      <c r="B202" s="60">
        <v>44091</v>
      </c>
      <c r="C202" s="5">
        <v>80.66</v>
      </c>
      <c r="D202" s="54">
        <f t="shared" si="6"/>
        <v>-5.4254007398273352E-3</v>
      </c>
      <c r="F202" s="59" t="s">
        <v>1305</v>
      </c>
      <c r="G202" s="5">
        <v>14.5</v>
      </c>
      <c r="H202" s="54">
        <f t="shared" si="7"/>
        <v>-1.3774104683195176E-3</v>
      </c>
    </row>
    <row r="203" spans="2:8" x14ac:dyDescent="0.25">
      <c r="B203" s="60">
        <v>44092</v>
      </c>
      <c r="C203" s="5">
        <v>79.900000000000006</v>
      </c>
      <c r="D203" s="54">
        <f t="shared" si="6"/>
        <v>-9.4222663030001375E-3</v>
      </c>
      <c r="F203" s="59" t="s">
        <v>1304</v>
      </c>
      <c r="G203" s="5">
        <v>14.48</v>
      </c>
      <c r="H203" s="54">
        <f t="shared" si="7"/>
        <v>-1.3793103448275223E-3</v>
      </c>
    </row>
    <row r="204" spans="2:8" x14ac:dyDescent="0.25">
      <c r="B204" s="60">
        <v>44095</v>
      </c>
      <c r="C204" s="5">
        <v>78.8</v>
      </c>
      <c r="D204" s="54">
        <f t="shared" si="6"/>
        <v>-1.3767209011264159E-2</v>
      </c>
      <c r="F204" s="59" t="s">
        <v>1303</v>
      </c>
      <c r="G204" s="5">
        <v>14.5</v>
      </c>
      <c r="H204" s="54">
        <f t="shared" si="7"/>
        <v>1.3812154696133394E-3</v>
      </c>
    </row>
    <row r="205" spans="2:8" x14ac:dyDescent="0.25">
      <c r="B205" s="60">
        <v>44096</v>
      </c>
      <c r="C205" s="5">
        <v>79.17</v>
      </c>
      <c r="D205" s="54">
        <f t="shared" si="6"/>
        <v>4.6954314720812906E-3</v>
      </c>
      <c r="F205" s="59" t="s">
        <v>1302</v>
      </c>
      <c r="G205" s="5">
        <v>14.47</v>
      </c>
      <c r="H205" s="54">
        <f t="shared" si="7"/>
        <v>-2.068965517241339E-3</v>
      </c>
    </row>
    <row r="206" spans="2:8" x14ac:dyDescent="0.25">
      <c r="B206" s="60">
        <v>44097</v>
      </c>
      <c r="C206" s="5">
        <v>77.7</v>
      </c>
      <c r="D206" s="54">
        <f t="shared" si="6"/>
        <v>-1.8567639257294433E-2</v>
      </c>
      <c r="F206" s="59" t="s">
        <v>1301</v>
      </c>
      <c r="G206" s="5">
        <v>14.4</v>
      </c>
      <c r="H206" s="54">
        <f t="shared" si="7"/>
        <v>-4.8375950241880128E-3</v>
      </c>
    </row>
    <row r="207" spans="2:8" x14ac:dyDescent="0.25">
      <c r="B207" s="60">
        <v>44098</v>
      </c>
      <c r="C207" s="5">
        <v>77.739999999999995</v>
      </c>
      <c r="D207" s="54">
        <f t="shared" si="6"/>
        <v>5.1480051480035094E-4</v>
      </c>
      <c r="F207" s="59" t="s">
        <v>1300</v>
      </c>
      <c r="G207" s="5">
        <v>14.41</v>
      </c>
      <c r="H207" s="54">
        <f t="shared" si="7"/>
        <v>6.9444444444433095E-4</v>
      </c>
    </row>
    <row r="208" spans="2:8" x14ac:dyDescent="0.25">
      <c r="B208" s="60">
        <v>44099</v>
      </c>
      <c r="C208" s="5">
        <v>78.59</v>
      </c>
      <c r="D208" s="54">
        <f t="shared" si="6"/>
        <v>1.0933882171340503E-2</v>
      </c>
      <c r="F208" s="59" t="s">
        <v>1299</v>
      </c>
      <c r="G208" s="5">
        <v>14.34</v>
      </c>
      <c r="H208" s="54">
        <f t="shared" si="7"/>
        <v>-4.8577376821651308E-3</v>
      </c>
    </row>
    <row r="209" spans="2:8" x14ac:dyDescent="0.25">
      <c r="B209" s="60">
        <v>44102</v>
      </c>
      <c r="C209" s="5">
        <v>79.84</v>
      </c>
      <c r="D209" s="54">
        <f t="shared" si="6"/>
        <v>1.5905331467107819E-2</v>
      </c>
      <c r="F209" s="59" t="s">
        <v>1298</v>
      </c>
      <c r="G209" s="5">
        <v>14.33</v>
      </c>
      <c r="H209" s="54">
        <f t="shared" si="7"/>
        <v>-6.9735006973503655E-4</v>
      </c>
    </row>
    <row r="210" spans="2:8" x14ac:dyDescent="0.25">
      <c r="B210" s="60">
        <v>44103</v>
      </c>
      <c r="C210" s="5">
        <v>79.56</v>
      </c>
      <c r="D210" s="54">
        <f t="shared" si="6"/>
        <v>-3.507014028056088E-3</v>
      </c>
      <c r="F210" s="59" t="s">
        <v>1297</v>
      </c>
      <c r="G210" s="5">
        <v>14.35</v>
      </c>
      <c r="H210" s="54">
        <f t="shared" si="7"/>
        <v>1.3956734124214165E-3</v>
      </c>
    </row>
    <row r="211" spans="2:8" x14ac:dyDescent="0.25">
      <c r="B211" s="60">
        <v>44104</v>
      </c>
      <c r="C211" s="5">
        <v>79.92</v>
      </c>
      <c r="D211" s="54">
        <f t="shared" si="6"/>
        <v>4.5248868778280382E-3</v>
      </c>
      <c r="F211" s="59" t="s">
        <v>1296</v>
      </c>
      <c r="G211" s="5">
        <v>14.39</v>
      </c>
      <c r="H211" s="54">
        <f t="shared" si="7"/>
        <v>2.7874564459930973E-3</v>
      </c>
    </row>
    <row r="212" spans="2:8" x14ac:dyDescent="0.25">
      <c r="B212" s="60">
        <v>44105</v>
      </c>
      <c r="C212" s="5">
        <v>80.52</v>
      </c>
      <c r="D212" s="54">
        <f t="shared" si="6"/>
        <v>7.5075075075075048E-3</v>
      </c>
      <c r="F212" s="59" t="s">
        <v>1295</v>
      </c>
      <c r="G212" s="5">
        <v>14.37</v>
      </c>
      <c r="H212" s="54">
        <f t="shared" si="7"/>
        <v>-1.389854065323215E-3</v>
      </c>
    </row>
    <row r="213" spans="2:8" x14ac:dyDescent="0.25">
      <c r="B213" s="60">
        <v>44106</v>
      </c>
      <c r="C213" s="5">
        <v>79.91</v>
      </c>
      <c r="D213" s="54">
        <f t="shared" si="6"/>
        <v>-7.575757575757569E-3</v>
      </c>
      <c r="F213" s="59" t="s">
        <v>1294</v>
      </c>
      <c r="G213" s="5">
        <v>14.38</v>
      </c>
      <c r="H213" s="54">
        <f t="shared" si="7"/>
        <v>6.9589422407800861E-4</v>
      </c>
    </row>
    <row r="214" spans="2:8" x14ac:dyDescent="0.25">
      <c r="B214" s="60">
        <v>44109</v>
      </c>
      <c r="C214" s="5">
        <v>81.23</v>
      </c>
      <c r="D214" s="54">
        <f t="shared" si="6"/>
        <v>1.6518583406332166E-2</v>
      </c>
      <c r="F214" s="59" t="s">
        <v>1293</v>
      </c>
      <c r="G214" s="5">
        <v>14.41</v>
      </c>
      <c r="H214" s="54">
        <f t="shared" si="7"/>
        <v>2.0862308762168436E-3</v>
      </c>
    </row>
    <row r="215" spans="2:8" x14ac:dyDescent="0.25">
      <c r="B215" s="60">
        <v>44110</v>
      </c>
      <c r="C215" s="5">
        <v>80.36</v>
      </c>
      <c r="D215" s="54">
        <f t="shared" ref="D215:D275" si="8">C215/C214-1</f>
        <v>-1.0710328696294513E-2</v>
      </c>
      <c r="F215" s="59" t="s">
        <v>1292</v>
      </c>
      <c r="G215" s="5">
        <v>14.47</v>
      </c>
      <c r="H215" s="54">
        <f t="shared" ref="H215:H274" si="9">G215/G214-1</f>
        <v>4.1637751561416358E-3</v>
      </c>
    </row>
    <row r="216" spans="2:8" x14ac:dyDescent="0.25">
      <c r="B216" s="60">
        <v>44111</v>
      </c>
      <c r="C216" s="5">
        <v>81.459999999999994</v>
      </c>
      <c r="D216" s="54">
        <f t="shared" si="8"/>
        <v>1.3688402190144222E-2</v>
      </c>
      <c r="F216" s="59" t="s">
        <v>1291</v>
      </c>
      <c r="G216" s="5">
        <v>14.41</v>
      </c>
      <c r="H216" s="54">
        <f t="shared" si="9"/>
        <v>-4.14651002073263E-3</v>
      </c>
    </row>
    <row r="217" spans="2:8" x14ac:dyDescent="0.25">
      <c r="B217" s="60">
        <v>44112</v>
      </c>
      <c r="C217" s="5">
        <v>82.12</v>
      </c>
      <c r="D217" s="54">
        <f t="shared" si="8"/>
        <v>8.1021360176776192E-3</v>
      </c>
      <c r="F217" s="59" t="s">
        <v>1290</v>
      </c>
      <c r="G217" s="5">
        <v>14.4</v>
      </c>
      <c r="H217" s="54">
        <f t="shared" si="9"/>
        <v>-6.9396252602360597E-4</v>
      </c>
    </row>
    <row r="218" spans="2:8" x14ac:dyDescent="0.25">
      <c r="B218" s="60">
        <v>44113</v>
      </c>
      <c r="C218" s="5">
        <v>82.82</v>
      </c>
      <c r="D218" s="54">
        <f t="shared" si="8"/>
        <v>8.5241110569895806E-3</v>
      </c>
      <c r="F218" s="59" t="s">
        <v>1289</v>
      </c>
      <c r="G218" s="5">
        <v>14.37</v>
      </c>
      <c r="H218" s="54">
        <f t="shared" si="9"/>
        <v>-2.083333333333437E-3</v>
      </c>
    </row>
    <row r="219" spans="2:8" x14ac:dyDescent="0.25">
      <c r="B219" s="60">
        <v>44116</v>
      </c>
      <c r="C219" s="5">
        <v>83.79</v>
      </c>
      <c r="D219" s="54">
        <f t="shared" si="8"/>
        <v>1.1712146824438774E-2</v>
      </c>
      <c r="F219" s="59" t="s">
        <v>1288</v>
      </c>
      <c r="G219" s="5">
        <v>14.48</v>
      </c>
      <c r="H219" s="54">
        <f t="shared" si="9"/>
        <v>7.6548364648574285E-3</v>
      </c>
    </row>
    <row r="220" spans="2:8" x14ac:dyDescent="0.25">
      <c r="B220" s="60">
        <v>44117</v>
      </c>
      <c r="C220" s="5">
        <v>83.23</v>
      </c>
      <c r="D220" s="54">
        <f t="shared" si="8"/>
        <v>-6.6833751044277356E-3</v>
      </c>
      <c r="F220" s="59" t="s">
        <v>1287</v>
      </c>
      <c r="G220" s="5">
        <v>14.48</v>
      </c>
      <c r="H220" s="54">
        <f t="shared" si="9"/>
        <v>0</v>
      </c>
    </row>
    <row r="221" spans="2:8" x14ac:dyDescent="0.25">
      <c r="B221" s="60">
        <v>44118</v>
      </c>
      <c r="C221" s="5">
        <v>82.83</v>
      </c>
      <c r="D221" s="54">
        <f t="shared" si="8"/>
        <v>-4.8059593896432329E-3</v>
      </c>
      <c r="F221" s="59" t="s">
        <v>1286</v>
      </c>
      <c r="G221" s="5">
        <v>14.5</v>
      </c>
      <c r="H221" s="54">
        <f t="shared" si="9"/>
        <v>1.3812154696133394E-3</v>
      </c>
    </row>
    <row r="222" spans="2:8" x14ac:dyDescent="0.25">
      <c r="B222" s="60">
        <v>44119</v>
      </c>
      <c r="C222" s="5">
        <v>82.4</v>
      </c>
      <c r="D222" s="54">
        <f t="shared" si="8"/>
        <v>-5.1913557889652351E-3</v>
      </c>
      <c r="F222" s="59" t="s">
        <v>1285</v>
      </c>
      <c r="G222" s="5">
        <v>14.45</v>
      </c>
      <c r="H222" s="54">
        <f t="shared" si="9"/>
        <v>-3.4482758620689724E-3</v>
      </c>
    </row>
    <row r="223" spans="2:8" x14ac:dyDescent="0.25">
      <c r="B223" s="60">
        <v>44120</v>
      </c>
      <c r="C223" s="5">
        <v>82.45</v>
      </c>
      <c r="D223" s="54">
        <f t="shared" si="8"/>
        <v>6.0679611650482634E-4</v>
      </c>
      <c r="F223" s="59" t="s">
        <v>1284</v>
      </c>
      <c r="G223" s="5">
        <v>14.48</v>
      </c>
      <c r="H223" s="54">
        <f t="shared" si="9"/>
        <v>2.0761245674740803E-3</v>
      </c>
    </row>
    <row r="224" spans="2:8" x14ac:dyDescent="0.25">
      <c r="B224" s="60">
        <v>44123</v>
      </c>
      <c r="C224" s="5">
        <v>81.64</v>
      </c>
      <c r="D224" s="54">
        <f t="shared" si="8"/>
        <v>-9.8241358399030476E-3</v>
      </c>
      <c r="F224" s="59" t="s">
        <v>1283</v>
      </c>
      <c r="G224" s="5">
        <v>14.48</v>
      </c>
      <c r="H224" s="54">
        <f t="shared" si="9"/>
        <v>0</v>
      </c>
    </row>
    <row r="225" spans="2:8" x14ac:dyDescent="0.25">
      <c r="B225" s="60">
        <v>44124</v>
      </c>
      <c r="C225" s="5">
        <v>82.03</v>
      </c>
      <c r="D225" s="54">
        <f t="shared" si="8"/>
        <v>4.7770700636942109E-3</v>
      </c>
      <c r="F225" s="59" t="s">
        <v>1282</v>
      </c>
      <c r="G225" s="5">
        <v>14.47</v>
      </c>
      <c r="H225" s="54">
        <f t="shared" si="9"/>
        <v>-6.906077348066697E-4</v>
      </c>
    </row>
    <row r="226" spans="2:8" x14ac:dyDescent="0.25">
      <c r="B226" s="60">
        <v>44125</v>
      </c>
      <c r="C226" s="5">
        <v>81.83</v>
      </c>
      <c r="D226" s="54">
        <f t="shared" si="8"/>
        <v>-2.4381323905888763E-3</v>
      </c>
      <c r="F226" s="59" t="s">
        <v>1281</v>
      </c>
      <c r="G226" s="5">
        <v>14.5</v>
      </c>
      <c r="H226" s="54">
        <f t="shared" si="9"/>
        <v>2.0732550103661485E-3</v>
      </c>
    </row>
    <row r="227" spans="2:8" x14ac:dyDescent="0.25">
      <c r="B227" s="60">
        <v>44126</v>
      </c>
      <c r="C227" s="5">
        <v>82.09</v>
      </c>
      <c r="D227" s="54">
        <f t="shared" si="8"/>
        <v>3.1773188317243406E-3</v>
      </c>
      <c r="F227" s="59" t="s">
        <v>1280</v>
      </c>
      <c r="G227" s="5">
        <v>14.47</v>
      </c>
      <c r="H227" s="54">
        <f t="shared" si="9"/>
        <v>-2.068965517241339E-3</v>
      </c>
    </row>
    <row r="228" spans="2:8" x14ac:dyDescent="0.25">
      <c r="B228" s="60">
        <v>44127</v>
      </c>
      <c r="C228" s="5">
        <v>82.44</v>
      </c>
      <c r="D228" s="54">
        <f t="shared" si="8"/>
        <v>4.2636131075648454E-3</v>
      </c>
      <c r="F228" s="59" t="s">
        <v>1279</v>
      </c>
      <c r="G228" s="5">
        <v>14.46</v>
      </c>
      <c r="H228" s="54">
        <f t="shared" si="9"/>
        <v>-6.9108500345538282E-4</v>
      </c>
    </row>
    <row r="229" spans="2:8" x14ac:dyDescent="0.25">
      <c r="B229" s="60">
        <v>44130</v>
      </c>
      <c r="C229" s="5">
        <v>81.05</v>
      </c>
      <c r="D229" s="54">
        <f t="shared" si="8"/>
        <v>-1.6860747210092231E-2</v>
      </c>
      <c r="F229" s="59" t="s">
        <v>1278</v>
      </c>
      <c r="G229" s="5">
        <v>14.47</v>
      </c>
      <c r="H229" s="54">
        <f t="shared" si="9"/>
        <v>6.9156293222683018E-4</v>
      </c>
    </row>
    <row r="230" spans="2:8" x14ac:dyDescent="0.25">
      <c r="B230" s="60">
        <v>44131</v>
      </c>
      <c r="C230" s="5">
        <v>80.78</v>
      </c>
      <c r="D230" s="54">
        <f t="shared" si="8"/>
        <v>-3.3312769895126326E-3</v>
      </c>
      <c r="F230" s="59" t="s">
        <v>1277</v>
      </c>
      <c r="G230" s="5">
        <v>14.5</v>
      </c>
      <c r="H230" s="54">
        <f t="shared" si="9"/>
        <v>2.0732550103661485E-3</v>
      </c>
    </row>
    <row r="231" spans="2:8" x14ac:dyDescent="0.25">
      <c r="B231" s="60">
        <v>44132</v>
      </c>
      <c r="C231" s="5">
        <v>78.2</v>
      </c>
      <c r="D231" s="54">
        <f t="shared" si="8"/>
        <v>-3.1938598663035389E-2</v>
      </c>
      <c r="F231" s="59" t="s">
        <v>1276</v>
      </c>
      <c r="G231" s="5">
        <v>14.45</v>
      </c>
      <c r="H231" s="54">
        <f t="shared" si="9"/>
        <v>-3.4482758620689724E-3</v>
      </c>
    </row>
    <row r="232" spans="2:8" x14ac:dyDescent="0.25">
      <c r="B232" s="60">
        <v>44133</v>
      </c>
      <c r="C232" s="5">
        <v>78.819999999999993</v>
      </c>
      <c r="D232" s="54">
        <f t="shared" si="8"/>
        <v>7.9283887468029057E-3</v>
      </c>
      <c r="F232" s="59" t="s">
        <v>1275</v>
      </c>
      <c r="G232" s="5">
        <v>14.41</v>
      </c>
      <c r="H232" s="54">
        <f t="shared" si="9"/>
        <v>-2.7681660899653293E-3</v>
      </c>
    </row>
    <row r="233" spans="2:8" x14ac:dyDescent="0.25">
      <c r="B233" s="60">
        <v>44134</v>
      </c>
      <c r="C233" s="5">
        <v>78.14</v>
      </c>
      <c r="D233" s="54">
        <f t="shared" si="8"/>
        <v>-8.6272519665058223E-3</v>
      </c>
      <c r="F233" s="59" t="s">
        <v>1274</v>
      </c>
      <c r="G233" s="5">
        <v>14.38</v>
      </c>
      <c r="H233" s="54">
        <f t="shared" si="9"/>
        <v>-2.0818875780707069E-3</v>
      </c>
    </row>
    <row r="234" spans="2:8" x14ac:dyDescent="0.25">
      <c r="B234" s="60">
        <v>44137</v>
      </c>
      <c r="C234" s="5">
        <v>79</v>
      </c>
      <c r="D234" s="54">
        <f t="shared" si="8"/>
        <v>1.1005886869720927E-2</v>
      </c>
      <c r="F234" s="59" t="s">
        <v>1273</v>
      </c>
      <c r="G234" s="5">
        <v>14.38</v>
      </c>
      <c r="H234" s="54">
        <f t="shared" si="9"/>
        <v>0</v>
      </c>
    </row>
    <row r="235" spans="2:8" x14ac:dyDescent="0.25">
      <c r="B235" s="60">
        <v>44138</v>
      </c>
      <c r="C235" s="5">
        <v>80.45</v>
      </c>
      <c r="D235" s="54">
        <f t="shared" si="8"/>
        <v>1.8354430379746933E-2</v>
      </c>
      <c r="F235" s="59" t="s">
        <v>1272</v>
      </c>
      <c r="G235" s="5">
        <v>14.37</v>
      </c>
      <c r="H235" s="54">
        <f t="shared" si="9"/>
        <v>-6.9541029207242921E-4</v>
      </c>
    </row>
    <row r="236" spans="2:8" x14ac:dyDescent="0.25">
      <c r="B236" s="60">
        <v>44139</v>
      </c>
      <c r="C236" s="5">
        <v>82.15</v>
      </c>
      <c r="D236" s="54">
        <f t="shared" si="8"/>
        <v>2.1131137352392804E-2</v>
      </c>
      <c r="F236" s="59" t="s">
        <v>1271</v>
      </c>
      <c r="G236" s="5">
        <v>14.43</v>
      </c>
      <c r="H236" s="54">
        <f t="shared" si="9"/>
        <v>4.1753653444676075E-3</v>
      </c>
    </row>
    <row r="237" spans="2:8" x14ac:dyDescent="0.25">
      <c r="B237" s="60">
        <v>44140</v>
      </c>
      <c r="C237" s="5">
        <v>83.82</v>
      </c>
      <c r="D237" s="54">
        <f t="shared" si="8"/>
        <v>2.0328667072428308E-2</v>
      </c>
      <c r="F237" s="59" t="s">
        <v>1270</v>
      </c>
      <c r="G237" s="5">
        <v>14.47</v>
      </c>
      <c r="H237" s="54">
        <f t="shared" si="9"/>
        <v>2.7720027720028462E-3</v>
      </c>
    </row>
    <row r="238" spans="2:8" x14ac:dyDescent="0.25">
      <c r="B238" s="60">
        <v>44141</v>
      </c>
      <c r="C238" s="5">
        <v>83.93</v>
      </c>
      <c r="D238" s="54">
        <f t="shared" si="8"/>
        <v>1.312335958005395E-3</v>
      </c>
      <c r="F238" s="59" t="s">
        <v>1269</v>
      </c>
      <c r="G238" s="5">
        <v>14.61</v>
      </c>
      <c r="H238" s="54">
        <f t="shared" si="9"/>
        <v>9.6751900483758035E-3</v>
      </c>
    </row>
    <row r="239" spans="2:8" x14ac:dyDescent="0.25">
      <c r="B239" s="60">
        <v>44144</v>
      </c>
      <c r="C239" s="5">
        <v>85.15</v>
      </c>
      <c r="D239" s="54">
        <f t="shared" si="8"/>
        <v>1.4535922792803468E-2</v>
      </c>
      <c r="F239" s="59" t="s">
        <v>1268</v>
      </c>
      <c r="G239" s="5">
        <v>14.62</v>
      </c>
      <c r="H239" s="54">
        <f t="shared" si="9"/>
        <v>6.8446269678301697E-4</v>
      </c>
    </row>
    <row r="240" spans="2:8" x14ac:dyDescent="0.25">
      <c r="B240" s="60">
        <v>44145</v>
      </c>
      <c r="C240" s="5">
        <v>85.08</v>
      </c>
      <c r="D240" s="54">
        <f t="shared" si="8"/>
        <v>-8.2207868467421008E-4</v>
      </c>
      <c r="F240" s="59" t="s">
        <v>1267</v>
      </c>
      <c r="G240" s="5">
        <v>14.57</v>
      </c>
      <c r="H240" s="54">
        <f t="shared" si="9"/>
        <v>-3.4199726402187602E-3</v>
      </c>
    </row>
    <row r="241" spans="2:8" x14ac:dyDescent="0.25">
      <c r="B241" s="60">
        <v>44146</v>
      </c>
      <c r="C241" s="5">
        <v>85.79</v>
      </c>
      <c r="D241" s="54">
        <f t="shared" si="8"/>
        <v>8.345086976963012E-3</v>
      </c>
      <c r="F241" s="59" t="s">
        <v>1266</v>
      </c>
      <c r="G241" s="5">
        <v>14.52</v>
      </c>
      <c r="H241" s="54">
        <f t="shared" si="9"/>
        <v>-3.4317089910775866E-3</v>
      </c>
    </row>
    <row r="242" spans="2:8" x14ac:dyDescent="0.25">
      <c r="B242" s="60">
        <v>44147</v>
      </c>
      <c r="C242" s="5">
        <v>84.86</v>
      </c>
      <c r="D242" s="54">
        <f t="shared" si="8"/>
        <v>-1.0840424291875594E-2</v>
      </c>
      <c r="F242" s="59" t="s">
        <v>1265</v>
      </c>
      <c r="G242" s="5">
        <v>14.53</v>
      </c>
      <c r="H242" s="54">
        <f t="shared" si="9"/>
        <v>6.8870523415975882E-4</v>
      </c>
    </row>
    <row r="243" spans="2:8" x14ac:dyDescent="0.25">
      <c r="B243" s="60">
        <v>44148</v>
      </c>
      <c r="C243" s="5">
        <v>86</v>
      </c>
      <c r="D243" s="54">
        <f t="shared" si="8"/>
        <v>1.343389111477733E-2</v>
      </c>
      <c r="F243" s="59" t="s">
        <v>1264</v>
      </c>
      <c r="G243" s="5">
        <v>14.56</v>
      </c>
      <c r="H243" s="54">
        <f t="shared" si="9"/>
        <v>2.0646937370958351E-3</v>
      </c>
    </row>
    <row r="244" spans="2:8" x14ac:dyDescent="0.25">
      <c r="B244" s="60">
        <v>44151</v>
      </c>
      <c r="C244" s="5">
        <v>87.06</v>
      </c>
      <c r="D244" s="54">
        <f t="shared" si="8"/>
        <v>1.2325581395348895E-2</v>
      </c>
      <c r="F244" s="59" t="s">
        <v>1263</v>
      </c>
      <c r="G244" s="5">
        <v>14.59</v>
      </c>
      <c r="H244" s="54">
        <f t="shared" si="9"/>
        <v>2.0604395604395531E-3</v>
      </c>
    </row>
    <row r="245" spans="2:8" x14ac:dyDescent="0.25">
      <c r="B245" s="60">
        <v>44152</v>
      </c>
      <c r="C245" s="5">
        <v>86.85</v>
      </c>
      <c r="D245" s="54">
        <f t="shared" si="8"/>
        <v>-2.4121295658168229E-3</v>
      </c>
      <c r="F245" s="59" t="s">
        <v>1262</v>
      </c>
      <c r="G245" s="5">
        <v>14.63</v>
      </c>
      <c r="H245" s="54">
        <f t="shared" si="9"/>
        <v>2.7416038382455099E-3</v>
      </c>
    </row>
    <row r="246" spans="2:8" x14ac:dyDescent="0.25">
      <c r="B246" s="60">
        <v>44153</v>
      </c>
      <c r="C246" s="5">
        <v>86.12</v>
      </c>
      <c r="D246" s="54">
        <f t="shared" si="8"/>
        <v>-8.4052964881978776E-3</v>
      </c>
      <c r="F246" s="59" t="s">
        <v>1261</v>
      </c>
      <c r="G246" s="5">
        <v>14.65</v>
      </c>
      <c r="H246" s="54">
        <f t="shared" si="9"/>
        <v>1.3670539986330166E-3</v>
      </c>
    </row>
    <row r="247" spans="2:8" x14ac:dyDescent="0.25">
      <c r="B247" s="60">
        <v>44154</v>
      </c>
      <c r="C247" s="5">
        <v>86.56</v>
      </c>
      <c r="D247" s="54">
        <f t="shared" si="8"/>
        <v>5.1091500232234299E-3</v>
      </c>
      <c r="F247" s="59" t="s">
        <v>1260</v>
      </c>
      <c r="G247" s="5">
        <v>14.63</v>
      </c>
      <c r="H247" s="54">
        <f t="shared" si="9"/>
        <v>-1.3651877133105117E-3</v>
      </c>
    </row>
    <row r="248" spans="2:8" x14ac:dyDescent="0.25">
      <c r="B248" s="60">
        <v>44155</v>
      </c>
      <c r="C248" s="5">
        <v>86.35</v>
      </c>
      <c r="D248" s="54">
        <f t="shared" si="8"/>
        <v>-2.4260628465805345E-3</v>
      </c>
      <c r="F248" s="59" t="s">
        <v>1259</v>
      </c>
      <c r="G248" s="5">
        <v>14.65</v>
      </c>
      <c r="H248" s="54">
        <f t="shared" si="9"/>
        <v>1.3670539986330166E-3</v>
      </c>
    </row>
    <row r="249" spans="2:8" x14ac:dyDescent="0.25">
      <c r="B249" s="60">
        <v>44158</v>
      </c>
      <c r="C249" s="5">
        <v>86.67</v>
      </c>
      <c r="D249" s="54">
        <f t="shared" si="8"/>
        <v>3.7058482918357338E-3</v>
      </c>
      <c r="F249" s="59" t="s">
        <v>1258</v>
      </c>
      <c r="G249" s="5">
        <v>14.68</v>
      </c>
      <c r="H249" s="54">
        <f t="shared" si="9"/>
        <v>2.0477815699657675E-3</v>
      </c>
    </row>
    <row r="250" spans="2:8" x14ac:dyDescent="0.25">
      <c r="B250" s="60">
        <v>44159</v>
      </c>
      <c r="C250" s="5">
        <v>87.96</v>
      </c>
      <c r="D250" s="54">
        <f t="shared" si="8"/>
        <v>1.4884042921426088E-2</v>
      </c>
      <c r="F250" s="59" t="s">
        <v>1257</v>
      </c>
      <c r="G250" s="5">
        <v>14.67</v>
      </c>
      <c r="H250" s="54">
        <f t="shared" si="9"/>
        <v>-6.8119891008178168E-4</v>
      </c>
    </row>
    <row r="251" spans="2:8" x14ac:dyDescent="0.25">
      <c r="B251" s="60">
        <v>44160</v>
      </c>
      <c r="C251" s="5">
        <v>87.87</v>
      </c>
      <c r="D251" s="54">
        <f t="shared" si="8"/>
        <v>-1.0231923601635717E-3</v>
      </c>
      <c r="F251" s="59" t="s">
        <v>1256</v>
      </c>
      <c r="G251" s="5">
        <v>14.7</v>
      </c>
      <c r="H251" s="54">
        <f t="shared" si="9"/>
        <v>2.044989775051187E-3</v>
      </c>
    </row>
    <row r="252" spans="2:8" x14ac:dyDescent="0.25">
      <c r="B252" s="60">
        <v>44162</v>
      </c>
      <c r="C252" s="5">
        <v>88.41</v>
      </c>
      <c r="D252" s="54">
        <f t="shared" si="8"/>
        <v>6.1454421304198981E-3</v>
      </c>
      <c r="F252" s="59" t="s">
        <v>1255</v>
      </c>
      <c r="G252" s="5">
        <v>14.73</v>
      </c>
      <c r="H252" s="54">
        <f t="shared" si="9"/>
        <v>2.0408163265306367E-3</v>
      </c>
    </row>
    <row r="253" spans="2:8" x14ac:dyDescent="0.25">
      <c r="B253" s="60">
        <v>44165</v>
      </c>
      <c r="C253" s="5">
        <v>87.33</v>
      </c>
      <c r="D253" s="54">
        <f t="shared" si="8"/>
        <v>-1.2215812690872019E-2</v>
      </c>
      <c r="F253" s="59" t="s">
        <v>1254</v>
      </c>
      <c r="G253" s="5">
        <v>14.79</v>
      </c>
      <c r="H253" s="54">
        <f t="shared" si="9"/>
        <v>4.0733197556006573E-3</v>
      </c>
    </row>
    <row r="254" spans="2:8" x14ac:dyDescent="0.25">
      <c r="B254" s="60">
        <v>44166</v>
      </c>
      <c r="C254" s="5">
        <v>88.57</v>
      </c>
      <c r="D254" s="54">
        <f t="shared" si="8"/>
        <v>1.4199015229588774E-2</v>
      </c>
      <c r="F254" s="59" t="s">
        <v>1253</v>
      </c>
      <c r="G254" s="5">
        <v>14.74</v>
      </c>
      <c r="H254" s="54">
        <f t="shared" si="9"/>
        <v>-3.3806626098714654E-3</v>
      </c>
    </row>
    <row r="255" spans="2:8" x14ac:dyDescent="0.25">
      <c r="B255" s="60">
        <v>44167</v>
      </c>
      <c r="C255" s="5">
        <v>88.75</v>
      </c>
      <c r="D255" s="54">
        <f t="shared" si="8"/>
        <v>2.0322908434007303E-3</v>
      </c>
      <c r="F255" s="59" t="s">
        <v>1252</v>
      </c>
      <c r="G255" s="5">
        <v>14.75</v>
      </c>
      <c r="H255" s="54">
        <f t="shared" si="9"/>
        <v>6.7842605156043234E-4</v>
      </c>
    </row>
    <row r="256" spans="2:8" x14ac:dyDescent="0.25">
      <c r="B256" s="60">
        <v>44168</v>
      </c>
      <c r="C256" s="5">
        <v>88.9</v>
      </c>
      <c r="D256" s="54">
        <f t="shared" si="8"/>
        <v>1.6901408450704647E-3</v>
      </c>
      <c r="F256" s="59" t="s">
        <v>1251</v>
      </c>
      <c r="G256" s="5">
        <v>14.84</v>
      </c>
      <c r="H256" s="54">
        <f t="shared" si="9"/>
        <v>6.1016949152541411E-3</v>
      </c>
    </row>
    <row r="257" spans="2:8" x14ac:dyDescent="0.25">
      <c r="B257" s="60">
        <v>44169</v>
      </c>
      <c r="C257" s="5">
        <v>89.68</v>
      </c>
      <c r="D257" s="54">
        <f t="shared" si="8"/>
        <v>8.7739032620921531E-3</v>
      </c>
      <c r="F257" s="59" t="s">
        <v>1250</v>
      </c>
      <c r="G257" s="5">
        <v>14.84</v>
      </c>
      <c r="H257" s="54">
        <f t="shared" si="9"/>
        <v>0</v>
      </c>
    </row>
    <row r="258" spans="2:8" x14ac:dyDescent="0.25">
      <c r="B258" s="60">
        <v>44172</v>
      </c>
      <c r="C258" s="5">
        <v>89.47</v>
      </c>
      <c r="D258" s="54">
        <f t="shared" si="8"/>
        <v>-2.3416592328279195E-3</v>
      </c>
      <c r="F258" s="59" t="s">
        <v>1249</v>
      </c>
      <c r="G258" s="5">
        <v>14.84</v>
      </c>
      <c r="H258" s="54">
        <f t="shared" si="9"/>
        <v>0</v>
      </c>
    </row>
    <row r="259" spans="2:8" x14ac:dyDescent="0.25">
      <c r="B259" s="60">
        <v>44173</v>
      </c>
      <c r="C259" s="5">
        <v>89.78</v>
      </c>
      <c r="D259" s="54">
        <f t="shared" si="8"/>
        <v>3.4648485525874406E-3</v>
      </c>
      <c r="F259" s="59" t="s">
        <v>1248</v>
      </c>
      <c r="G259" s="5">
        <v>14.85</v>
      </c>
      <c r="H259" s="54">
        <f t="shared" si="9"/>
        <v>6.738544474393926E-4</v>
      </c>
    </row>
    <row r="260" spans="2:8" x14ac:dyDescent="0.25">
      <c r="B260" s="60">
        <v>44174</v>
      </c>
      <c r="C260" s="5">
        <v>89.15</v>
      </c>
      <c r="D260" s="54">
        <f t="shared" si="8"/>
        <v>-7.0171530407662219E-3</v>
      </c>
      <c r="F260" s="59" t="s">
        <v>1247</v>
      </c>
      <c r="G260" s="5">
        <v>14.84</v>
      </c>
      <c r="H260" s="54">
        <f t="shared" si="9"/>
        <v>-6.7340067340060372E-4</v>
      </c>
    </row>
    <row r="261" spans="2:8" x14ac:dyDescent="0.25">
      <c r="B261" s="60">
        <v>44175</v>
      </c>
      <c r="C261" s="5">
        <v>89.39</v>
      </c>
      <c r="D261" s="54">
        <f t="shared" si="8"/>
        <v>2.6920919798092413E-3</v>
      </c>
      <c r="F261" s="59" t="s">
        <v>1246</v>
      </c>
      <c r="G261" s="5">
        <v>14.86</v>
      </c>
      <c r="H261" s="54">
        <f t="shared" si="9"/>
        <v>1.3477088948787852E-3</v>
      </c>
    </row>
    <row r="262" spans="2:8" x14ac:dyDescent="0.25">
      <c r="B262" s="60">
        <v>44176</v>
      </c>
      <c r="C262" s="5">
        <v>89.16</v>
      </c>
      <c r="D262" s="54">
        <f t="shared" si="8"/>
        <v>-2.5729947421412325E-3</v>
      </c>
      <c r="F262" s="59" t="s">
        <v>1245</v>
      </c>
      <c r="G262" s="5">
        <v>14.87</v>
      </c>
      <c r="H262" s="54">
        <f t="shared" si="9"/>
        <v>6.7294751009416842E-4</v>
      </c>
    </row>
    <row r="263" spans="2:8" x14ac:dyDescent="0.25">
      <c r="B263" s="60">
        <v>44179</v>
      </c>
      <c r="C263" s="5">
        <v>88.21</v>
      </c>
      <c r="D263" s="54">
        <f t="shared" si="8"/>
        <v>-1.0655002243158407E-2</v>
      </c>
      <c r="F263" s="59" t="s">
        <v>1244</v>
      </c>
      <c r="G263" s="5">
        <v>14.89</v>
      </c>
      <c r="H263" s="54">
        <f t="shared" si="9"/>
        <v>1.3449899125757003E-3</v>
      </c>
    </row>
    <row r="264" spans="2:8" x14ac:dyDescent="0.25">
      <c r="B264" s="60">
        <v>44180</v>
      </c>
      <c r="C264" s="5">
        <v>89.33</v>
      </c>
      <c r="D264" s="54">
        <f t="shared" si="8"/>
        <v>1.2696973132297895E-2</v>
      </c>
      <c r="F264" s="59" t="s">
        <v>1243</v>
      </c>
      <c r="G264" s="5">
        <v>14.89</v>
      </c>
      <c r="H264" s="54">
        <f t="shared" si="9"/>
        <v>0</v>
      </c>
    </row>
    <row r="265" spans="2:8" x14ac:dyDescent="0.25">
      <c r="B265" s="60">
        <v>44181</v>
      </c>
      <c r="C265" s="5">
        <v>89.55</v>
      </c>
      <c r="D265" s="54">
        <f t="shared" si="8"/>
        <v>2.4627784618829196E-3</v>
      </c>
      <c r="F265" s="59" t="s">
        <v>1242</v>
      </c>
      <c r="G265" s="5">
        <v>14.91</v>
      </c>
      <c r="H265" s="54">
        <f t="shared" si="9"/>
        <v>1.343183344526544E-3</v>
      </c>
    </row>
    <row r="266" spans="2:8" x14ac:dyDescent="0.25">
      <c r="B266" s="60">
        <v>44182</v>
      </c>
      <c r="C266" s="5">
        <v>90.19</v>
      </c>
      <c r="D266" s="54">
        <f t="shared" si="8"/>
        <v>7.1468453378000785E-3</v>
      </c>
      <c r="F266" s="59" t="s">
        <v>1241</v>
      </c>
      <c r="G266" s="5">
        <v>14.98</v>
      </c>
      <c r="H266" s="54">
        <f t="shared" si="9"/>
        <v>4.6948356807512415E-3</v>
      </c>
    </row>
    <row r="267" spans="2:8" x14ac:dyDescent="0.25">
      <c r="B267" s="60">
        <v>44183</v>
      </c>
      <c r="C267" s="5">
        <v>89.78</v>
      </c>
      <c r="D267" s="54">
        <f t="shared" si="8"/>
        <v>-4.5459585319880258E-3</v>
      </c>
      <c r="F267" s="59" t="s">
        <v>1240</v>
      </c>
      <c r="G267" s="5">
        <v>14.95</v>
      </c>
      <c r="H267" s="54">
        <f t="shared" si="9"/>
        <v>-2.0026702269693164E-3</v>
      </c>
    </row>
    <row r="268" spans="2:8" x14ac:dyDescent="0.25">
      <c r="B268" s="60">
        <v>44186</v>
      </c>
      <c r="C268" s="5">
        <v>89.21</v>
      </c>
      <c r="D268" s="54">
        <f t="shared" si="8"/>
        <v>-6.3488527511695869E-3</v>
      </c>
      <c r="F268" s="59" t="s">
        <v>1239</v>
      </c>
      <c r="G268" s="5">
        <v>14.91</v>
      </c>
      <c r="H268" s="54">
        <f t="shared" si="9"/>
        <v>-2.6755852842809125E-3</v>
      </c>
    </row>
    <row r="269" spans="2:8" x14ac:dyDescent="0.25">
      <c r="B269" s="60">
        <v>44187</v>
      </c>
      <c r="C269" s="5">
        <v>89.06</v>
      </c>
      <c r="D269" s="54">
        <f t="shared" si="8"/>
        <v>-1.6814258491200107E-3</v>
      </c>
      <c r="F269" s="59" t="s">
        <v>1238</v>
      </c>
      <c r="G269" s="5">
        <v>14.91</v>
      </c>
      <c r="H269" s="54">
        <f t="shared" si="9"/>
        <v>0</v>
      </c>
    </row>
    <row r="270" spans="2:8" x14ac:dyDescent="0.25">
      <c r="B270" s="60">
        <v>44188</v>
      </c>
      <c r="C270" s="5">
        <v>89.48</v>
      </c>
      <c r="D270" s="54">
        <f t="shared" si="8"/>
        <v>4.7159218504380096E-3</v>
      </c>
      <c r="F270" s="59" t="s">
        <v>1237</v>
      </c>
      <c r="G270" s="5">
        <v>14.92</v>
      </c>
      <c r="H270" s="54">
        <f t="shared" si="9"/>
        <v>6.7069081153592336E-4</v>
      </c>
    </row>
    <row r="271" spans="2:8" x14ac:dyDescent="0.25">
      <c r="B271" s="60">
        <v>44189</v>
      </c>
      <c r="C271" s="5">
        <v>89.59</v>
      </c>
      <c r="D271" s="54">
        <f t="shared" si="8"/>
        <v>1.2293249888242208E-3</v>
      </c>
      <c r="F271" s="59" t="s">
        <v>1236</v>
      </c>
      <c r="G271" s="5">
        <v>14.94</v>
      </c>
      <c r="H271" s="54">
        <f t="shared" si="9"/>
        <v>1.3404825737264314E-3</v>
      </c>
    </row>
    <row r="272" spans="2:8" x14ac:dyDescent="0.25">
      <c r="B272" s="60">
        <v>44193</v>
      </c>
      <c r="C272" s="5">
        <v>90.18</v>
      </c>
      <c r="D272" s="54">
        <f t="shared" si="8"/>
        <v>6.585556423708061E-3</v>
      </c>
      <c r="F272" s="59" t="s">
        <v>1235</v>
      </c>
      <c r="G272" s="5">
        <v>14.97</v>
      </c>
      <c r="H272" s="54">
        <f t="shared" si="9"/>
        <v>2.0080321285140812E-3</v>
      </c>
    </row>
    <row r="273" spans="2:8" x14ac:dyDescent="0.25">
      <c r="B273" s="60">
        <v>44194</v>
      </c>
      <c r="C273" s="5">
        <v>90.36</v>
      </c>
      <c r="D273" s="54">
        <f t="shared" si="8"/>
        <v>1.9960079840317668E-3</v>
      </c>
      <c r="F273" s="59" t="s">
        <v>1234</v>
      </c>
      <c r="G273" s="5">
        <v>15.01</v>
      </c>
      <c r="H273" s="54">
        <f t="shared" si="9"/>
        <v>2.6720106880426808E-3</v>
      </c>
    </row>
    <row r="274" spans="2:8" x14ac:dyDescent="0.25">
      <c r="B274" s="60">
        <v>44195</v>
      </c>
      <c r="C274" s="5">
        <v>90.66</v>
      </c>
      <c r="D274" s="54">
        <f t="shared" si="8"/>
        <v>3.3200531208499307E-3</v>
      </c>
      <c r="F274" s="59" t="s">
        <v>1233</v>
      </c>
      <c r="G274" s="5">
        <v>15.02</v>
      </c>
      <c r="H274" s="54">
        <f t="shared" si="9"/>
        <v>6.6622251832115786E-4</v>
      </c>
    </row>
    <row r="275" spans="2:8" x14ac:dyDescent="0.25">
      <c r="B275" s="60">
        <v>44196</v>
      </c>
      <c r="C275" s="5">
        <v>90.72</v>
      </c>
      <c r="D275" s="54">
        <f t="shared" si="8"/>
        <v>6.6181336863002649E-4</v>
      </c>
      <c r="F275" s="59"/>
      <c r="G275" s="5"/>
      <c r="H275" s="54"/>
    </row>
    <row r="276" spans="2:8" x14ac:dyDescent="0.25">
      <c r="B276" s="60"/>
      <c r="C276" s="5"/>
      <c r="D276" s="54"/>
      <c r="F276" s="59" t="s">
        <v>1232</v>
      </c>
      <c r="G276" s="5">
        <v>15.04</v>
      </c>
      <c r="H276" s="54">
        <f>G276/G274-1</f>
        <v>1.3315579227695107E-3</v>
      </c>
    </row>
    <row r="277" spans="2:8" x14ac:dyDescent="0.25">
      <c r="B277" s="60">
        <v>44200</v>
      </c>
      <c r="C277" s="5">
        <v>90.22</v>
      </c>
      <c r="D277" s="54">
        <f>C277/C275-1</f>
        <v>-5.5114638447971709E-3</v>
      </c>
      <c r="F277" s="59" t="s">
        <v>1231</v>
      </c>
      <c r="G277" s="5">
        <v>15.03</v>
      </c>
      <c r="H277" s="54">
        <f t="shared" ref="H277:H340" si="10">G277/G276-1</f>
        <v>-6.6489361702126715E-4</v>
      </c>
    </row>
    <row r="278" spans="2:8" x14ac:dyDescent="0.25">
      <c r="B278" s="60">
        <v>44201</v>
      </c>
      <c r="C278" s="5">
        <v>91.15</v>
      </c>
      <c r="D278" s="54">
        <f t="shared" ref="D278:D341" si="11">C278/C277-1</f>
        <v>1.0308135668366303E-2</v>
      </c>
      <c r="F278" s="59" t="s">
        <v>1230</v>
      </c>
      <c r="G278" s="5">
        <v>15</v>
      </c>
      <c r="H278" s="54">
        <f t="shared" si="10"/>
        <v>-1.9960079840318778E-3</v>
      </c>
    </row>
    <row r="279" spans="2:8" x14ac:dyDescent="0.25">
      <c r="B279" s="60">
        <v>44202</v>
      </c>
      <c r="C279" s="5">
        <v>91.66</v>
      </c>
      <c r="D279" s="54">
        <f t="shared" si="11"/>
        <v>5.5951727921008665E-3</v>
      </c>
      <c r="F279" s="59" t="s">
        <v>1229</v>
      </c>
      <c r="G279" s="5">
        <v>14.96</v>
      </c>
      <c r="H279" s="54">
        <f t="shared" si="10"/>
        <v>-2.666666666666595E-3</v>
      </c>
    </row>
    <row r="280" spans="2:8" x14ac:dyDescent="0.25">
      <c r="B280" s="60">
        <v>44203</v>
      </c>
      <c r="C280" s="5">
        <v>92.62</v>
      </c>
      <c r="D280" s="54">
        <f t="shared" si="11"/>
        <v>1.0473488981016965E-2</v>
      </c>
      <c r="F280" s="59" t="s">
        <v>1228</v>
      </c>
      <c r="G280" s="5">
        <v>14.96</v>
      </c>
      <c r="H280" s="54">
        <f t="shared" si="10"/>
        <v>0</v>
      </c>
    </row>
    <row r="281" spans="2:8" x14ac:dyDescent="0.25">
      <c r="B281" s="60">
        <v>44204</v>
      </c>
      <c r="C281" s="5">
        <v>93.44</v>
      </c>
      <c r="D281" s="54">
        <f t="shared" si="11"/>
        <v>8.8533793996976584E-3</v>
      </c>
      <c r="F281" s="59" t="s">
        <v>1227</v>
      </c>
      <c r="G281" s="5">
        <v>14.88</v>
      </c>
      <c r="H281" s="54">
        <f t="shared" si="10"/>
        <v>-5.3475935828877219E-3</v>
      </c>
    </row>
    <row r="282" spans="2:8" x14ac:dyDescent="0.25">
      <c r="B282" s="60">
        <v>44207</v>
      </c>
      <c r="C282" s="5">
        <v>92.62</v>
      </c>
      <c r="D282" s="54">
        <f t="shared" si="11"/>
        <v>-8.7756849315068219E-3</v>
      </c>
      <c r="F282" s="59" t="s">
        <v>1226</v>
      </c>
      <c r="G282" s="5">
        <v>14.87</v>
      </c>
      <c r="H282" s="54">
        <f t="shared" si="10"/>
        <v>-6.7204301075274309E-4</v>
      </c>
    </row>
    <row r="283" spans="2:8" x14ac:dyDescent="0.25">
      <c r="B283" s="60">
        <v>44208</v>
      </c>
      <c r="C283" s="5">
        <v>92.95</v>
      </c>
      <c r="D283" s="54">
        <f t="shared" si="11"/>
        <v>3.5629453681709222E-3</v>
      </c>
      <c r="F283" s="59" t="s">
        <v>1225</v>
      </c>
      <c r="G283" s="5">
        <v>14.9</v>
      </c>
      <c r="H283" s="54">
        <f t="shared" si="10"/>
        <v>2.0174848688636615E-3</v>
      </c>
    </row>
    <row r="284" spans="2:8" x14ac:dyDescent="0.25">
      <c r="B284" s="60">
        <v>44209</v>
      </c>
      <c r="C284" s="5">
        <v>93.01</v>
      </c>
      <c r="D284" s="54">
        <f t="shared" si="11"/>
        <v>6.4550833781606975E-4</v>
      </c>
      <c r="F284" s="59" t="s">
        <v>1224</v>
      </c>
      <c r="G284" s="5">
        <v>14.9</v>
      </c>
      <c r="H284" s="54">
        <f t="shared" si="10"/>
        <v>0</v>
      </c>
    </row>
    <row r="285" spans="2:8" x14ac:dyDescent="0.25">
      <c r="B285" s="60">
        <v>44210</v>
      </c>
      <c r="C285" s="5">
        <v>93.15</v>
      </c>
      <c r="D285" s="54">
        <f t="shared" si="11"/>
        <v>1.5052144930651767E-3</v>
      </c>
      <c r="F285" s="59" t="s">
        <v>1223</v>
      </c>
      <c r="G285" s="5">
        <v>14.88</v>
      </c>
      <c r="H285" s="54">
        <f t="shared" si="10"/>
        <v>-1.3422818791946067E-3</v>
      </c>
    </row>
    <row r="286" spans="2:8" x14ac:dyDescent="0.25">
      <c r="B286" s="60">
        <v>44211</v>
      </c>
      <c r="C286" s="5">
        <v>92.17</v>
      </c>
      <c r="D286" s="54">
        <f t="shared" si="11"/>
        <v>-1.0520665593129364E-2</v>
      </c>
      <c r="F286" s="59" t="s">
        <v>1222</v>
      </c>
      <c r="G286" s="5">
        <v>14.89</v>
      </c>
      <c r="H286" s="54">
        <f t="shared" si="10"/>
        <v>6.7204301075274309E-4</v>
      </c>
    </row>
    <row r="287" spans="2:8" x14ac:dyDescent="0.25">
      <c r="B287" s="60">
        <v>44215</v>
      </c>
      <c r="C287" s="5">
        <v>93.03</v>
      </c>
      <c r="D287" s="54">
        <f t="shared" si="11"/>
        <v>9.3305847889768589E-3</v>
      </c>
      <c r="F287" s="59" t="s">
        <v>1221</v>
      </c>
      <c r="G287" s="5">
        <v>14.9</v>
      </c>
      <c r="H287" s="54">
        <f t="shared" si="10"/>
        <v>6.7159167226327199E-4</v>
      </c>
    </row>
    <row r="288" spans="2:8" x14ac:dyDescent="0.25">
      <c r="B288" s="60">
        <v>44216</v>
      </c>
      <c r="C288" s="5">
        <v>94.19</v>
      </c>
      <c r="D288" s="54">
        <f t="shared" si="11"/>
        <v>1.2469095990540691E-2</v>
      </c>
      <c r="F288" s="59" t="s">
        <v>1220</v>
      </c>
      <c r="G288" s="5">
        <v>14.92</v>
      </c>
      <c r="H288" s="54">
        <f t="shared" si="10"/>
        <v>1.3422818791946067E-3</v>
      </c>
    </row>
    <row r="289" spans="2:8" x14ac:dyDescent="0.25">
      <c r="B289" s="60">
        <v>44217</v>
      </c>
      <c r="C289" s="5">
        <v>94.21</v>
      </c>
      <c r="D289" s="54">
        <f t="shared" si="11"/>
        <v>2.1233676611109864E-4</v>
      </c>
      <c r="F289" s="59" t="s">
        <v>1219</v>
      </c>
      <c r="G289" s="5">
        <v>14.89</v>
      </c>
      <c r="H289" s="54">
        <f t="shared" si="10"/>
        <v>-2.0107238605897582E-3</v>
      </c>
    </row>
    <row r="290" spans="2:8" x14ac:dyDescent="0.25">
      <c r="B290" s="60">
        <v>44218</v>
      </c>
      <c r="C290" s="5">
        <v>93.77</v>
      </c>
      <c r="D290" s="54">
        <f t="shared" si="11"/>
        <v>-4.6704171531684047E-3</v>
      </c>
      <c r="F290" s="59" t="s">
        <v>1218</v>
      </c>
      <c r="G290" s="5">
        <v>14.89</v>
      </c>
      <c r="H290" s="54">
        <f t="shared" si="10"/>
        <v>0</v>
      </c>
    </row>
    <row r="291" spans="2:8" x14ac:dyDescent="0.25">
      <c r="B291" s="60">
        <v>44221</v>
      </c>
      <c r="C291" s="5">
        <v>94.08</v>
      </c>
      <c r="D291" s="54">
        <f t="shared" si="11"/>
        <v>3.305961394902468E-3</v>
      </c>
      <c r="F291" s="59" t="s">
        <v>1217</v>
      </c>
      <c r="G291" s="5">
        <v>14.93</v>
      </c>
      <c r="H291" s="54">
        <f t="shared" si="10"/>
        <v>2.686366689053088E-3</v>
      </c>
    </row>
    <row r="292" spans="2:8" x14ac:dyDescent="0.25">
      <c r="B292" s="60">
        <v>44222</v>
      </c>
      <c r="C292" s="5">
        <v>93.79</v>
      </c>
      <c r="D292" s="54">
        <f t="shared" si="11"/>
        <v>-3.0824829931972442E-3</v>
      </c>
      <c r="F292" s="59" t="s">
        <v>1216</v>
      </c>
      <c r="G292" s="5">
        <v>14.88</v>
      </c>
      <c r="H292" s="54">
        <f t="shared" si="10"/>
        <v>-3.3489618218351946E-3</v>
      </c>
    </row>
    <row r="293" spans="2:8" x14ac:dyDescent="0.25">
      <c r="B293" s="60">
        <v>44223</v>
      </c>
      <c r="C293" s="5">
        <v>91.48</v>
      </c>
      <c r="D293" s="54">
        <f t="shared" si="11"/>
        <v>-2.4629491416995442E-2</v>
      </c>
      <c r="F293" s="59" t="s">
        <v>1215</v>
      </c>
      <c r="G293" s="5">
        <v>14.87</v>
      </c>
      <c r="H293" s="54">
        <f t="shared" si="10"/>
        <v>-6.7204301075274309E-4</v>
      </c>
    </row>
    <row r="294" spans="2:8" x14ac:dyDescent="0.25">
      <c r="B294" s="60">
        <v>44224</v>
      </c>
      <c r="C294" s="5">
        <v>92.25</v>
      </c>
      <c r="D294" s="54">
        <f t="shared" si="11"/>
        <v>8.4171403585482363E-3</v>
      </c>
      <c r="F294" s="59" t="s">
        <v>1214</v>
      </c>
      <c r="G294" s="5">
        <v>14.87</v>
      </c>
      <c r="H294" s="54">
        <f t="shared" si="10"/>
        <v>0</v>
      </c>
    </row>
    <row r="295" spans="2:8" x14ac:dyDescent="0.25">
      <c r="B295" s="60">
        <v>44225</v>
      </c>
      <c r="C295" s="5">
        <v>90.44</v>
      </c>
      <c r="D295" s="54">
        <f t="shared" si="11"/>
        <v>-1.9620596205962126E-2</v>
      </c>
      <c r="F295" s="59" t="s">
        <v>1213</v>
      </c>
      <c r="G295" s="5">
        <v>14.87</v>
      </c>
      <c r="H295" s="54">
        <f t="shared" si="10"/>
        <v>0</v>
      </c>
    </row>
    <row r="296" spans="2:8" x14ac:dyDescent="0.25">
      <c r="B296" s="60">
        <v>44228</v>
      </c>
      <c r="C296" s="5">
        <v>91.98</v>
      </c>
      <c r="D296" s="54">
        <f t="shared" si="11"/>
        <v>1.7027863777089758E-2</v>
      </c>
      <c r="F296" s="59" t="s">
        <v>1212</v>
      </c>
      <c r="G296" s="5">
        <v>14.84</v>
      </c>
      <c r="H296" s="54">
        <f t="shared" si="10"/>
        <v>-2.0174848688634395E-3</v>
      </c>
    </row>
    <row r="297" spans="2:8" x14ac:dyDescent="0.25">
      <c r="B297" s="60">
        <v>44229</v>
      </c>
      <c r="C297" s="5">
        <v>93.15</v>
      </c>
      <c r="D297" s="54">
        <f t="shared" si="11"/>
        <v>1.2720156555773077E-2</v>
      </c>
      <c r="F297" s="59" t="s">
        <v>1211</v>
      </c>
      <c r="G297" s="5">
        <v>14.81</v>
      </c>
      <c r="H297" s="54">
        <f t="shared" si="10"/>
        <v>-2.0215633423180668E-3</v>
      </c>
    </row>
    <row r="298" spans="2:8" x14ac:dyDescent="0.25">
      <c r="B298" s="60">
        <v>44230</v>
      </c>
      <c r="C298" s="5">
        <v>93.31</v>
      </c>
      <c r="D298" s="54">
        <f t="shared" si="11"/>
        <v>1.7176596886741002E-3</v>
      </c>
      <c r="F298" s="59" t="s">
        <v>1210</v>
      </c>
      <c r="G298" s="5">
        <v>14.83</v>
      </c>
      <c r="H298" s="54">
        <f t="shared" si="10"/>
        <v>1.3504388926399713E-3</v>
      </c>
    </row>
    <row r="299" spans="2:8" x14ac:dyDescent="0.25">
      <c r="B299" s="60">
        <v>44231</v>
      </c>
      <c r="C299" s="5">
        <v>93.95</v>
      </c>
      <c r="D299" s="54">
        <f t="shared" si="11"/>
        <v>6.8588575715358147E-3</v>
      </c>
      <c r="F299" s="59" t="s">
        <v>1209</v>
      </c>
      <c r="G299" s="5">
        <v>14.79</v>
      </c>
      <c r="H299" s="54">
        <f t="shared" si="10"/>
        <v>-2.6972353337829658E-3</v>
      </c>
    </row>
    <row r="300" spans="2:8" x14ac:dyDescent="0.25">
      <c r="B300" s="60">
        <v>44232</v>
      </c>
      <c r="C300" s="5">
        <v>94.49</v>
      </c>
      <c r="D300" s="54">
        <f t="shared" si="11"/>
        <v>5.7477381585948617E-3</v>
      </c>
      <c r="F300" s="59" t="s">
        <v>1208</v>
      </c>
      <c r="G300" s="5">
        <v>14.82</v>
      </c>
      <c r="H300" s="54">
        <f t="shared" si="10"/>
        <v>2.0283975659229903E-3</v>
      </c>
    </row>
    <row r="301" spans="2:8" x14ac:dyDescent="0.25">
      <c r="B301" s="60">
        <v>44235</v>
      </c>
      <c r="C301" s="5">
        <v>95.2</v>
      </c>
      <c r="D301" s="54">
        <f t="shared" si="11"/>
        <v>7.5140226478993544E-3</v>
      </c>
      <c r="F301" s="59" t="s">
        <v>1207</v>
      </c>
      <c r="G301" s="5">
        <v>14.82</v>
      </c>
      <c r="H301" s="54">
        <f t="shared" si="10"/>
        <v>0</v>
      </c>
    </row>
    <row r="302" spans="2:8" x14ac:dyDescent="0.25">
      <c r="B302" s="60">
        <v>44236</v>
      </c>
      <c r="C302" s="5">
        <v>95.39</v>
      </c>
      <c r="D302" s="54">
        <f t="shared" si="11"/>
        <v>1.995798319327724E-3</v>
      </c>
      <c r="F302" s="59" t="s">
        <v>1206</v>
      </c>
      <c r="G302" s="5">
        <v>14.87</v>
      </c>
      <c r="H302" s="54">
        <f t="shared" si="10"/>
        <v>3.3738191632928238E-3</v>
      </c>
    </row>
    <row r="303" spans="2:8" x14ac:dyDescent="0.25">
      <c r="B303" s="60">
        <v>44237</v>
      </c>
      <c r="C303" s="5">
        <v>95.41</v>
      </c>
      <c r="D303" s="54">
        <f t="shared" si="11"/>
        <v>2.096655833945249E-4</v>
      </c>
      <c r="F303" s="59" t="s">
        <v>1205</v>
      </c>
      <c r="G303" s="5">
        <v>14.89</v>
      </c>
      <c r="H303" s="54">
        <f t="shared" si="10"/>
        <v>1.3449899125757003E-3</v>
      </c>
    </row>
    <row r="304" spans="2:8" x14ac:dyDescent="0.25">
      <c r="B304" s="60">
        <v>44238</v>
      </c>
      <c r="C304" s="5">
        <v>95.88</v>
      </c>
      <c r="D304" s="54">
        <f t="shared" si="11"/>
        <v>4.9261083743841194E-3</v>
      </c>
      <c r="F304" s="59" t="s">
        <v>1204</v>
      </c>
      <c r="G304" s="5">
        <v>14.9</v>
      </c>
      <c r="H304" s="54">
        <f t="shared" si="10"/>
        <v>6.7159167226327199E-4</v>
      </c>
    </row>
    <row r="305" spans="2:8" x14ac:dyDescent="0.25">
      <c r="B305" s="60">
        <v>44239</v>
      </c>
      <c r="C305" s="5">
        <v>96.34</v>
      </c>
      <c r="D305" s="54">
        <f t="shared" si="11"/>
        <v>4.7976637463496008E-3</v>
      </c>
      <c r="F305" s="59" t="s">
        <v>1203</v>
      </c>
      <c r="G305" s="5">
        <v>14.85</v>
      </c>
      <c r="H305" s="54">
        <f t="shared" si="10"/>
        <v>-3.3557046979866278E-3</v>
      </c>
    </row>
    <row r="306" spans="2:8" x14ac:dyDescent="0.25">
      <c r="B306" s="60">
        <v>44243</v>
      </c>
      <c r="C306" s="5">
        <v>96.52</v>
      </c>
      <c r="D306" s="54">
        <f t="shared" si="11"/>
        <v>1.8683828108780887E-3</v>
      </c>
      <c r="F306" s="59" t="s">
        <v>1202</v>
      </c>
      <c r="G306" s="5">
        <v>14.81</v>
      </c>
      <c r="H306" s="54">
        <f t="shared" si="10"/>
        <v>-2.6936026936026369E-3</v>
      </c>
    </row>
    <row r="307" spans="2:8" x14ac:dyDescent="0.25">
      <c r="B307" s="60">
        <v>44244</v>
      </c>
      <c r="C307" s="5">
        <v>96.33</v>
      </c>
      <c r="D307" s="54">
        <f t="shared" si="11"/>
        <v>-1.9685039370078705E-3</v>
      </c>
      <c r="F307" s="59" t="s">
        <v>1201</v>
      </c>
      <c r="G307" s="5">
        <v>14.77</v>
      </c>
      <c r="H307" s="54">
        <f t="shared" si="10"/>
        <v>-2.7008777852802757E-3</v>
      </c>
    </row>
    <row r="308" spans="2:8" x14ac:dyDescent="0.25">
      <c r="B308" s="60">
        <v>44245</v>
      </c>
      <c r="C308" s="5">
        <v>95.66</v>
      </c>
      <c r="D308" s="54">
        <f t="shared" si="11"/>
        <v>-6.9552579674037052E-3</v>
      </c>
      <c r="F308" s="59" t="s">
        <v>1200</v>
      </c>
      <c r="G308" s="5">
        <v>14.77</v>
      </c>
      <c r="H308" s="54">
        <f t="shared" si="10"/>
        <v>0</v>
      </c>
    </row>
    <row r="309" spans="2:8" x14ac:dyDescent="0.25">
      <c r="B309" s="60">
        <v>44246</v>
      </c>
      <c r="C309" s="5">
        <v>95.83</v>
      </c>
      <c r="D309" s="54">
        <f t="shared" si="11"/>
        <v>1.7771273259461484E-3</v>
      </c>
      <c r="F309" s="59" t="s">
        <v>1199</v>
      </c>
      <c r="G309" s="5">
        <v>14.8</v>
      </c>
      <c r="H309" s="54">
        <f t="shared" si="10"/>
        <v>2.0311442112390665E-3</v>
      </c>
    </row>
    <row r="310" spans="2:8" x14ac:dyDescent="0.25">
      <c r="B310" s="60">
        <v>44249</v>
      </c>
      <c r="C310" s="5">
        <v>94.84</v>
      </c>
      <c r="D310" s="54">
        <f t="shared" si="11"/>
        <v>-1.0330794114577824E-2</v>
      </c>
      <c r="F310" s="59" t="s">
        <v>1198</v>
      </c>
      <c r="G310" s="5">
        <v>14.79</v>
      </c>
      <c r="H310" s="54">
        <f t="shared" si="10"/>
        <v>-6.7567567567583531E-4</v>
      </c>
    </row>
    <row r="311" spans="2:8" x14ac:dyDescent="0.25">
      <c r="B311" s="60">
        <v>44250</v>
      </c>
      <c r="C311" s="5">
        <v>94.91</v>
      </c>
      <c r="D311" s="54">
        <f t="shared" si="11"/>
        <v>7.3808519611961998E-4</v>
      </c>
      <c r="F311" s="59" t="s">
        <v>1197</v>
      </c>
      <c r="G311" s="5">
        <v>14.76</v>
      </c>
      <c r="H311" s="54">
        <f t="shared" si="10"/>
        <v>-2.0283975659228792E-3</v>
      </c>
    </row>
    <row r="312" spans="2:8" x14ac:dyDescent="0.25">
      <c r="B312" s="60">
        <v>44251</v>
      </c>
      <c r="C312" s="5">
        <v>95.45</v>
      </c>
      <c r="D312" s="54">
        <f t="shared" si="11"/>
        <v>5.6896006743230032E-3</v>
      </c>
      <c r="F312" s="59" t="s">
        <v>1196</v>
      </c>
      <c r="G312" s="5">
        <v>14.76</v>
      </c>
      <c r="H312" s="54">
        <f t="shared" si="10"/>
        <v>0</v>
      </c>
    </row>
    <row r="313" spans="2:8" x14ac:dyDescent="0.25">
      <c r="B313" s="60">
        <v>44252</v>
      </c>
      <c r="C313" s="5">
        <v>93.34</v>
      </c>
      <c r="D313" s="54">
        <f t="shared" si="11"/>
        <v>-2.2105814562598192E-2</v>
      </c>
      <c r="F313" s="59" t="s">
        <v>1195</v>
      </c>
      <c r="G313" s="5">
        <v>14.73</v>
      </c>
      <c r="H313" s="54">
        <f t="shared" si="10"/>
        <v>-2.0325203252031798E-3</v>
      </c>
    </row>
    <row r="314" spans="2:8" x14ac:dyDescent="0.25">
      <c r="B314" s="60">
        <v>44253</v>
      </c>
      <c r="C314" s="5">
        <v>92.51</v>
      </c>
      <c r="D314" s="54">
        <f t="shared" si="11"/>
        <v>-8.8922219841439665E-3</v>
      </c>
      <c r="F314" s="59" t="s">
        <v>1194</v>
      </c>
      <c r="G314" s="5">
        <v>14.64</v>
      </c>
      <c r="H314" s="54">
        <f t="shared" si="10"/>
        <v>-6.109979633401208E-3</v>
      </c>
    </row>
    <row r="315" spans="2:8" x14ac:dyDescent="0.25">
      <c r="B315" s="60">
        <v>44256</v>
      </c>
      <c r="C315" s="5">
        <v>94.64</v>
      </c>
      <c r="D315" s="54">
        <f t="shared" si="11"/>
        <v>2.3024537887795793E-2</v>
      </c>
      <c r="F315" s="59" t="s">
        <v>1193</v>
      </c>
      <c r="G315" s="5">
        <v>14.64</v>
      </c>
      <c r="H315" s="54">
        <f t="shared" si="10"/>
        <v>0</v>
      </c>
    </row>
    <row r="316" spans="2:8" x14ac:dyDescent="0.25">
      <c r="B316" s="60">
        <v>44257</v>
      </c>
      <c r="C316" s="5">
        <v>94.03</v>
      </c>
      <c r="D316" s="54">
        <f t="shared" si="11"/>
        <v>-6.4454775993237901E-3</v>
      </c>
      <c r="F316" s="59" t="s">
        <v>1192</v>
      </c>
      <c r="G316" s="5">
        <v>14.65</v>
      </c>
      <c r="H316" s="54">
        <f t="shared" si="10"/>
        <v>6.8306010928953498E-4</v>
      </c>
    </row>
    <row r="317" spans="2:8" x14ac:dyDescent="0.25">
      <c r="B317" s="60">
        <v>44258</v>
      </c>
      <c r="C317" s="5">
        <v>93</v>
      </c>
      <c r="D317" s="54">
        <f t="shared" si="11"/>
        <v>-1.0953950866744666E-2</v>
      </c>
      <c r="F317" s="59" t="s">
        <v>1191</v>
      </c>
      <c r="G317" s="5">
        <v>14.66</v>
      </c>
      <c r="H317" s="54">
        <f t="shared" si="10"/>
        <v>6.8259385665525585E-4</v>
      </c>
    </row>
    <row r="318" spans="2:8" x14ac:dyDescent="0.25">
      <c r="B318" s="60">
        <v>44259</v>
      </c>
      <c r="C318" s="5">
        <v>91.67</v>
      </c>
      <c r="D318" s="54">
        <f t="shared" si="11"/>
        <v>-1.4301075268817187E-2</v>
      </c>
      <c r="F318" s="59" t="s">
        <v>1190</v>
      </c>
      <c r="G318" s="5">
        <v>14.62</v>
      </c>
      <c r="H318" s="54">
        <f t="shared" si="10"/>
        <v>-2.7285129604366354E-3</v>
      </c>
    </row>
    <row r="319" spans="2:8" x14ac:dyDescent="0.25">
      <c r="B319" s="60">
        <v>44260</v>
      </c>
      <c r="C319" s="5">
        <v>92.96</v>
      </c>
      <c r="D319" s="54">
        <f t="shared" si="11"/>
        <v>1.4072215555797962E-2</v>
      </c>
      <c r="F319" s="59" t="s">
        <v>1189</v>
      </c>
      <c r="G319" s="5">
        <v>14.63</v>
      </c>
      <c r="H319" s="54">
        <f t="shared" si="10"/>
        <v>6.8399452804390748E-4</v>
      </c>
    </row>
    <row r="320" spans="2:8" x14ac:dyDescent="0.25">
      <c r="B320" s="60">
        <v>44263</v>
      </c>
      <c r="C320" s="5">
        <v>92.14</v>
      </c>
      <c r="D320" s="54">
        <f t="shared" si="11"/>
        <v>-8.8209982788295394E-3</v>
      </c>
      <c r="F320" s="59" t="s">
        <v>1188</v>
      </c>
      <c r="G320" s="5">
        <v>14.53</v>
      </c>
      <c r="H320" s="54">
        <f t="shared" si="10"/>
        <v>-6.8352699931648608E-3</v>
      </c>
    </row>
    <row r="321" spans="2:8" x14ac:dyDescent="0.25">
      <c r="B321" s="60">
        <v>44264</v>
      </c>
      <c r="C321" s="5">
        <v>93.71</v>
      </c>
      <c r="D321" s="54">
        <f t="shared" si="11"/>
        <v>1.7039288039939038E-2</v>
      </c>
      <c r="F321" s="59" t="s">
        <v>1187</v>
      </c>
      <c r="G321" s="5">
        <v>14.46</v>
      </c>
      <c r="H321" s="54">
        <f t="shared" si="10"/>
        <v>-4.8176187198897269E-3</v>
      </c>
    </row>
    <row r="322" spans="2:8" x14ac:dyDescent="0.25">
      <c r="B322" s="60">
        <v>44265</v>
      </c>
      <c r="C322" s="5">
        <v>94.13</v>
      </c>
      <c r="D322" s="54">
        <f t="shared" si="11"/>
        <v>4.4819122825738855E-3</v>
      </c>
      <c r="F322" s="59" t="s">
        <v>1186</v>
      </c>
      <c r="G322" s="5">
        <v>14.49</v>
      </c>
      <c r="H322" s="54">
        <f t="shared" si="10"/>
        <v>2.0746887966804906E-3</v>
      </c>
    </row>
    <row r="323" spans="2:8" x14ac:dyDescent="0.25">
      <c r="B323" s="60">
        <v>44266</v>
      </c>
      <c r="C323" s="5">
        <v>95.35</v>
      </c>
      <c r="D323" s="54">
        <f t="shared" si="11"/>
        <v>1.2960798895145009E-2</v>
      </c>
      <c r="F323" s="59" t="s">
        <v>1185</v>
      </c>
      <c r="G323" s="5">
        <v>14.53</v>
      </c>
      <c r="H323" s="54">
        <f t="shared" si="10"/>
        <v>2.760524499654915E-3</v>
      </c>
    </row>
    <row r="324" spans="2:8" x14ac:dyDescent="0.25">
      <c r="B324" s="60">
        <v>44267</v>
      </c>
      <c r="C324" s="5">
        <v>95.17</v>
      </c>
      <c r="D324" s="54">
        <f t="shared" si="11"/>
        <v>-1.8877818563187709E-3</v>
      </c>
      <c r="F324" s="59" t="s">
        <v>1184</v>
      </c>
      <c r="G324" s="5">
        <v>14.57</v>
      </c>
      <c r="H324" s="54">
        <f t="shared" si="10"/>
        <v>2.7529249827942248E-3</v>
      </c>
    </row>
    <row r="325" spans="2:8" x14ac:dyDescent="0.25">
      <c r="B325" s="60">
        <v>44270</v>
      </c>
      <c r="C325" s="5">
        <v>95.68</v>
      </c>
      <c r="D325" s="54">
        <f t="shared" si="11"/>
        <v>5.3588315645687334E-3</v>
      </c>
      <c r="F325" s="59" t="s">
        <v>1183</v>
      </c>
      <c r="G325" s="5">
        <v>14.53</v>
      </c>
      <c r="H325" s="54">
        <f t="shared" si="10"/>
        <v>-2.7453671928621137E-3</v>
      </c>
    </row>
    <row r="326" spans="2:8" x14ac:dyDescent="0.25">
      <c r="B326" s="60">
        <v>44271</v>
      </c>
      <c r="C326" s="5">
        <v>95.67</v>
      </c>
      <c r="D326" s="54">
        <f t="shared" si="11"/>
        <v>-1.0451505016728646E-4</v>
      </c>
      <c r="F326" s="59" t="s">
        <v>1182</v>
      </c>
      <c r="G326" s="5">
        <v>14.52</v>
      </c>
      <c r="H326" s="54">
        <f t="shared" si="10"/>
        <v>-6.8823124569850069E-4</v>
      </c>
    </row>
    <row r="327" spans="2:8" x14ac:dyDescent="0.25">
      <c r="B327" s="60">
        <v>44272</v>
      </c>
      <c r="C327" s="5">
        <v>95.95</v>
      </c>
      <c r="D327" s="54">
        <f t="shared" si="11"/>
        <v>2.9267272917319342E-3</v>
      </c>
      <c r="F327" s="59" t="s">
        <v>1181</v>
      </c>
      <c r="G327" s="5">
        <v>14.54</v>
      </c>
      <c r="H327" s="54">
        <f t="shared" si="10"/>
        <v>1.3774104683195176E-3</v>
      </c>
    </row>
    <row r="328" spans="2:8" x14ac:dyDescent="0.25">
      <c r="B328" s="60">
        <v>44273</v>
      </c>
      <c r="C328" s="5">
        <v>94.66</v>
      </c>
      <c r="D328" s="54">
        <f t="shared" si="11"/>
        <v>-1.344450234497141E-2</v>
      </c>
      <c r="F328" s="59" t="s">
        <v>1180</v>
      </c>
      <c r="G328" s="5">
        <v>14.5</v>
      </c>
      <c r="H328" s="54">
        <f t="shared" si="10"/>
        <v>-2.7510316368637433E-3</v>
      </c>
    </row>
    <row r="329" spans="2:8" x14ac:dyDescent="0.25">
      <c r="B329" s="60">
        <v>44274</v>
      </c>
      <c r="C329" s="5">
        <v>94.73</v>
      </c>
      <c r="D329" s="54">
        <f t="shared" si="11"/>
        <v>7.3948869638718051E-4</v>
      </c>
      <c r="F329" s="59" t="s">
        <v>1179</v>
      </c>
      <c r="G329" s="5">
        <v>14.5</v>
      </c>
      <c r="H329" s="54">
        <f t="shared" si="10"/>
        <v>0</v>
      </c>
    </row>
    <row r="330" spans="2:8" x14ac:dyDescent="0.25">
      <c r="B330" s="60">
        <v>44277</v>
      </c>
      <c r="C330" s="5">
        <v>95.21</v>
      </c>
      <c r="D330" s="54">
        <f t="shared" si="11"/>
        <v>5.0670326190223047E-3</v>
      </c>
      <c r="F330" s="59" t="s">
        <v>1178</v>
      </c>
      <c r="G330" s="5">
        <v>14.49</v>
      </c>
      <c r="H330" s="54">
        <f t="shared" si="10"/>
        <v>-6.8965517241381669E-4</v>
      </c>
    </row>
    <row r="331" spans="2:8" x14ac:dyDescent="0.25">
      <c r="B331" s="60">
        <v>44278</v>
      </c>
      <c r="C331" s="5">
        <v>94.13</v>
      </c>
      <c r="D331" s="54">
        <f t="shared" si="11"/>
        <v>-1.1343346287154721E-2</v>
      </c>
      <c r="F331" s="59" t="s">
        <v>1177</v>
      </c>
      <c r="G331" s="5">
        <v>14.52</v>
      </c>
      <c r="H331" s="54">
        <f t="shared" si="10"/>
        <v>2.0703933747412417E-3</v>
      </c>
    </row>
    <row r="332" spans="2:8" x14ac:dyDescent="0.25">
      <c r="B332" s="60">
        <v>44279</v>
      </c>
      <c r="C332" s="5">
        <v>93.35</v>
      </c>
      <c r="D332" s="54">
        <f t="shared" si="11"/>
        <v>-8.2864124083714685E-3</v>
      </c>
      <c r="F332" s="59" t="s">
        <v>1176</v>
      </c>
      <c r="G332" s="5">
        <v>14.52</v>
      </c>
      <c r="H332" s="54">
        <f t="shared" si="10"/>
        <v>0</v>
      </c>
    </row>
    <row r="333" spans="2:8" x14ac:dyDescent="0.25">
      <c r="B333" s="60">
        <v>44280</v>
      </c>
      <c r="C333" s="5">
        <v>93.77</v>
      </c>
      <c r="D333" s="54">
        <f t="shared" si="11"/>
        <v>4.4991965720406757E-3</v>
      </c>
      <c r="F333" s="59" t="s">
        <v>1175</v>
      </c>
      <c r="G333" s="5">
        <v>14.5</v>
      </c>
      <c r="H333" s="54">
        <f t="shared" si="10"/>
        <v>-1.3774104683195176E-3</v>
      </c>
    </row>
    <row r="334" spans="2:8" x14ac:dyDescent="0.25">
      <c r="B334" s="60">
        <v>44281</v>
      </c>
      <c r="C334" s="5">
        <v>95.33</v>
      </c>
      <c r="D334" s="54">
        <f t="shared" si="11"/>
        <v>1.6636450890476828E-2</v>
      </c>
      <c r="F334" s="59" t="s">
        <v>1174</v>
      </c>
      <c r="G334" s="5">
        <v>14.49</v>
      </c>
      <c r="H334" s="54">
        <f t="shared" si="10"/>
        <v>-6.8965517241381669E-4</v>
      </c>
    </row>
    <row r="335" spans="2:8" x14ac:dyDescent="0.25">
      <c r="B335" s="60">
        <v>44284</v>
      </c>
      <c r="C335" s="5">
        <v>95.11</v>
      </c>
      <c r="D335" s="54">
        <f t="shared" si="11"/>
        <v>-2.3077729990559348E-3</v>
      </c>
      <c r="F335" s="59" t="s">
        <v>1173</v>
      </c>
      <c r="G335" s="5">
        <v>14.48</v>
      </c>
      <c r="H335" s="54">
        <f t="shared" si="10"/>
        <v>-6.9013112491367323E-4</v>
      </c>
    </row>
    <row r="336" spans="2:8" x14ac:dyDescent="0.25">
      <c r="B336" s="60">
        <v>44285</v>
      </c>
      <c r="C336" s="5">
        <v>94.96</v>
      </c>
      <c r="D336" s="54">
        <f t="shared" si="11"/>
        <v>-1.5771212280517588E-3</v>
      </c>
      <c r="F336" s="59" t="s">
        <v>1172</v>
      </c>
      <c r="G336" s="5">
        <v>14.46</v>
      </c>
      <c r="H336" s="54">
        <f t="shared" si="10"/>
        <v>-1.3812154696132284E-3</v>
      </c>
    </row>
    <row r="337" spans="2:8" x14ac:dyDescent="0.25">
      <c r="B337" s="60">
        <v>44286</v>
      </c>
      <c r="C337" s="5">
        <v>95.15</v>
      </c>
      <c r="D337" s="54">
        <f t="shared" si="11"/>
        <v>2.0008424599833319E-3</v>
      </c>
      <c r="F337" s="59" t="s">
        <v>1171</v>
      </c>
      <c r="G337" s="5">
        <v>14.4</v>
      </c>
      <c r="H337" s="54">
        <f t="shared" si="10"/>
        <v>-4.1493775933609811E-3</v>
      </c>
    </row>
    <row r="338" spans="2:8" x14ac:dyDescent="0.25">
      <c r="B338" s="60">
        <v>44287</v>
      </c>
      <c r="C338" s="5">
        <v>96.39</v>
      </c>
      <c r="D338" s="54">
        <f t="shared" si="11"/>
        <v>1.3032054650551794E-2</v>
      </c>
      <c r="F338" s="59" t="s">
        <v>1170</v>
      </c>
      <c r="G338" s="5">
        <v>14.42</v>
      </c>
      <c r="H338" s="54">
        <f t="shared" si="10"/>
        <v>1.388888888888884E-3</v>
      </c>
    </row>
    <row r="339" spans="2:8" x14ac:dyDescent="0.25">
      <c r="B339" s="60">
        <v>44291</v>
      </c>
      <c r="C339" s="5">
        <v>97.46</v>
      </c>
      <c r="D339" s="54">
        <f t="shared" si="11"/>
        <v>1.1100736590932581E-2</v>
      </c>
      <c r="F339" s="59" t="s">
        <v>1169</v>
      </c>
      <c r="G339" s="5">
        <v>14.44</v>
      </c>
      <c r="H339" s="54">
        <f t="shared" si="10"/>
        <v>1.3869625520110951E-3</v>
      </c>
    </row>
    <row r="340" spans="2:8" x14ac:dyDescent="0.25">
      <c r="B340" s="60">
        <v>44292</v>
      </c>
      <c r="C340" s="5">
        <v>97.35</v>
      </c>
      <c r="D340" s="54">
        <f t="shared" si="11"/>
        <v>-1.1286681715575453E-3</v>
      </c>
      <c r="F340" s="59" t="s">
        <v>1168</v>
      </c>
      <c r="G340" s="5">
        <v>14.45</v>
      </c>
      <c r="H340" s="54">
        <f t="shared" si="10"/>
        <v>6.9252077562320657E-4</v>
      </c>
    </row>
    <row r="341" spans="2:8" x14ac:dyDescent="0.25">
      <c r="B341" s="60">
        <v>44293</v>
      </c>
      <c r="C341" s="5">
        <v>97.19</v>
      </c>
      <c r="D341" s="54">
        <f t="shared" si="11"/>
        <v>-1.6435541859269875E-3</v>
      </c>
      <c r="F341" s="59" t="s">
        <v>1167</v>
      </c>
      <c r="G341" s="5">
        <v>14.5</v>
      </c>
      <c r="H341" s="54">
        <f t="shared" ref="H341:H404" si="12">G341/G340-1</f>
        <v>3.4602076124568004E-3</v>
      </c>
    </row>
    <row r="342" spans="2:8" x14ac:dyDescent="0.25">
      <c r="B342" s="60">
        <v>44294</v>
      </c>
      <c r="C342" s="5">
        <v>97.79</v>
      </c>
      <c r="D342" s="54">
        <f t="shared" ref="D342:D405" si="13">C342/C341-1</f>
        <v>6.1734746373085514E-3</v>
      </c>
      <c r="F342" s="59" t="s">
        <v>1166</v>
      </c>
      <c r="G342" s="5">
        <v>14.52</v>
      </c>
      <c r="H342" s="54">
        <f t="shared" si="12"/>
        <v>1.3793103448276334E-3</v>
      </c>
    </row>
    <row r="343" spans="2:8" x14ac:dyDescent="0.25">
      <c r="B343" s="60">
        <v>44295</v>
      </c>
      <c r="C343" s="5">
        <v>98.23</v>
      </c>
      <c r="D343" s="54">
        <f t="shared" si="13"/>
        <v>4.4994375703037992E-3</v>
      </c>
      <c r="F343" s="59" t="s">
        <v>1165</v>
      </c>
      <c r="G343" s="5">
        <v>14.55</v>
      </c>
      <c r="H343" s="54">
        <f t="shared" si="12"/>
        <v>2.0661157024794985E-3</v>
      </c>
    </row>
    <row r="344" spans="2:8" x14ac:dyDescent="0.25">
      <c r="B344" s="60">
        <v>44298</v>
      </c>
      <c r="C344" s="5">
        <v>97.96</v>
      </c>
      <c r="D344" s="54">
        <f t="shared" si="13"/>
        <v>-2.7486511249110723E-3</v>
      </c>
      <c r="F344" s="59" t="s">
        <v>1164</v>
      </c>
      <c r="G344" s="5">
        <v>14.52</v>
      </c>
      <c r="H344" s="54">
        <f t="shared" si="12"/>
        <v>-2.0618556701031965E-3</v>
      </c>
    </row>
    <row r="345" spans="2:8" x14ac:dyDescent="0.25">
      <c r="B345" s="60">
        <v>44299</v>
      </c>
      <c r="C345" s="5">
        <v>98.42</v>
      </c>
      <c r="D345" s="54">
        <f t="shared" si="13"/>
        <v>4.6957942017151755E-3</v>
      </c>
      <c r="F345" s="59" t="s">
        <v>1163</v>
      </c>
      <c r="G345" s="5">
        <v>14.52</v>
      </c>
      <c r="H345" s="54">
        <f t="shared" si="12"/>
        <v>0</v>
      </c>
    </row>
    <row r="346" spans="2:8" x14ac:dyDescent="0.25">
      <c r="B346" s="60">
        <v>44300</v>
      </c>
      <c r="C346" s="5">
        <v>98.36</v>
      </c>
      <c r="D346" s="54">
        <f t="shared" si="13"/>
        <v>-6.0963218857956747E-4</v>
      </c>
      <c r="F346" s="59" t="s">
        <v>1162</v>
      </c>
      <c r="G346" s="5">
        <v>14.54</v>
      </c>
      <c r="H346" s="54">
        <f t="shared" si="12"/>
        <v>1.3774104683195176E-3</v>
      </c>
    </row>
    <row r="347" spans="2:8" x14ac:dyDescent="0.25">
      <c r="B347" s="60">
        <v>44301</v>
      </c>
      <c r="C347" s="5">
        <v>99.29</v>
      </c>
      <c r="D347" s="54">
        <f t="shared" si="13"/>
        <v>9.4550630337535413E-3</v>
      </c>
      <c r="F347" s="59" t="s">
        <v>1161</v>
      </c>
      <c r="G347" s="5">
        <v>14.57</v>
      </c>
      <c r="H347" s="54">
        <f t="shared" si="12"/>
        <v>2.0632737276480295E-3</v>
      </c>
    </row>
    <row r="348" spans="2:8" x14ac:dyDescent="0.25">
      <c r="B348" s="60">
        <v>44302</v>
      </c>
      <c r="C348" s="5">
        <v>99.68</v>
      </c>
      <c r="D348" s="54">
        <f t="shared" si="13"/>
        <v>3.9278880048343456E-3</v>
      </c>
      <c r="F348" s="59" t="s">
        <v>1160</v>
      </c>
      <c r="G348" s="5">
        <v>14.6</v>
      </c>
      <c r="H348" s="54">
        <f t="shared" si="12"/>
        <v>2.0590253946464188E-3</v>
      </c>
    </row>
    <row r="349" spans="2:8" x14ac:dyDescent="0.25">
      <c r="B349" s="60">
        <v>44305</v>
      </c>
      <c r="C349" s="5">
        <v>99.27</v>
      </c>
      <c r="D349" s="54">
        <f t="shared" si="13"/>
        <v>-4.1131621187802114E-3</v>
      </c>
      <c r="F349" s="59" t="s">
        <v>1159</v>
      </c>
      <c r="G349" s="5">
        <v>14.61</v>
      </c>
      <c r="H349" s="54">
        <f t="shared" si="12"/>
        <v>6.8493150684934001E-4</v>
      </c>
    </row>
    <row r="350" spans="2:8" x14ac:dyDescent="0.25">
      <c r="B350" s="60">
        <v>44306</v>
      </c>
      <c r="C350" s="5">
        <v>98.21</v>
      </c>
      <c r="D350" s="54">
        <f t="shared" si="13"/>
        <v>-1.0677949027903755E-2</v>
      </c>
      <c r="F350" s="59" t="s">
        <v>1158</v>
      </c>
      <c r="G350" s="5">
        <v>14.64</v>
      </c>
      <c r="H350" s="54">
        <f t="shared" si="12"/>
        <v>2.0533880903490509E-3</v>
      </c>
    </row>
    <row r="351" spans="2:8" x14ac:dyDescent="0.25">
      <c r="B351" s="60">
        <v>44307</v>
      </c>
      <c r="C351" s="5">
        <v>99.08</v>
      </c>
      <c r="D351" s="54">
        <f t="shared" si="13"/>
        <v>8.8585683738926502E-3</v>
      </c>
      <c r="F351" s="59" t="s">
        <v>1157</v>
      </c>
      <c r="G351" s="5">
        <v>14.64</v>
      </c>
      <c r="H351" s="54">
        <f t="shared" si="12"/>
        <v>0</v>
      </c>
    </row>
    <row r="352" spans="2:8" x14ac:dyDescent="0.25">
      <c r="B352" s="60">
        <v>44308</v>
      </c>
      <c r="C352" s="5">
        <v>98.48</v>
      </c>
      <c r="D352" s="54">
        <f t="shared" si="13"/>
        <v>-6.0557125555106284E-3</v>
      </c>
      <c r="F352" s="59" t="s">
        <v>1156</v>
      </c>
      <c r="G352" s="5">
        <v>14.65</v>
      </c>
      <c r="H352" s="54">
        <f t="shared" si="12"/>
        <v>6.8306010928953498E-4</v>
      </c>
    </row>
    <row r="353" spans="2:8" x14ac:dyDescent="0.25">
      <c r="B353" s="60">
        <v>44309</v>
      </c>
      <c r="C353" s="5">
        <v>99.55</v>
      </c>
      <c r="D353" s="54">
        <f t="shared" si="13"/>
        <v>1.0865150284321556E-2</v>
      </c>
      <c r="F353" s="59" t="s">
        <v>1155</v>
      </c>
      <c r="G353" s="5">
        <v>14.66</v>
      </c>
      <c r="H353" s="54">
        <f t="shared" si="12"/>
        <v>6.8259385665525585E-4</v>
      </c>
    </row>
    <row r="354" spans="2:8" x14ac:dyDescent="0.25">
      <c r="B354" s="60">
        <v>44312</v>
      </c>
      <c r="C354" s="5">
        <v>99.76</v>
      </c>
      <c r="D354" s="54">
        <f t="shared" si="13"/>
        <v>2.1094927172276012E-3</v>
      </c>
      <c r="F354" s="59" t="s">
        <v>1154</v>
      </c>
      <c r="G354" s="5">
        <v>14.67</v>
      </c>
      <c r="H354" s="54">
        <f t="shared" si="12"/>
        <v>6.8212824010904782E-4</v>
      </c>
    </row>
    <row r="355" spans="2:8" x14ac:dyDescent="0.25">
      <c r="B355" s="60">
        <v>44313</v>
      </c>
      <c r="C355" s="5">
        <v>99.72</v>
      </c>
      <c r="D355" s="54">
        <f t="shared" si="13"/>
        <v>-4.0096230954300704E-4</v>
      </c>
      <c r="F355" s="59" t="s">
        <v>1153</v>
      </c>
      <c r="G355" s="5">
        <v>14.67</v>
      </c>
      <c r="H355" s="54">
        <f t="shared" si="12"/>
        <v>0</v>
      </c>
    </row>
    <row r="356" spans="2:8" x14ac:dyDescent="0.25">
      <c r="B356" s="60">
        <v>44314</v>
      </c>
      <c r="C356" s="5">
        <v>99.88</v>
      </c>
      <c r="D356" s="54">
        <f t="shared" si="13"/>
        <v>1.6044925792217946E-3</v>
      </c>
      <c r="F356" s="59" t="s">
        <v>1152</v>
      </c>
      <c r="G356" s="5">
        <v>14.67</v>
      </c>
      <c r="H356" s="54">
        <f t="shared" si="12"/>
        <v>0</v>
      </c>
    </row>
    <row r="357" spans="2:8" x14ac:dyDescent="0.25">
      <c r="B357" s="60">
        <v>44315</v>
      </c>
      <c r="C357" s="5">
        <v>100.12</v>
      </c>
      <c r="D357" s="54">
        <f t="shared" si="13"/>
        <v>2.402883460152383E-3</v>
      </c>
      <c r="F357" s="59" t="s">
        <v>1151</v>
      </c>
      <c r="G357" s="5">
        <v>14.64</v>
      </c>
      <c r="H357" s="54">
        <f t="shared" si="12"/>
        <v>-2.0449897750510759E-3</v>
      </c>
    </row>
    <row r="358" spans="2:8" x14ac:dyDescent="0.25">
      <c r="B358" s="60">
        <v>44316</v>
      </c>
      <c r="C358" s="5">
        <v>99.19</v>
      </c>
      <c r="D358" s="54">
        <f t="shared" si="13"/>
        <v>-9.28885337594898E-3</v>
      </c>
      <c r="F358" s="59" t="s">
        <v>1150</v>
      </c>
      <c r="G358" s="5">
        <v>14.63</v>
      </c>
      <c r="H358" s="54">
        <f t="shared" si="12"/>
        <v>-6.83060109289646E-4</v>
      </c>
    </row>
    <row r="359" spans="2:8" x14ac:dyDescent="0.25">
      <c r="B359" s="60">
        <v>44319</v>
      </c>
      <c r="C359" s="5">
        <v>99.58</v>
      </c>
      <c r="D359" s="54">
        <f t="shared" si="13"/>
        <v>3.9318479685452878E-3</v>
      </c>
      <c r="F359" s="59" t="s">
        <v>1149</v>
      </c>
      <c r="G359" s="5">
        <v>14.64</v>
      </c>
      <c r="H359" s="54">
        <f t="shared" si="12"/>
        <v>6.8352699931639727E-4</v>
      </c>
    </row>
    <row r="360" spans="2:8" x14ac:dyDescent="0.25">
      <c r="B360" s="60">
        <v>44320</v>
      </c>
      <c r="C360" s="5">
        <v>98.64</v>
      </c>
      <c r="D360" s="54">
        <f t="shared" si="13"/>
        <v>-9.4396465153645526E-3</v>
      </c>
      <c r="F360" s="59" t="s">
        <v>1148</v>
      </c>
      <c r="G360" s="5">
        <v>14.64</v>
      </c>
      <c r="H360" s="54">
        <f t="shared" si="12"/>
        <v>0</v>
      </c>
    </row>
    <row r="361" spans="2:8" x14ac:dyDescent="0.25">
      <c r="B361" s="60">
        <v>44321</v>
      </c>
      <c r="C361" s="5">
        <v>99</v>
      </c>
      <c r="D361" s="54">
        <f t="shared" si="13"/>
        <v>3.6496350364962904E-3</v>
      </c>
      <c r="F361" s="59" t="s">
        <v>1147</v>
      </c>
      <c r="G361" s="5">
        <v>14.64</v>
      </c>
      <c r="H361" s="54">
        <f t="shared" si="12"/>
        <v>0</v>
      </c>
    </row>
    <row r="362" spans="2:8" x14ac:dyDescent="0.25">
      <c r="B362" s="60">
        <v>44322</v>
      </c>
      <c r="C362" s="5">
        <v>99.71</v>
      </c>
      <c r="D362" s="54">
        <f t="shared" si="13"/>
        <v>7.1717171717171624E-3</v>
      </c>
      <c r="F362" s="59" t="s">
        <v>1146</v>
      </c>
      <c r="G362" s="5">
        <v>14.62</v>
      </c>
      <c r="H362" s="54">
        <f t="shared" si="12"/>
        <v>-1.366120218579292E-3</v>
      </c>
    </row>
    <row r="363" spans="2:8" x14ac:dyDescent="0.25">
      <c r="B363" s="60">
        <v>44323</v>
      </c>
      <c r="C363" s="5">
        <v>100.61</v>
      </c>
      <c r="D363" s="54">
        <f t="shared" si="13"/>
        <v>9.0261759101395445E-3</v>
      </c>
      <c r="F363" s="59" t="s">
        <v>1145</v>
      </c>
      <c r="G363" s="5">
        <v>14.66</v>
      </c>
      <c r="H363" s="54">
        <f t="shared" si="12"/>
        <v>2.7359781121751858E-3</v>
      </c>
    </row>
    <row r="364" spans="2:8" x14ac:dyDescent="0.25">
      <c r="B364" s="60">
        <v>44326</v>
      </c>
      <c r="C364" s="5">
        <v>99.62</v>
      </c>
      <c r="D364" s="54">
        <f t="shared" si="13"/>
        <v>-9.8399761455123524E-3</v>
      </c>
      <c r="F364" s="59" t="s">
        <v>1144</v>
      </c>
      <c r="G364" s="5">
        <v>14.72</v>
      </c>
      <c r="H364" s="54">
        <f t="shared" si="12"/>
        <v>4.0927694406549531E-3</v>
      </c>
    </row>
    <row r="365" spans="2:8" x14ac:dyDescent="0.25">
      <c r="B365" s="60">
        <v>44327</v>
      </c>
      <c r="C365" s="5">
        <v>98.8</v>
      </c>
      <c r="D365" s="54">
        <f t="shared" si="13"/>
        <v>-8.2312788596667907E-3</v>
      </c>
      <c r="F365" s="59" t="s">
        <v>1143</v>
      </c>
      <c r="G365" s="5">
        <v>14.74</v>
      </c>
      <c r="H365" s="54">
        <f t="shared" si="12"/>
        <v>1.3586956521738358E-3</v>
      </c>
    </row>
    <row r="366" spans="2:8" x14ac:dyDescent="0.25">
      <c r="B366" s="60">
        <v>44328</v>
      </c>
      <c r="C366" s="5">
        <v>96.76</v>
      </c>
      <c r="D366" s="54">
        <f t="shared" si="13"/>
        <v>-2.0647773279352188E-2</v>
      </c>
      <c r="F366" s="59" t="s">
        <v>1142</v>
      </c>
      <c r="G366" s="5">
        <v>14.72</v>
      </c>
      <c r="H366" s="54">
        <f t="shared" si="12"/>
        <v>-1.3568521031207537E-3</v>
      </c>
    </row>
    <row r="367" spans="2:8" x14ac:dyDescent="0.25">
      <c r="B367" s="60">
        <v>44329</v>
      </c>
      <c r="C367" s="5">
        <v>97.54</v>
      </c>
      <c r="D367" s="54">
        <f t="shared" si="13"/>
        <v>8.061182306738246E-3</v>
      </c>
      <c r="F367" s="59" t="s">
        <v>1141</v>
      </c>
      <c r="G367" s="5">
        <v>14.65</v>
      </c>
      <c r="H367" s="54">
        <f t="shared" si="12"/>
        <v>-4.7554347826087584E-3</v>
      </c>
    </row>
    <row r="368" spans="2:8" x14ac:dyDescent="0.25">
      <c r="B368" s="60">
        <v>44330</v>
      </c>
      <c r="C368" s="5">
        <v>99.08</v>
      </c>
      <c r="D368" s="54">
        <f t="shared" si="13"/>
        <v>1.5788394504818504E-2</v>
      </c>
      <c r="F368" s="59" t="s">
        <v>1140</v>
      </c>
      <c r="G368" s="5">
        <v>14.61</v>
      </c>
      <c r="H368" s="54">
        <f t="shared" si="12"/>
        <v>-2.7303754266212454E-3</v>
      </c>
    </row>
    <row r="369" spans="2:8" x14ac:dyDescent="0.25">
      <c r="B369" s="60">
        <v>44333</v>
      </c>
      <c r="C369" s="5">
        <v>98.93</v>
      </c>
      <c r="D369" s="54">
        <f t="shared" si="13"/>
        <v>-1.5139281388776293E-3</v>
      </c>
      <c r="F369" s="59" t="s">
        <v>1139</v>
      </c>
      <c r="G369" s="5">
        <v>14.67</v>
      </c>
      <c r="H369" s="54">
        <f t="shared" si="12"/>
        <v>4.1067761806981018E-3</v>
      </c>
    </row>
    <row r="370" spans="2:8" x14ac:dyDescent="0.25">
      <c r="B370" s="60">
        <v>44334</v>
      </c>
      <c r="C370" s="5">
        <v>98.66</v>
      </c>
      <c r="D370" s="54">
        <f t="shared" si="13"/>
        <v>-2.7292024663905234E-3</v>
      </c>
      <c r="F370" s="59" t="s">
        <v>1138</v>
      </c>
      <c r="G370" s="5">
        <v>14.66</v>
      </c>
      <c r="H370" s="54">
        <f t="shared" si="12"/>
        <v>-6.8166325835039565E-4</v>
      </c>
    </row>
    <row r="371" spans="2:8" x14ac:dyDescent="0.25">
      <c r="B371" s="60">
        <v>44335</v>
      </c>
      <c r="C371" s="5">
        <v>98.2</v>
      </c>
      <c r="D371" s="54">
        <f t="shared" si="13"/>
        <v>-4.6624771944049348E-3</v>
      </c>
      <c r="F371" s="59" t="s">
        <v>1137</v>
      </c>
      <c r="G371" s="5">
        <v>14.7</v>
      </c>
      <c r="H371" s="54">
        <f t="shared" si="12"/>
        <v>2.7285129604364133E-3</v>
      </c>
    </row>
    <row r="372" spans="2:8" x14ac:dyDescent="0.25">
      <c r="B372" s="60">
        <v>44336</v>
      </c>
      <c r="C372" s="5">
        <v>99.33</v>
      </c>
      <c r="D372" s="54">
        <f t="shared" si="13"/>
        <v>1.1507128309572234E-2</v>
      </c>
      <c r="F372" s="59" t="s">
        <v>1136</v>
      </c>
      <c r="G372" s="5">
        <v>14.7</v>
      </c>
      <c r="H372" s="54">
        <f t="shared" si="12"/>
        <v>0</v>
      </c>
    </row>
    <row r="373" spans="2:8" x14ac:dyDescent="0.25">
      <c r="B373" s="60">
        <v>44337</v>
      </c>
      <c r="C373" s="5">
        <v>99.22</v>
      </c>
      <c r="D373" s="54">
        <f t="shared" si="13"/>
        <v>-1.1074197120708451E-3</v>
      </c>
      <c r="F373" s="59" t="s">
        <v>1135</v>
      </c>
      <c r="G373" s="5">
        <v>14.69</v>
      </c>
      <c r="H373" s="54">
        <f t="shared" si="12"/>
        <v>-6.8027210884347156E-4</v>
      </c>
    </row>
    <row r="374" spans="2:8" x14ac:dyDescent="0.25">
      <c r="B374" s="60">
        <v>44340</v>
      </c>
      <c r="C374" s="5">
        <v>100</v>
      </c>
      <c r="D374" s="54">
        <f t="shared" si="13"/>
        <v>7.8613182826043904E-3</v>
      </c>
      <c r="F374" s="59" t="s">
        <v>1134</v>
      </c>
      <c r="G374" s="5">
        <v>14.7</v>
      </c>
      <c r="H374" s="54">
        <f t="shared" si="12"/>
        <v>6.8073519400946303E-4</v>
      </c>
    </row>
    <row r="375" spans="2:8" x14ac:dyDescent="0.25">
      <c r="B375" s="60">
        <v>44341</v>
      </c>
      <c r="C375" s="5">
        <v>100</v>
      </c>
      <c r="D375" s="54">
        <f t="shared" si="13"/>
        <v>0</v>
      </c>
      <c r="F375" s="59" t="s">
        <v>1133</v>
      </c>
      <c r="G375" s="5">
        <v>14.72</v>
      </c>
      <c r="H375" s="54">
        <f t="shared" si="12"/>
        <v>1.3605442176871652E-3</v>
      </c>
    </row>
    <row r="376" spans="2:8" x14ac:dyDescent="0.25">
      <c r="B376" s="60">
        <v>44342</v>
      </c>
      <c r="C376" s="5">
        <v>100.24</v>
      </c>
      <c r="D376" s="54">
        <f t="shared" si="13"/>
        <v>2.3999999999999577E-3</v>
      </c>
      <c r="F376" s="59" t="s">
        <v>1132</v>
      </c>
      <c r="G376" s="5">
        <v>14.75</v>
      </c>
      <c r="H376" s="54">
        <f t="shared" si="12"/>
        <v>2.0380434782607537E-3</v>
      </c>
    </row>
    <row r="377" spans="2:8" x14ac:dyDescent="0.25">
      <c r="B377" s="60">
        <v>44343</v>
      </c>
      <c r="C377" s="5">
        <v>100.35</v>
      </c>
      <c r="D377" s="54">
        <f t="shared" si="13"/>
        <v>1.0973663208300177E-3</v>
      </c>
      <c r="F377" s="59" t="s">
        <v>1131</v>
      </c>
      <c r="G377" s="5">
        <v>14.8</v>
      </c>
      <c r="H377" s="54">
        <f t="shared" si="12"/>
        <v>3.3898305084745228E-3</v>
      </c>
    </row>
    <row r="378" spans="2:8" x14ac:dyDescent="0.25">
      <c r="B378" s="60">
        <v>44344</v>
      </c>
      <c r="C378" s="5">
        <v>100.65</v>
      </c>
      <c r="D378" s="54">
        <f t="shared" si="13"/>
        <v>2.989536621823774E-3</v>
      </c>
      <c r="F378" s="59" t="s">
        <v>1130</v>
      </c>
      <c r="G378" s="5">
        <v>14.74</v>
      </c>
      <c r="H378" s="54">
        <f t="shared" si="12"/>
        <v>-4.0540540540541237E-3</v>
      </c>
    </row>
    <row r="379" spans="2:8" x14ac:dyDescent="0.25">
      <c r="B379" s="60">
        <v>44348</v>
      </c>
      <c r="C379" s="5">
        <v>100.98</v>
      </c>
      <c r="D379" s="54">
        <f t="shared" si="13"/>
        <v>3.2786885245901232E-3</v>
      </c>
      <c r="F379" s="59" t="s">
        <v>1129</v>
      </c>
      <c r="G379" s="5">
        <v>14.73</v>
      </c>
      <c r="H379" s="54">
        <f t="shared" si="12"/>
        <v>-6.7842605156032132E-4</v>
      </c>
    </row>
    <row r="380" spans="2:8" x14ac:dyDescent="0.25">
      <c r="B380" s="60">
        <v>44349</v>
      </c>
      <c r="C380" s="5">
        <v>101.09</v>
      </c>
      <c r="D380" s="54">
        <f t="shared" si="13"/>
        <v>1.0893246187364536E-3</v>
      </c>
      <c r="F380" s="59" t="s">
        <v>1128</v>
      </c>
      <c r="G380" s="5">
        <v>14.73</v>
      </c>
      <c r="H380" s="54">
        <f t="shared" si="12"/>
        <v>0</v>
      </c>
    </row>
    <row r="381" spans="2:8" x14ac:dyDescent="0.25">
      <c r="B381" s="60">
        <v>44350</v>
      </c>
      <c r="C381" s="5">
        <v>100.56</v>
      </c>
      <c r="D381" s="54">
        <f t="shared" si="13"/>
        <v>-5.2428529033534677E-3</v>
      </c>
      <c r="F381" s="59" t="s">
        <v>1127</v>
      </c>
      <c r="G381" s="5">
        <v>14.76</v>
      </c>
      <c r="H381" s="54">
        <f t="shared" si="12"/>
        <v>2.0366598778003286E-3</v>
      </c>
    </row>
    <row r="382" spans="2:8" x14ac:dyDescent="0.25">
      <c r="B382" s="60">
        <v>44351</v>
      </c>
      <c r="C382" s="5">
        <v>101.49</v>
      </c>
      <c r="D382" s="54">
        <f t="shared" si="13"/>
        <v>9.2482100238662213E-3</v>
      </c>
      <c r="F382" s="59" t="s">
        <v>1126</v>
      </c>
      <c r="G382" s="5">
        <v>14.76</v>
      </c>
      <c r="H382" s="54">
        <f t="shared" si="12"/>
        <v>0</v>
      </c>
    </row>
    <row r="383" spans="2:8" x14ac:dyDescent="0.25">
      <c r="B383" s="60">
        <v>44354</v>
      </c>
      <c r="C383" s="5">
        <v>101.52</v>
      </c>
      <c r="D383" s="54">
        <f t="shared" si="13"/>
        <v>2.9559562518466365E-4</v>
      </c>
      <c r="F383" s="59" t="s">
        <v>1125</v>
      </c>
      <c r="G383" s="5">
        <v>14.72</v>
      </c>
      <c r="H383" s="54">
        <f t="shared" si="12"/>
        <v>-2.7100271002709064E-3</v>
      </c>
    </row>
    <row r="384" spans="2:8" x14ac:dyDescent="0.25">
      <c r="B384" s="60">
        <v>44355</v>
      </c>
      <c r="C384" s="5">
        <v>101.47</v>
      </c>
      <c r="D384" s="54">
        <f t="shared" si="13"/>
        <v>-4.9251379038606213E-4</v>
      </c>
      <c r="F384" s="59" t="s">
        <v>1124</v>
      </c>
      <c r="G384" s="5">
        <v>14.76</v>
      </c>
      <c r="H384" s="54">
        <f t="shared" si="12"/>
        <v>2.7173913043476716E-3</v>
      </c>
    </row>
    <row r="385" spans="2:8" x14ac:dyDescent="0.25">
      <c r="B385" s="60">
        <v>44356</v>
      </c>
      <c r="C385" s="5">
        <v>101.21</v>
      </c>
      <c r="D385" s="54">
        <f t="shared" si="13"/>
        <v>-2.5623336946881681E-3</v>
      </c>
      <c r="F385" s="59" t="s">
        <v>1123</v>
      </c>
      <c r="G385" s="5">
        <v>14.76</v>
      </c>
      <c r="H385" s="54">
        <f t="shared" si="12"/>
        <v>0</v>
      </c>
    </row>
    <row r="386" spans="2:8" x14ac:dyDescent="0.25">
      <c r="B386" s="60">
        <v>44357</v>
      </c>
      <c r="C386" s="5">
        <v>100.99</v>
      </c>
      <c r="D386" s="54">
        <f t="shared" si="13"/>
        <v>-2.1736982511609826E-3</v>
      </c>
      <c r="F386" s="59" t="s">
        <v>1122</v>
      </c>
      <c r="G386" s="5">
        <v>14.77</v>
      </c>
      <c r="H386" s="54">
        <f t="shared" si="12"/>
        <v>6.7750677506772661E-4</v>
      </c>
    </row>
    <row r="387" spans="2:8" x14ac:dyDescent="0.25">
      <c r="B387" s="60">
        <v>44358</v>
      </c>
      <c r="C387" s="5">
        <v>101.18</v>
      </c>
      <c r="D387" s="54">
        <f t="shared" si="13"/>
        <v>1.8813743935044425E-3</v>
      </c>
      <c r="F387" s="59" t="s">
        <v>1121</v>
      </c>
      <c r="G387" s="5">
        <v>14.82</v>
      </c>
      <c r="H387" s="54">
        <f t="shared" si="12"/>
        <v>3.3852403520651109E-3</v>
      </c>
    </row>
    <row r="388" spans="2:8" x14ac:dyDescent="0.25">
      <c r="B388" s="60">
        <v>44361</v>
      </c>
      <c r="C388" s="5">
        <v>101.44</v>
      </c>
      <c r="D388" s="54">
        <f t="shared" si="13"/>
        <v>2.5696778019370647E-3</v>
      </c>
      <c r="F388" s="59" t="s">
        <v>1120</v>
      </c>
      <c r="G388" s="5">
        <v>14.8</v>
      </c>
      <c r="H388" s="54">
        <f t="shared" si="12"/>
        <v>-1.3495276653171517E-3</v>
      </c>
    </row>
    <row r="389" spans="2:8" x14ac:dyDescent="0.25">
      <c r="B389" s="60">
        <v>44362</v>
      </c>
      <c r="C389" s="5">
        <v>101.24</v>
      </c>
      <c r="D389" s="54">
        <f t="shared" si="13"/>
        <v>-1.9716088328075587E-3</v>
      </c>
      <c r="F389" s="59" t="s">
        <v>1119</v>
      </c>
      <c r="G389" s="5">
        <v>14.8</v>
      </c>
      <c r="H389" s="54">
        <f t="shared" si="12"/>
        <v>0</v>
      </c>
    </row>
    <row r="390" spans="2:8" x14ac:dyDescent="0.25">
      <c r="B390" s="60">
        <v>44363</v>
      </c>
      <c r="C390" s="5">
        <v>100.59</v>
      </c>
      <c r="D390" s="54">
        <f t="shared" si="13"/>
        <v>-6.4203871987356109E-3</v>
      </c>
      <c r="F390" s="59" t="s">
        <v>1118</v>
      </c>
      <c r="G390" s="5">
        <v>14.78</v>
      </c>
      <c r="H390" s="54">
        <f t="shared" si="12"/>
        <v>-1.3513513513514486E-3</v>
      </c>
    </row>
    <row r="391" spans="2:8" x14ac:dyDescent="0.25">
      <c r="B391" s="60">
        <v>44364</v>
      </c>
      <c r="C391" s="5">
        <v>100.4</v>
      </c>
      <c r="D391" s="54">
        <f t="shared" si="13"/>
        <v>-1.8888557510686743E-3</v>
      </c>
      <c r="F391" s="59" t="s">
        <v>1117</v>
      </c>
      <c r="G391" s="5">
        <v>14.76</v>
      </c>
      <c r="H391" s="54">
        <f t="shared" si="12"/>
        <v>-1.3531799729363803E-3</v>
      </c>
    </row>
    <row r="392" spans="2:8" x14ac:dyDescent="0.25">
      <c r="B392" s="60">
        <v>44365</v>
      </c>
      <c r="C392" s="5">
        <v>99.07</v>
      </c>
      <c r="D392" s="54">
        <f t="shared" si="13"/>
        <v>-1.3247011952191357E-2</v>
      </c>
      <c r="F392" s="59" t="s">
        <v>1116</v>
      </c>
      <c r="G392" s="5">
        <v>14.77</v>
      </c>
      <c r="H392" s="54">
        <f t="shared" si="12"/>
        <v>6.7750677506772661E-4</v>
      </c>
    </row>
    <row r="393" spans="2:8" x14ac:dyDescent="0.25">
      <c r="B393" s="60">
        <v>44368</v>
      </c>
      <c r="C393" s="5">
        <v>100.24</v>
      </c>
      <c r="D393" s="54">
        <f t="shared" si="13"/>
        <v>1.1809831432320506E-2</v>
      </c>
      <c r="F393" s="59" t="s">
        <v>1115</v>
      </c>
      <c r="G393" s="5">
        <v>14.64</v>
      </c>
      <c r="H393" s="54">
        <f t="shared" si="12"/>
        <v>-8.8016249153689552E-3</v>
      </c>
    </row>
    <row r="394" spans="2:8" x14ac:dyDescent="0.25">
      <c r="B394" s="60">
        <v>44369</v>
      </c>
      <c r="C394" s="5">
        <v>100.65</v>
      </c>
      <c r="D394" s="54">
        <f t="shared" si="13"/>
        <v>4.0901835594573388E-3</v>
      </c>
      <c r="F394" s="59" t="s">
        <v>1114</v>
      </c>
      <c r="G394" s="5">
        <v>14.62</v>
      </c>
      <c r="H394" s="54">
        <f t="shared" si="12"/>
        <v>-1.366120218579292E-3</v>
      </c>
    </row>
    <row r="395" spans="2:8" x14ac:dyDescent="0.25">
      <c r="B395" s="60">
        <v>44370</v>
      </c>
      <c r="C395" s="5">
        <v>100.46</v>
      </c>
      <c r="D395" s="54">
        <f t="shared" si="13"/>
        <v>-1.887729756582357E-3</v>
      </c>
      <c r="F395" s="59" t="s">
        <v>1113</v>
      </c>
      <c r="G395" s="5">
        <v>14.64</v>
      </c>
      <c r="H395" s="54">
        <f t="shared" si="12"/>
        <v>1.3679890560875929E-3</v>
      </c>
    </row>
    <row r="396" spans="2:8" x14ac:dyDescent="0.25">
      <c r="B396" s="60">
        <v>44371</v>
      </c>
      <c r="C396" s="5">
        <v>101.17</v>
      </c>
      <c r="D396" s="54">
        <f t="shared" si="13"/>
        <v>7.067489548078898E-3</v>
      </c>
      <c r="F396" s="59" t="s">
        <v>1112</v>
      </c>
      <c r="G396" s="5">
        <v>14.62</v>
      </c>
      <c r="H396" s="54">
        <f t="shared" si="12"/>
        <v>-1.366120218579292E-3</v>
      </c>
    </row>
    <row r="397" spans="2:8" x14ac:dyDescent="0.25">
      <c r="B397" s="60">
        <v>44372</v>
      </c>
      <c r="C397" s="5">
        <v>101.58</v>
      </c>
      <c r="D397" s="54">
        <f t="shared" si="13"/>
        <v>4.0525847583274821E-3</v>
      </c>
      <c r="F397" s="59" t="s">
        <v>1111</v>
      </c>
      <c r="G397" s="5">
        <v>14.67</v>
      </c>
      <c r="H397" s="54">
        <f t="shared" si="12"/>
        <v>3.4199726402188713E-3</v>
      </c>
    </row>
    <row r="398" spans="2:8" x14ac:dyDescent="0.25">
      <c r="B398" s="60">
        <v>44375</v>
      </c>
      <c r="C398" s="5">
        <v>101.55</v>
      </c>
      <c r="D398" s="54">
        <f t="shared" si="13"/>
        <v>-2.953337271116574E-4</v>
      </c>
      <c r="F398" s="59" t="s">
        <v>1110</v>
      </c>
      <c r="G398" s="5">
        <v>14.66</v>
      </c>
      <c r="H398" s="54">
        <f t="shared" si="12"/>
        <v>-6.8166325835039565E-4</v>
      </c>
    </row>
    <row r="399" spans="2:8" x14ac:dyDescent="0.25">
      <c r="B399" s="60">
        <v>44376</v>
      </c>
      <c r="C399" s="5">
        <v>101.59</v>
      </c>
      <c r="D399" s="54">
        <f t="shared" si="13"/>
        <v>3.9389463318562079E-4</v>
      </c>
      <c r="F399" s="59" t="s">
        <v>1109</v>
      </c>
      <c r="G399" s="5">
        <v>14.67</v>
      </c>
      <c r="H399" s="54">
        <f t="shared" si="12"/>
        <v>6.8212824010904782E-4</v>
      </c>
    </row>
    <row r="400" spans="2:8" x14ac:dyDescent="0.25">
      <c r="B400" s="60">
        <v>44377</v>
      </c>
      <c r="C400" s="5">
        <v>101.19</v>
      </c>
      <c r="D400" s="54">
        <f t="shared" si="13"/>
        <v>-3.9373954129343636E-3</v>
      </c>
      <c r="F400" s="59" t="s">
        <v>1108</v>
      </c>
      <c r="G400" s="5">
        <v>14.65</v>
      </c>
      <c r="H400" s="54">
        <f t="shared" si="12"/>
        <v>-1.3633265167006803E-3</v>
      </c>
    </row>
    <row r="401" spans="2:8" x14ac:dyDescent="0.25">
      <c r="B401" s="60">
        <v>44378</v>
      </c>
      <c r="C401" s="5">
        <v>101.61</v>
      </c>
      <c r="D401" s="54">
        <f t="shared" si="13"/>
        <v>4.1506077675659281E-3</v>
      </c>
      <c r="F401" s="59" t="s">
        <v>1107</v>
      </c>
      <c r="G401" s="5">
        <v>14.63</v>
      </c>
      <c r="H401" s="54">
        <f t="shared" si="12"/>
        <v>-1.3651877133105117E-3</v>
      </c>
    </row>
    <row r="402" spans="2:8" x14ac:dyDescent="0.25">
      <c r="B402" s="60">
        <v>44379</v>
      </c>
      <c r="C402" s="5">
        <v>102.08</v>
      </c>
      <c r="D402" s="54">
        <f t="shared" si="13"/>
        <v>4.625528983367877E-3</v>
      </c>
      <c r="F402" s="59" t="s">
        <v>1106</v>
      </c>
      <c r="G402" s="5">
        <v>14.65</v>
      </c>
      <c r="H402" s="54">
        <f t="shared" si="12"/>
        <v>1.3670539986330166E-3</v>
      </c>
    </row>
    <row r="403" spans="2:8" x14ac:dyDescent="0.25">
      <c r="B403" s="60">
        <v>44383</v>
      </c>
      <c r="C403" s="5">
        <v>101.65</v>
      </c>
      <c r="D403" s="54">
        <f t="shared" si="13"/>
        <v>-4.2123824451409941E-3</v>
      </c>
      <c r="F403" s="59" t="s">
        <v>1105</v>
      </c>
      <c r="G403" s="5">
        <v>14.64</v>
      </c>
      <c r="H403" s="54">
        <f t="shared" si="12"/>
        <v>-6.8259385665525585E-4</v>
      </c>
    </row>
    <row r="404" spans="2:8" x14ac:dyDescent="0.25">
      <c r="B404" s="60">
        <v>44384</v>
      </c>
      <c r="C404" s="5">
        <v>101.87</v>
      </c>
      <c r="D404" s="54">
        <f t="shared" si="13"/>
        <v>2.1642892277422554E-3</v>
      </c>
      <c r="F404" s="59" t="s">
        <v>1104</v>
      </c>
      <c r="G404" s="5">
        <v>14.64</v>
      </c>
      <c r="H404" s="54">
        <f t="shared" si="12"/>
        <v>0</v>
      </c>
    </row>
    <row r="405" spans="2:8" x14ac:dyDescent="0.25">
      <c r="B405" s="60">
        <v>44385</v>
      </c>
      <c r="C405" s="5">
        <v>100.75</v>
      </c>
      <c r="D405" s="54">
        <f t="shared" si="13"/>
        <v>-1.0994404633356325E-2</v>
      </c>
      <c r="F405" s="59" t="s">
        <v>1103</v>
      </c>
      <c r="G405" s="5">
        <v>14.67</v>
      </c>
      <c r="H405" s="54">
        <f t="shared" ref="H405:H468" si="14">G405/G404-1</f>
        <v>2.049180327868827E-3</v>
      </c>
    </row>
    <row r="406" spans="2:8" x14ac:dyDescent="0.25">
      <c r="B406" s="60">
        <v>44386</v>
      </c>
      <c r="C406" s="5">
        <v>102.08</v>
      </c>
      <c r="D406" s="54">
        <f t="shared" ref="D406:D469" si="15">C406/C405-1</f>
        <v>1.3200992555831181E-2</v>
      </c>
      <c r="F406" s="59" t="s">
        <v>1102</v>
      </c>
      <c r="G406" s="5">
        <v>14.7</v>
      </c>
      <c r="H406" s="54">
        <f t="shared" si="14"/>
        <v>2.044989775051187E-3</v>
      </c>
    </row>
    <row r="407" spans="2:8" x14ac:dyDescent="0.25">
      <c r="B407" s="60">
        <v>44389</v>
      </c>
      <c r="C407" s="5">
        <v>102.38</v>
      </c>
      <c r="D407" s="54">
        <f t="shared" si="15"/>
        <v>2.9388714733542542E-3</v>
      </c>
      <c r="F407" s="59" t="s">
        <v>1101</v>
      </c>
      <c r="G407" s="5">
        <v>14.73</v>
      </c>
      <c r="H407" s="54">
        <f t="shared" si="14"/>
        <v>2.0408163265306367E-3</v>
      </c>
    </row>
    <row r="408" spans="2:8" x14ac:dyDescent="0.25">
      <c r="B408" s="60">
        <v>44390</v>
      </c>
      <c r="C408" s="5">
        <v>102.03</v>
      </c>
      <c r="D408" s="54">
        <f t="shared" si="15"/>
        <v>-3.4186364524320112E-3</v>
      </c>
      <c r="F408" s="59" t="s">
        <v>1100</v>
      </c>
      <c r="G408" s="5">
        <v>14.7</v>
      </c>
      <c r="H408" s="54">
        <f t="shared" si="14"/>
        <v>-2.0366598778004397E-3</v>
      </c>
    </row>
    <row r="409" spans="2:8" x14ac:dyDescent="0.25">
      <c r="B409" s="60">
        <v>44391</v>
      </c>
      <c r="C409" s="5">
        <v>102.17</v>
      </c>
      <c r="D409" s="54">
        <f t="shared" si="15"/>
        <v>1.3721454474173722E-3</v>
      </c>
      <c r="F409" s="59" t="s">
        <v>1099</v>
      </c>
      <c r="G409" s="5">
        <v>14.7</v>
      </c>
      <c r="H409" s="54">
        <f t="shared" si="14"/>
        <v>0</v>
      </c>
    </row>
    <row r="410" spans="2:8" x14ac:dyDescent="0.25">
      <c r="B410" s="60">
        <v>44392</v>
      </c>
      <c r="C410" s="5">
        <v>101.74</v>
      </c>
      <c r="D410" s="54">
        <f t="shared" si="15"/>
        <v>-4.2086718214741081E-3</v>
      </c>
      <c r="F410" s="59" t="s">
        <v>1098</v>
      </c>
      <c r="G410" s="5">
        <v>14.69</v>
      </c>
      <c r="H410" s="54">
        <f t="shared" si="14"/>
        <v>-6.8027210884347156E-4</v>
      </c>
    </row>
    <row r="411" spans="2:8" x14ac:dyDescent="0.25">
      <c r="B411" s="60">
        <v>44393</v>
      </c>
      <c r="C411" s="5">
        <v>100.97</v>
      </c>
      <c r="D411" s="54">
        <f t="shared" si="15"/>
        <v>-7.5683113819539072E-3</v>
      </c>
      <c r="F411" s="59" t="s">
        <v>1097</v>
      </c>
      <c r="G411" s="5">
        <v>14.7</v>
      </c>
      <c r="H411" s="54">
        <f t="shared" si="14"/>
        <v>6.8073519400946303E-4</v>
      </c>
    </row>
    <row r="412" spans="2:8" x14ac:dyDescent="0.25">
      <c r="B412" s="60">
        <v>44396</v>
      </c>
      <c r="C412" s="5">
        <v>99.44</v>
      </c>
      <c r="D412" s="54">
        <f t="shared" si="15"/>
        <v>-1.5153015747251697E-2</v>
      </c>
      <c r="F412" s="59" t="s">
        <v>1096</v>
      </c>
      <c r="G412" s="5">
        <v>14.72</v>
      </c>
      <c r="H412" s="54">
        <f t="shared" si="14"/>
        <v>1.3605442176871652E-3</v>
      </c>
    </row>
    <row r="413" spans="2:8" x14ac:dyDescent="0.25">
      <c r="B413" s="60">
        <v>44397</v>
      </c>
      <c r="C413" s="5">
        <v>100.54</v>
      </c>
      <c r="D413" s="54">
        <f t="shared" si="15"/>
        <v>1.106194690265494E-2</v>
      </c>
      <c r="F413" s="59" t="s">
        <v>1095</v>
      </c>
      <c r="G413" s="5">
        <v>14.71</v>
      </c>
      <c r="H413" s="54">
        <f t="shared" si="14"/>
        <v>-6.7934782608691791E-4</v>
      </c>
    </row>
    <row r="414" spans="2:8" x14ac:dyDescent="0.25">
      <c r="B414" s="60">
        <v>44398</v>
      </c>
      <c r="C414" s="5">
        <v>101.6</v>
      </c>
      <c r="D414" s="54">
        <f t="shared" si="15"/>
        <v>1.054306743584621E-2</v>
      </c>
      <c r="F414" s="59" t="s">
        <v>1094</v>
      </c>
      <c r="G414" s="5">
        <v>14.75</v>
      </c>
      <c r="H414" s="54">
        <f t="shared" si="14"/>
        <v>2.7192386131882351E-3</v>
      </c>
    </row>
    <row r="415" spans="2:8" x14ac:dyDescent="0.25">
      <c r="B415" s="60">
        <v>44399</v>
      </c>
      <c r="C415" s="5">
        <v>101.77</v>
      </c>
      <c r="D415" s="54">
        <f t="shared" si="15"/>
        <v>1.6732283464566677E-3</v>
      </c>
      <c r="F415" s="59" t="s">
        <v>1093</v>
      </c>
      <c r="G415" s="5">
        <v>14.75</v>
      </c>
      <c r="H415" s="54">
        <f t="shared" si="14"/>
        <v>0</v>
      </c>
    </row>
    <row r="416" spans="2:8" x14ac:dyDescent="0.25">
      <c r="B416" s="60">
        <v>44400</v>
      </c>
      <c r="C416" s="5">
        <v>102.41</v>
      </c>
      <c r="D416" s="54">
        <f t="shared" si="15"/>
        <v>6.2886901837477804E-3</v>
      </c>
      <c r="F416" s="59" t="s">
        <v>1092</v>
      </c>
      <c r="G416" s="5">
        <v>14.72</v>
      </c>
      <c r="H416" s="54">
        <f t="shared" si="14"/>
        <v>-2.0338983050847137E-3</v>
      </c>
    </row>
    <row r="417" spans="2:8" x14ac:dyDescent="0.25">
      <c r="B417" s="60">
        <v>44403</v>
      </c>
      <c r="C417" s="5">
        <v>102.35</v>
      </c>
      <c r="D417" s="54">
        <f t="shared" si="15"/>
        <v>-5.8588028512840395E-4</v>
      </c>
      <c r="F417" s="59" t="s">
        <v>1091</v>
      </c>
      <c r="G417" s="5">
        <v>14.74</v>
      </c>
      <c r="H417" s="54">
        <f t="shared" si="14"/>
        <v>1.3586956521738358E-3</v>
      </c>
    </row>
    <row r="418" spans="2:8" x14ac:dyDescent="0.25">
      <c r="B418" s="60">
        <v>44404</v>
      </c>
      <c r="C418" s="5">
        <v>101.66</v>
      </c>
      <c r="D418" s="54">
        <f t="shared" si="15"/>
        <v>-6.741573033707815E-3</v>
      </c>
      <c r="F418" s="59" t="s">
        <v>1090</v>
      </c>
      <c r="G418" s="5">
        <v>14.73</v>
      </c>
      <c r="H418" s="54">
        <f t="shared" si="14"/>
        <v>-6.7842605156032132E-4</v>
      </c>
    </row>
    <row r="419" spans="2:8" x14ac:dyDescent="0.25">
      <c r="B419" s="60">
        <v>44405</v>
      </c>
      <c r="C419" s="5">
        <v>102.13</v>
      </c>
      <c r="D419" s="54">
        <f t="shared" si="15"/>
        <v>4.6232539838677589E-3</v>
      </c>
      <c r="F419" s="59" t="s">
        <v>1089</v>
      </c>
      <c r="G419" s="5">
        <v>14.75</v>
      </c>
      <c r="H419" s="54">
        <f t="shared" si="14"/>
        <v>1.3577732518668117E-3</v>
      </c>
    </row>
    <row r="420" spans="2:8" x14ac:dyDescent="0.25">
      <c r="B420" s="60">
        <v>44406</v>
      </c>
      <c r="C420" s="5">
        <v>102.69</v>
      </c>
      <c r="D420" s="54">
        <f t="shared" si="15"/>
        <v>5.4832076764907978E-3</v>
      </c>
      <c r="F420" s="59" t="s">
        <v>1088</v>
      </c>
      <c r="G420" s="5">
        <v>14.76</v>
      </c>
      <c r="H420" s="54">
        <f t="shared" si="14"/>
        <v>6.7796610169490457E-4</v>
      </c>
    </row>
    <row r="421" spans="2:8" x14ac:dyDescent="0.25">
      <c r="B421" s="60">
        <v>44407</v>
      </c>
      <c r="C421" s="5">
        <v>102.11</v>
      </c>
      <c r="D421" s="54">
        <f t="shared" si="15"/>
        <v>-5.6480669977602149E-3</v>
      </c>
      <c r="F421" s="59" t="s">
        <v>1087</v>
      </c>
      <c r="G421" s="5">
        <v>14.74</v>
      </c>
      <c r="H421" s="54">
        <f t="shared" si="14"/>
        <v>-1.3550135501354532E-3</v>
      </c>
    </row>
    <row r="422" spans="2:8" x14ac:dyDescent="0.25">
      <c r="B422" s="60">
        <v>44410</v>
      </c>
      <c r="C422" s="5">
        <v>102.16</v>
      </c>
      <c r="D422" s="54">
        <f t="shared" si="15"/>
        <v>4.8966800509253616E-4</v>
      </c>
      <c r="F422" s="59" t="s">
        <v>1086</v>
      </c>
      <c r="G422" s="5">
        <v>14.8</v>
      </c>
      <c r="H422" s="54">
        <f t="shared" si="14"/>
        <v>4.070556309362372E-3</v>
      </c>
    </row>
    <row r="423" spans="2:8" x14ac:dyDescent="0.25">
      <c r="B423" s="60">
        <v>44411</v>
      </c>
      <c r="C423" s="5">
        <v>102.89</v>
      </c>
      <c r="D423" s="54">
        <f t="shared" si="15"/>
        <v>7.1456538762726396E-3</v>
      </c>
      <c r="F423" s="59" t="s">
        <v>1085</v>
      </c>
      <c r="G423" s="5">
        <v>14.81</v>
      </c>
      <c r="H423" s="54">
        <f t="shared" si="14"/>
        <v>6.7567567567561326E-4</v>
      </c>
    </row>
    <row r="424" spans="2:8" x14ac:dyDescent="0.25">
      <c r="B424" s="60">
        <v>44412</v>
      </c>
      <c r="C424" s="5">
        <v>102.68</v>
      </c>
      <c r="D424" s="54">
        <f t="shared" si="15"/>
        <v>-2.0410146758673697E-3</v>
      </c>
      <c r="F424" s="59" t="s">
        <v>1084</v>
      </c>
      <c r="G424" s="5">
        <v>14.81</v>
      </c>
      <c r="H424" s="54">
        <f t="shared" si="14"/>
        <v>0</v>
      </c>
    </row>
    <row r="425" spans="2:8" x14ac:dyDescent="0.25">
      <c r="B425" s="60">
        <v>44413</v>
      </c>
      <c r="C425" s="5">
        <v>103.12</v>
      </c>
      <c r="D425" s="54">
        <f t="shared" si="15"/>
        <v>4.2851577717180067E-3</v>
      </c>
      <c r="F425" s="59" t="s">
        <v>1083</v>
      </c>
      <c r="G425" s="5">
        <v>14.83</v>
      </c>
      <c r="H425" s="54">
        <f t="shared" si="14"/>
        <v>1.3504388926399713E-3</v>
      </c>
    </row>
    <row r="426" spans="2:8" x14ac:dyDescent="0.25">
      <c r="B426" s="60">
        <v>44414</v>
      </c>
      <c r="C426" s="5">
        <v>102.95</v>
      </c>
      <c r="D426" s="54">
        <f t="shared" si="15"/>
        <v>-1.6485647788984092E-3</v>
      </c>
      <c r="F426" s="59" t="s">
        <v>1082</v>
      </c>
      <c r="G426" s="5">
        <v>14.85</v>
      </c>
      <c r="H426" s="54">
        <f t="shared" si="14"/>
        <v>1.3486176668913163E-3</v>
      </c>
    </row>
    <row r="427" spans="2:8" x14ac:dyDescent="0.25">
      <c r="B427" s="60">
        <v>44417</v>
      </c>
      <c r="C427" s="5">
        <v>103</v>
      </c>
      <c r="D427" s="54">
        <f t="shared" si="15"/>
        <v>4.8567265662935455E-4</v>
      </c>
      <c r="F427" s="59" t="s">
        <v>1081</v>
      </c>
      <c r="G427" s="5">
        <v>14.88</v>
      </c>
      <c r="H427" s="54">
        <f t="shared" si="14"/>
        <v>2.0202020202020332E-3</v>
      </c>
    </row>
    <row r="428" spans="2:8" x14ac:dyDescent="0.25">
      <c r="B428" s="60">
        <v>44418</v>
      </c>
      <c r="C428" s="5">
        <v>103.13</v>
      </c>
      <c r="D428" s="54">
        <f t="shared" si="15"/>
        <v>1.2621359223301543E-3</v>
      </c>
      <c r="F428" s="59" t="s">
        <v>1080</v>
      </c>
      <c r="G428" s="5">
        <v>14.83</v>
      </c>
      <c r="H428" s="54">
        <f t="shared" si="14"/>
        <v>-3.3602150537634934E-3</v>
      </c>
    </row>
    <row r="429" spans="2:8" x14ac:dyDescent="0.25">
      <c r="B429" s="60">
        <v>44419</v>
      </c>
      <c r="C429" s="5">
        <v>103.45</v>
      </c>
      <c r="D429" s="54">
        <f t="shared" si="15"/>
        <v>3.1028798603704999E-3</v>
      </c>
      <c r="F429" s="59" t="s">
        <v>1079</v>
      </c>
      <c r="G429" s="5">
        <v>14.76</v>
      </c>
      <c r="H429" s="54">
        <f t="shared" si="14"/>
        <v>-4.7201618341200513E-3</v>
      </c>
    </row>
    <row r="430" spans="2:8" x14ac:dyDescent="0.25">
      <c r="B430" s="60">
        <v>44420</v>
      </c>
      <c r="C430" s="5">
        <v>103.5</v>
      </c>
      <c r="D430" s="54">
        <f t="shared" si="15"/>
        <v>4.8332527791195012E-4</v>
      </c>
      <c r="F430" s="59" t="s">
        <v>1078</v>
      </c>
      <c r="G430" s="5">
        <v>14.76</v>
      </c>
      <c r="H430" s="54">
        <f t="shared" si="14"/>
        <v>0</v>
      </c>
    </row>
    <row r="431" spans="2:8" x14ac:dyDescent="0.25">
      <c r="B431" s="60">
        <v>44421</v>
      </c>
      <c r="C431" s="5">
        <v>103.76</v>
      </c>
      <c r="D431" s="54">
        <f t="shared" si="15"/>
        <v>2.5120772946860548E-3</v>
      </c>
      <c r="F431" s="59" t="s">
        <v>1077</v>
      </c>
      <c r="G431" s="5">
        <v>14.72</v>
      </c>
      <c r="H431" s="54">
        <f t="shared" si="14"/>
        <v>-2.7100271002709064E-3</v>
      </c>
    </row>
    <row r="432" spans="2:8" x14ac:dyDescent="0.25">
      <c r="B432" s="60">
        <v>44424</v>
      </c>
      <c r="C432" s="5">
        <v>103.62</v>
      </c>
      <c r="D432" s="54">
        <f t="shared" si="15"/>
        <v>-1.3492675404780385E-3</v>
      </c>
      <c r="F432" s="59" t="s">
        <v>1076</v>
      </c>
      <c r="G432" s="5">
        <v>14.71</v>
      </c>
      <c r="H432" s="54">
        <f t="shared" si="14"/>
        <v>-6.7934782608691791E-4</v>
      </c>
    </row>
    <row r="433" spans="2:8" x14ac:dyDescent="0.25">
      <c r="B433" s="60">
        <v>44425</v>
      </c>
      <c r="C433" s="5">
        <v>102.66</v>
      </c>
      <c r="D433" s="54">
        <f t="shared" si="15"/>
        <v>-9.2646207295890015E-3</v>
      </c>
      <c r="F433" s="59" t="s">
        <v>1075</v>
      </c>
      <c r="G433" s="5">
        <v>14.71</v>
      </c>
      <c r="H433" s="54">
        <f t="shared" si="14"/>
        <v>0</v>
      </c>
    </row>
    <row r="434" spans="2:8" x14ac:dyDescent="0.25">
      <c r="B434" s="60">
        <v>44426</v>
      </c>
      <c r="C434" s="5">
        <v>101.96</v>
      </c>
      <c r="D434" s="54">
        <f t="shared" si="15"/>
        <v>-6.8186245860121231E-3</v>
      </c>
      <c r="F434" s="59" t="s">
        <v>1074</v>
      </c>
      <c r="G434" s="5">
        <v>14.73</v>
      </c>
      <c r="H434" s="54">
        <f t="shared" si="14"/>
        <v>1.3596193065941176E-3</v>
      </c>
    </row>
    <row r="435" spans="2:8" x14ac:dyDescent="0.25">
      <c r="B435" s="60">
        <v>44427</v>
      </c>
      <c r="C435" s="5">
        <v>101.42</v>
      </c>
      <c r="D435" s="54">
        <f t="shared" si="15"/>
        <v>-5.2961945861120796E-3</v>
      </c>
      <c r="F435" s="59" t="s">
        <v>1073</v>
      </c>
      <c r="G435" s="5">
        <v>14.78</v>
      </c>
      <c r="H435" s="54">
        <f t="shared" si="14"/>
        <v>3.3944331296673624E-3</v>
      </c>
    </row>
    <row r="436" spans="2:8" x14ac:dyDescent="0.25">
      <c r="B436" s="60">
        <v>44428</v>
      </c>
      <c r="C436" s="5">
        <v>102.02</v>
      </c>
      <c r="D436" s="54">
        <f t="shared" si="15"/>
        <v>5.9159929008083534E-3</v>
      </c>
      <c r="F436" s="59" t="s">
        <v>1072</v>
      </c>
      <c r="G436" s="5">
        <v>14.75</v>
      </c>
      <c r="H436" s="54">
        <f t="shared" si="14"/>
        <v>-2.0297699594045149E-3</v>
      </c>
    </row>
    <row r="437" spans="2:8" x14ac:dyDescent="0.25">
      <c r="B437" s="60">
        <v>44431</v>
      </c>
      <c r="C437" s="5">
        <v>103.05</v>
      </c>
      <c r="D437" s="54">
        <f t="shared" si="15"/>
        <v>1.0096059596157669E-2</v>
      </c>
      <c r="F437" s="59" t="s">
        <v>1071</v>
      </c>
      <c r="G437" s="5">
        <v>14.74</v>
      </c>
      <c r="H437" s="54">
        <f t="shared" si="14"/>
        <v>-6.7796610169490457E-4</v>
      </c>
    </row>
    <row r="438" spans="2:8" x14ac:dyDescent="0.25">
      <c r="B438" s="60">
        <v>44432</v>
      </c>
      <c r="C438" s="5">
        <v>103.52</v>
      </c>
      <c r="D438" s="54">
        <f t="shared" si="15"/>
        <v>4.5608927704996471E-3</v>
      </c>
      <c r="F438" s="59" t="s">
        <v>1070</v>
      </c>
      <c r="G438" s="5">
        <v>14.72</v>
      </c>
      <c r="H438" s="54">
        <f t="shared" si="14"/>
        <v>-1.3568521031207537E-3</v>
      </c>
    </row>
    <row r="439" spans="2:8" x14ac:dyDescent="0.25">
      <c r="B439" s="60">
        <v>44433</v>
      </c>
      <c r="C439" s="5">
        <v>103.65</v>
      </c>
      <c r="D439" s="54">
        <f t="shared" si="15"/>
        <v>1.2557959814529784E-3</v>
      </c>
      <c r="F439" s="59" t="s">
        <v>1069</v>
      </c>
      <c r="G439" s="5">
        <v>14.71</v>
      </c>
      <c r="H439" s="54">
        <f t="shared" si="14"/>
        <v>-6.7934782608691791E-4</v>
      </c>
    </row>
    <row r="440" spans="2:8" x14ac:dyDescent="0.25">
      <c r="B440" s="60">
        <v>44434</v>
      </c>
      <c r="C440" s="5">
        <v>102.99</v>
      </c>
      <c r="D440" s="54">
        <f t="shared" si="15"/>
        <v>-6.3675832127352283E-3</v>
      </c>
      <c r="F440" s="59" t="s">
        <v>1068</v>
      </c>
      <c r="G440" s="5">
        <v>14.73</v>
      </c>
      <c r="H440" s="54">
        <f t="shared" si="14"/>
        <v>1.3596193065941176E-3</v>
      </c>
    </row>
    <row r="441" spans="2:8" x14ac:dyDescent="0.25">
      <c r="B441" s="60">
        <v>44435</v>
      </c>
      <c r="C441" s="5">
        <v>103.98</v>
      </c>
      <c r="D441" s="54">
        <f t="shared" si="15"/>
        <v>9.6125837459948293E-3</v>
      </c>
      <c r="F441" s="59" t="s">
        <v>1067</v>
      </c>
      <c r="G441" s="5">
        <v>14.74</v>
      </c>
      <c r="H441" s="54">
        <f t="shared" si="14"/>
        <v>6.788866259335169E-4</v>
      </c>
    </row>
    <row r="442" spans="2:8" x14ac:dyDescent="0.25">
      <c r="B442" s="60">
        <v>44438</v>
      </c>
      <c r="C442" s="5">
        <v>104.26</v>
      </c>
      <c r="D442" s="54">
        <f t="shared" si="15"/>
        <v>2.6928255433738002E-3</v>
      </c>
      <c r="F442" s="59" t="s">
        <v>1066</v>
      </c>
      <c r="G442" s="5">
        <v>14.72</v>
      </c>
      <c r="H442" s="54">
        <f t="shared" si="14"/>
        <v>-1.3568521031207537E-3</v>
      </c>
    </row>
    <row r="443" spans="2:8" x14ac:dyDescent="0.25">
      <c r="B443" s="60">
        <v>44439</v>
      </c>
      <c r="C443" s="5">
        <v>104.33</v>
      </c>
      <c r="D443" s="54">
        <f t="shared" si="15"/>
        <v>6.7139842700925101E-4</v>
      </c>
      <c r="F443" s="59" t="s">
        <v>1065</v>
      </c>
      <c r="G443" s="5">
        <v>14.69</v>
      </c>
      <c r="H443" s="54">
        <f t="shared" si="14"/>
        <v>-2.0380434782609758E-3</v>
      </c>
    </row>
    <row r="444" spans="2:8" x14ac:dyDescent="0.25">
      <c r="B444" s="60">
        <v>44440</v>
      </c>
      <c r="C444" s="5">
        <v>104.76</v>
      </c>
      <c r="D444" s="54">
        <f t="shared" si="15"/>
        <v>4.1215374293108731E-3</v>
      </c>
      <c r="F444" s="59" t="s">
        <v>1064</v>
      </c>
      <c r="G444" s="5">
        <v>14.7</v>
      </c>
      <c r="H444" s="54">
        <f t="shared" si="14"/>
        <v>6.8073519400946303E-4</v>
      </c>
    </row>
    <row r="445" spans="2:8" x14ac:dyDescent="0.25">
      <c r="B445" s="60">
        <v>44441</v>
      </c>
      <c r="C445" s="5">
        <v>105.05</v>
      </c>
      <c r="D445" s="54">
        <f t="shared" si="15"/>
        <v>2.7682321496753648E-3</v>
      </c>
      <c r="F445" s="59" t="s">
        <v>1063</v>
      </c>
      <c r="G445" s="5">
        <v>14.74</v>
      </c>
      <c r="H445" s="54">
        <f t="shared" si="14"/>
        <v>2.7210884353741083E-3</v>
      </c>
    </row>
    <row r="446" spans="2:8" x14ac:dyDescent="0.25">
      <c r="B446" s="60">
        <v>44442</v>
      </c>
      <c r="C446" s="5">
        <v>105.29</v>
      </c>
      <c r="D446" s="54">
        <f t="shared" si="15"/>
        <v>2.2846263683959922E-3</v>
      </c>
      <c r="F446" s="59" t="s">
        <v>1062</v>
      </c>
      <c r="G446" s="5">
        <v>14.73</v>
      </c>
      <c r="H446" s="54">
        <f t="shared" si="14"/>
        <v>-6.7842605156032132E-4</v>
      </c>
    </row>
    <row r="447" spans="2:8" x14ac:dyDescent="0.25">
      <c r="B447" s="60">
        <v>44446</v>
      </c>
      <c r="C447" s="5">
        <v>105.13</v>
      </c>
      <c r="D447" s="54">
        <f t="shared" si="15"/>
        <v>-1.5196124988129389E-3</v>
      </c>
      <c r="F447" s="59" t="s">
        <v>1061</v>
      </c>
      <c r="G447" s="5">
        <v>14.76</v>
      </c>
      <c r="H447" s="54">
        <f t="shared" si="14"/>
        <v>2.0366598778003286E-3</v>
      </c>
    </row>
    <row r="448" spans="2:8" x14ac:dyDescent="0.25">
      <c r="B448" s="60">
        <v>44447</v>
      </c>
      <c r="C448" s="5">
        <v>104.57</v>
      </c>
      <c r="D448" s="54">
        <f t="shared" si="15"/>
        <v>-5.326738323979896E-3</v>
      </c>
      <c r="F448" s="59" t="s">
        <v>1060</v>
      </c>
      <c r="G448" s="5">
        <v>14.77</v>
      </c>
      <c r="H448" s="54">
        <f t="shared" si="14"/>
        <v>6.7750677506772661E-4</v>
      </c>
    </row>
    <row r="449" spans="2:8" x14ac:dyDescent="0.25">
      <c r="B449" s="60">
        <v>44448</v>
      </c>
      <c r="C449" s="5">
        <v>104.29</v>
      </c>
      <c r="D449" s="54">
        <f t="shared" si="15"/>
        <v>-2.6776322080901416E-3</v>
      </c>
      <c r="F449" s="59" t="s">
        <v>1059</v>
      </c>
      <c r="G449" s="5">
        <v>14.78</v>
      </c>
      <c r="H449" s="54">
        <f t="shared" si="14"/>
        <v>6.7704807041302217E-4</v>
      </c>
    </row>
    <row r="450" spans="2:8" x14ac:dyDescent="0.25">
      <c r="B450" s="60">
        <v>44449</v>
      </c>
      <c r="C450" s="5">
        <v>103.68</v>
      </c>
      <c r="D450" s="54">
        <f t="shared" si="15"/>
        <v>-5.8490746955603967E-3</v>
      </c>
      <c r="F450" s="59" t="s">
        <v>1058</v>
      </c>
      <c r="G450" s="5">
        <v>14.73</v>
      </c>
      <c r="H450" s="54">
        <f t="shared" si="14"/>
        <v>-3.3829499323408951E-3</v>
      </c>
    </row>
    <row r="451" spans="2:8" x14ac:dyDescent="0.25">
      <c r="B451" s="60">
        <v>44452</v>
      </c>
      <c r="C451" s="5">
        <v>104.06</v>
      </c>
      <c r="D451" s="54">
        <f t="shared" si="15"/>
        <v>3.6651234567901536E-3</v>
      </c>
      <c r="F451" s="59" t="s">
        <v>1057</v>
      </c>
      <c r="G451" s="5">
        <v>14.7</v>
      </c>
      <c r="H451" s="54">
        <f t="shared" si="14"/>
        <v>-2.0366598778004397E-3</v>
      </c>
    </row>
    <row r="452" spans="2:8" x14ac:dyDescent="0.25">
      <c r="B452" s="60">
        <v>44453</v>
      </c>
      <c r="C452" s="5">
        <v>103.44</v>
      </c>
      <c r="D452" s="54">
        <f t="shared" si="15"/>
        <v>-5.9581010955218616E-3</v>
      </c>
      <c r="F452" s="59" t="s">
        <v>1056</v>
      </c>
      <c r="G452" s="5">
        <v>14.73</v>
      </c>
      <c r="H452" s="54">
        <f t="shared" si="14"/>
        <v>2.0408163265306367E-3</v>
      </c>
    </row>
    <row r="453" spans="2:8" x14ac:dyDescent="0.25">
      <c r="B453" s="60">
        <v>44454</v>
      </c>
      <c r="C453" s="5">
        <v>104.06</v>
      </c>
      <c r="D453" s="54">
        <f t="shared" si="15"/>
        <v>5.9938128383605349E-3</v>
      </c>
      <c r="F453" s="59" t="s">
        <v>1055</v>
      </c>
      <c r="G453" s="5">
        <v>14.75</v>
      </c>
      <c r="H453" s="54">
        <f t="shared" si="14"/>
        <v>1.3577732518668117E-3</v>
      </c>
    </row>
    <row r="454" spans="2:8" x14ac:dyDescent="0.25">
      <c r="B454" s="60">
        <v>44455</v>
      </c>
      <c r="C454" s="5">
        <v>103.79</v>
      </c>
      <c r="D454" s="54">
        <f t="shared" si="15"/>
        <v>-2.5946569286949828E-3</v>
      </c>
      <c r="F454" s="59" t="s">
        <v>1054</v>
      </c>
      <c r="G454" s="5">
        <v>14.73</v>
      </c>
      <c r="H454" s="54">
        <f t="shared" si="14"/>
        <v>-1.3559322033898091E-3</v>
      </c>
    </row>
    <row r="455" spans="2:8" x14ac:dyDescent="0.25">
      <c r="B455" s="60">
        <v>44456</v>
      </c>
      <c r="C455" s="5">
        <v>102.76</v>
      </c>
      <c r="D455" s="54">
        <f t="shared" si="15"/>
        <v>-9.923884767318647E-3</v>
      </c>
      <c r="F455" s="59" t="s">
        <v>1053</v>
      </c>
      <c r="G455" s="5">
        <v>14.75</v>
      </c>
      <c r="H455" s="54">
        <f t="shared" si="14"/>
        <v>1.3577732518668117E-3</v>
      </c>
    </row>
    <row r="456" spans="2:8" x14ac:dyDescent="0.25">
      <c r="B456" s="60">
        <v>44459</v>
      </c>
      <c r="C456" s="5">
        <v>100.95</v>
      </c>
      <c r="D456" s="54">
        <f t="shared" si="15"/>
        <v>-1.7613857532113641E-2</v>
      </c>
      <c r="F456" s="59" t="s">
        <v>1052</v>
      </c>
      <c r="G456" s="5">
        <v>14.77</v>
      </c>
      <c r="H456" s="54">
        <f t="shared" si="14"/>
        <v>1.3559322033898091E-3</v>
      </c>
    </row>
    <row r="457" spans="2:8" x14ac:dyDescent="0.25">
      <c r="B457" s="60">
        <v>44460</v>
      </c>
      <c r="C457" s="5">
        <v>101.19</v>
      </c>
      <c r="D457" s="54">
        <f t="shared" si="15"/>
        <v>2.3774145616641817E-3</v>
      </c>
      <c r="F457" s="59" t="s">
        <v>1051</v>
      </c>
      <c r="G457" s="5">
        <v>14.71</v>
      </c>
      <c r="H457" s="54">
        <f t="shared" si="14"/>
        <v>-4.062288422477911E-3</v>
      </c>
    </row>
    <row r="458" spans="2:8" x14ac:dyDescent="0.25">
      <c r="B458" s="60">
        <v>44461</v>
      </c>
      <c r="C458" s="5">
        <v>102.12</v>
      </c>
      <c r="D458" s="54">
        <f t="shared" si="15"/>
        <v>9.1906314853247295E-3</v>
      </c>
      <c r="F458" s="59" t="s">
        <v>1050</v>
      </c>
      <c r="G458" s="5">
        <v>14.69</v>
      </c>
      <c r="H458" s="54">
        <f t="shared" si="14"/>
        <v>-1.3596193065942286E-3</v>
      </c>
    </row>
    <row r="459" spans="2:8" x14ac:dyDescent="0.25">
      <c r="B459" s="60">
        <v>44462</v>
      </c>
      <c r="C459" s="5">
        <v>103.24</v>
      </c>
      <c r="D459" s="54">
        <f t="shared" si="15"/>
        <v>1.0967489228358662E-2</v>
      </c>
      <c r="F459" s="59" t="s">
        <v>1049</v>
      </c>
      <c r="G459" s="5">
        <v>14.67</v>
      </c>
      <c r="H459" s="54">
        <f t="shared" si="14"/>
        <v>-1.3614703880190371E-3</v>
      </c>
    </row>
    <row r="460" spans="2:8" x14ac:dyDescent="0.25">
      <c r="B460" s="60">
        <v>44463</v>
      </c>
      <c r="C460" s="5">
        <v>102.95</v>
      </c>
      <c r="D460" s="54">
        <f t="shared" si="15"/>
        <v>-2.8089887640448952E-3</v>
      </c>
      <c r="F460" s="59" t="s">
        <v>1048</v>
      </c>
      <c r="G460" s="5">
        <v>14.69</v>
      </c>
      <c r="H460" s="54">
        <f t="shared" si="14"/>
        <v>1.3633265167007913E-3</v>
      </c>
    </row>
    <row r="461" spans="2:8" x14ac:dyDescent="0.25">
      <c r="B461" s="60">
        <v>44466</v>
      </c>
      <c r="C461" s="5">
        <v>102.84</v>
      </c>
      <c r="D461" s="54">
        <f t="shared" si="15"/>
        <v>-1.068479844584691E-3</v>
      </c>
      <c r="F461" s="59" t="s">
        <v>1047</v>
      </c>
      <c r="G461" s="5">
        <v>14.69</v>
      </c>
      <c r="H461" s="54">
        <f t="shared" si="14"/>
        <v>0</v>
      </c>
    </row>
    <row r="462" spans="2:8" x14ac:dyDescent="0.25">
      <c r="B462" s="60">
        <v>44467</v>
      </c>
      <c r="C462" s="5">
        <v>100.81</v>
      </c>
      <c r="D462" s="54">
        <f t="shared" si="15"/>
        <v>-1.9739401011279689E-2</v>
      </c>
      <c r="F462" s="59" t="s">
        <v>1046</v>
      </c>
      <c r="G462" s="5">
        <v>14.69</v>
      </c>
      <c r="H462" s="54">
        <f t="shared" si="14"/>
        <v>0</v>
      </c>
    </row>
    <row r="463" spans="2:8" x14ac:dyDescent="0.25">
      <c r="B463" s="60">
        <v>44468</v>
      </c>
      <c r="C463" s="5">
        <v>100.64</v>
      </c>
      <c r="D463" s="54">
        <f t="shared" si="15"/>
        <v>-1.6863406408094139E-3</v>
      </c>
      <c r="F463" s="59" t="s">
        <v>1045</v>
      </c>
      <c r="G463" s="5">
        <v>14.61</v>
      </c>
      <c r="H463" s="54">
        <f t="shared" si="14"/>
        <v>-5.4458815520762593E-3</v>
      </c>
    </row>
    <row r="464" spans="2:8" x14ac:dyDescent="0.25">
      <c r="B464" s="60">
        <v>44469</v>
      </c>
      <c r="C464" s="5">
        <v>99.92</v>
      </c>
      <c r="D464" s="54">
        <f t="shared" si="15"/>
        <v>-7.1542130365659373E-3</v>
      </c>
      <c r="F464" s="59" t="s">
        <v>1044</v>
      </c>
      <c r="G464" s="5">
        <v>14.6</v>
      </c>
      <c r="H464" s="54">
        <f t="shared" si="14"/>
        <v>-6.8446269678301697E-4</v>
      </c>
    </row>
    <row r="465" spans="2:8" x14ac:dyDescent="0.25">
      <c r="B465" s="60">
        <v>44470</v>
      </c>
      <c r="C465" s="5">
        <v>100.76</v>
      </c>
      <c r="D465" s="54">
        <f t="shared" si="15"/>
        <v>8.4067253803041808E-3</v>
      </c>
      <c r="F465" s="59" t="s">
        <v>1043</v>
      </c>
      <c r="G465" s="5">
        <v>14.52</v>
      </c>
      <c r="H465" s="54">
        <f t="shared" si="14"/>
        <v>-5.479452054794498E-3</v>
      </c>
    </row>
    <row r="466" spans="2:8" x14ac:dyDescent="0.25">
      <c r="B466" s="60">
        <v>44473</v>
      </c>
      <c r="C466" s="5">
        <v>99.52</v>
      </c>
      <c r="D466" s="54">
        <f t="shared" si="15"/>
        <v>-1.2306470821754734E-2</v>
      </c>
      <c r="F466" s="59" t="s">
        <v>1042</v>
      </c>
      <c r="G466" s="5">
        <v>14.52</v>
      </c>
      <c r="H466" s="54">
        <f t="shared" si="14"/>
        <v>0</v>
      </c>
    </row>
    <row r="467" spans="2:8" x14ac:dyDescent="0.25">
      <c r="B467" s="60">
        <v>44474</v>
      </c>
      <c r="C467" s="5">
        <v>100.38</v>
      </c>
      <c r="D467" s="54">
        <f t="shared" si="15"/>
        <v>8.6414790996784951E-3</v>
      </c>
      <c r="F467" s="59" t="s">
        <v>1041</v>
      </c>
      <c r="G467" s="5">
        <v>14.49</v>
      </c>
      <c r="H467" s="54">
        <f t="shared" si="14"/>
        <v>-2.0661157024792765E-3</v>
      </c>
    </row>
    <row r="468" spans="2:8" x14ac:dyDescent="0.25">
      <c r="B468" s="60">
        <v>44475</v>
      </c>
      <c r="C468" s="5">
        <v>100.46</v>
      </c>
      <c r="D468" s="54">
        <f t="shared" si="15"/>
        <v>7.9697150826851804E-4</v>
      </c>
      <c r="F468" s="59" t="s">
        <v>1040</v>
      </c>
      <c r="G468" s="5">
        <v>14.53</v>
      </c>
      <c r="H468" s="54">
        <f t="shared" si="14"/>
        <v>2.760524499654915E-3</v>
      </c>
    </row>
    <row r="469" spans="2:8" x14ac:dyDescent="0.25">
      <c r="B469" s="60">
        <v>44476</v>
      </c>
      <c r="C469" s="5">
        <v>101.56</v>
      </c>
      <c r="D469" s="54">
        <f t="shared" si="15"/>
        <v>1.0949631694206818E-2</v>
      </c>
      <c r="F469" s="59" t="s">
        <v>1039</v>
      </c>
      <c r="G469" s="5">
        <v>14.53</v>
      </c>
      <c r="H469" s="54">
        <f t="shared" ref="H469:H530" si="16">G469/G468-1</f>
        <v>0</v>
      </c>
    </row>
    <row r="470" spans="2:8" x14ac:dyDescent="0.25">
      <c r="B470" s="60">
        <v>44477</v>
      </c>
      <c r="C470" s="5">
        <v>101.45</v>
      </c>
      <c r="D470" s="54">
        <f t="shared" ref="D470:D528" si="17">C470/C469-1</f>
        <v>-1.0831035840882519E-3</v>
      </c>
      <c r="F470" s="59" t="s">
        <v>1038</v>
      </c>
      <c r="G470" s="5">
        <v>14.51</v>
      </c>
      <c r="H470" s="54">
        <f t="shared" si="16"/>
        <v>-1.3764624913971124E-3</v>
      </c>
    </row>
    <row r="471" spans="2:8" x14ac:dyDescent="0.25">
      <c r="B471" s="60">
        <v>44480</v>
      </c>
      <c r="C471" s="5">
        <v>100.85</v>
      </c>
      <c r="D471" s="54">
        <f t="shared" si="17"/>
        <v>-5.9142434696896062E-3</v>
      </c>
      <c r="F471" s="59" t="s">
        <v>1037</v>
      </c>
      <c r="G471" s="5">
        <v>14.47</v>
      </c>
      <c r="H471" s="54">
        <f t="shared" si="16"/>
        <v>-2.7567195037904169E-3</v>
      </c>
    </row>
    <row r="472" spans="2:8" x14ac:dyDescent="0.25">
      <c r="B472" s="60">
        <v>44481</v>
      </c>
      <c r="C472" s="5">
        <v>100.72</v>
      </c>
      <c r="D472" s="54">
        <f t="shared" si="17"/>
        <v>-1.2890431333663077E-3</v>
      </c>
      <c r="F472" s="59" t="s">
        <v>1036</v>
      </c>
      <c r="G472" s="5">
        <v>14.48</v>
      </c>
      <c r="H472" s="54">
        <f t="shared" si="16"/>
        <v>6.9108500345538282E-4</v>
      </c>
    </row>
    <row r="473" spans="2:8" x14ac:dyDescent="0.25">
      <c r="B473" s="60">
        <v>44482</v>
      </c>
      <c r="C473" s="5">
        <v>101.48</v>
      </c>
      <c r="D473" s="54">
        <f t="shared" si="17"/>
        <v>7.5456711675934152E-3</v>
      </c>
      <c r="F473" s="59" t="s">
        <v>1035</v>
      </c>
      <c r="G473" s="5">
        <v>14.45</v>
      </c>
      <c r="H473" s="54">
        <f t="shared" si="16"/>
        <v>-2.0718232044200091E-3</v>
      </c>
    </row>
    <row r="474" spans="2:8" x14ac:dyDescent="0.25">
      <c r="B474" s="60">
        <v>44483</v>
      </c>
      <c r="C474" s="5">
        <v>102.79</v>
      </c>
      <c r="D474" s="54">
        <f t="shared" si="17"/>
        <v>1.2908947575877017E-2</v>
      </c>
      <c r="F474" s="59" t="s">
        <v>1034</v>
      </c>
      <c r="G474" s="5">
        <v>14.39</v>
      </c>
      <c r="H474" s="54">
        <f t="shared" si="16"/>
        <v>-4.1522491349480495E-3</v>
      </c>
    </row>
    <row r="475" spans="2:8" x14ac:dyDescent="0.25">
      <c r="B475" s="60">
        <v>44484</v>
      </c>
      <c r="C475" s="5">
        <v>103.63</v>
      </c>
      <c r="D475" s="54">
        <f t="shared" si="17"/>
        <v>8.1720011674286663E-3</v>
      </c>
      <c r="F475" s="59" t="s">
        <v>1033</v>
      </c>
      <c r="G475" s="5">
        <v>14.43</v>
      </c>
      <c r="H475" s="54">
        <f t="shared" si="16"/>
        <v>2.7797081306462079E-3</v>
      </c>
    </row>
    <row r="476" spans="2:8" x14ac:dyDescent="0.25">
      <c r="B476" s="60">
        <v>44487</v>
      </c>
      <c r="C476" s="5">
        <v>103.69</v>
      </c>
      <c r="D476" s="54">
        <f t="shared" si="17"/>
        <v>5.7898292000380103E-4</v>
      </c>
      <c r="F476" s="59" t="s">
        <v>1032</v>
      </c>
      <c r="G476" s="5">
        <v>14.48</v>
      </c>
      <c r="H476" s="54">
        <f t="shared" si="16"/>
        <v>3.4650034650034467E-3</v>
      </c>
    </row>
    <row r="477" spans="2:8" x14ac:dyDescent="0.25">
      <c r="B477" s="60">
        <v>44488</v>
      </c>
      <c r="C477" s="5">
        <v>104.57</v>
      </c>
      <c r="D477" s="54">
        <f t="shared" si="17"/>
        <v>8.4868357604397371E-3</v>
      </c>
      <c r="F477" s="59" t="s">
        <v>1031</v>
      </c>
      <c r="G477" s="5">
        <v>14.46</v>
      </c>
      <c r="H477" s="54">
        <f t="shared" si="16"/>
        <v>-1.3812154696132284E-3</v>
      </c>
    </row>
    <row r="478" spans="2:8" x14ac:dyDescent="0.25">
      <c r="B478" s="60">
        <v>44489</v>
      </c>
      <c r="C478" s="5">
        <v>104.88</v>
      </c>
      <c r="D478" s="54">
        <f t="shared" si="17"/>
        <v>2.9645213732427678E-3</v>
      </c>
      <c r="F478" s="59" t="s">
        <v>1030</v>
      </c>
      <c r="G478" s="5">
        <v>14.46</v>
      </c>
      <c r="H478" s="54">
        <f t="shared" si="16"/>
        <v>0</v>
      </c>
    </row>
    <row r="479" spans="2:8" x14ac:dyDescent="0.25">
      <c r="B479" s="60">
        <v>44490</v>
      </c>
      <c r="C479" s="5">
        <v>104.9</v>
      </c>
      <c r="D479" s="54">
        <f t="shared" si="17"/>
        <v>1.9069412662098273E-4</v>
      </c>
      <c r="F479" s="59" t="s">
        <v>1029</v>
      </c>
      <c r="G479" s="5">
        <v>14.48</v>
      </c>
      <c r="H479" s="54">
        <f t="shared" si="16"/>
        <v>1.3831258644536604E-3</v>
      </c>
    </row>
    <row r="480" spans="2:8" x14ac:dyDescent="0.25">
      <c r="B480" s="60">
        <v>44491</v>
      </c>
      <c r="C480" s="5">
        <v>104.91</v>
      </c>
      <c r="D480" s="54">
        <f t="shared" si="17"/>
        <v>9.5328884651912915E-5</v>
      </c>
      <c r="F480" s="59" t="s">
        <v>1028</v>
      </c>
      <c r="G480" s="5">
        <v>14.46</v>
      </c>
      <c r="H480" s="54">
        <f t="shared" si="16"/>
        <v>-1.3812154696132284E-3</v>
      </c>
    </row>
    <row r="481" spans="2:8" x14ac:dyDescent="0.25">
      <c r="B481" s="60">
        <v>44494</v>
      </c>
      <c r="C481" s="5">
        <v>105.27</v>
      </c>
      <c r="D481" s="54">
        <f t="shared" si="17"/>
        <v>3.4315127251929312E-3</v>
      </c>
      <c r="F481" s="59" t="s">
        <v>1027</v>
      </c>
      <c r="G481" s="5">
        <v>14.45</v>
      </c>
      <c r="H481" s="54">
        <f t="shared" si="16"/>
        <v>-6.9156293222694121E-4</v>
      </c>
    </row>
    <row r="482" spans="2:8" x14ac:dyDescent="0.25">
      <c r="B482" s="60">
        <v>44495</v>
      </c>
      <c r="C482" s="5">
        <v>105.21</v>
      </c>
      <c r="D482" s="54">
        <f t="shared" si="17"/>
        <v>-5.6996295240807626E-4</v>
      </c>
      <c r="F482" s="59" t="s">
        <v>1026</v>
      </c>
      <c r="G482" s="5">
        <v>14.46</v>
      </c>
      <c r="H482" s="54">
        <f t="shared" si="16"/>
        <v>6.9204152249136008E-4</v>
      </c>
    </row>
    <row r="483" spans="2:8" x14ac:dyDescent="0.25">
      <c r="B483" s="60">
        <v>44496</v>
      </c>
      <c r="C483" s="5">
        <v>104.69</v>
      </c>
      <c r="D483" s="54">
        <f t="shared" si="17"/>
        <v>-4.942495960460036E-3</v>
      </c>
      <c r="F483" s="59" t="s">
        <v>1025</v>
      </c>
      <c r="G483" s="5">
        <v>14.45</v>
      </c>
      <c r="H483" s="54">
        <f t="shared" si="16"/>
        <v>-6.9156293222694121E-4</v>
      </c>
    </row>
    <row r="484" spans="2:8" x14ac:dyDescent="0.25">
      <c r="B484" s="60">
        <v>44497</v>
      </c>
      <c r="C484" s="5">
        <v>105.6</v>
      </c>
      <c r="D484" s="54">
        <f t="shared" si="17"/>
        <v>8.6923297354093432E-3</v>
      </c>
      <c r="F484" s="59" t="s">
        <v>1024</v>
      </c>
      <c r="G484" s="5">
        <v>14.46</v>
      </c>
      <c r="H484" s="54">
        <f t="shared" si="16"/>
        <v>6.9204152249136008E-4</v>
      </c>
    </row>
    <row r="485" spans="2:8" x14ac:dyDescent="0.25">
      <c r="B485" s="60">
        <v>44498</v>
      </c>
      <c r="C485" s="5">
        <v>105.31</v>
      </c>
      <c r="D485" s="54">
        <f t="shared" si="17"/>
        <v>-2.746212121212066E-3</v>
      </c>
      <c r="F485" s="59" t="s">
        <v>1023</v>
      </c>
      <c r="G485" s="5">
        <v>14.51</v>
      </c>
      <c r="H485" s="54">
        <f t="shared" si="16"/>
        <v>3.4578146611341509E-3</v>
      </c>
    </row>
    <row r="486" spans="2:8" x14ac:dyDescent="0.25">
      <c r="B486" s="60">
        <v>44501</v>
      </c>
      <c r="C486" s="5">
        <v>105.84</v>
      </c>
      <c r="D486" s="54">
        <f t="shared" si="17"/>
        <v>5.0327604216124922E-3</v>
      </c>
      <c r="F486" s="59" t="s">
        <v>1022</v>
      </c>
      <c r="G486" s="5">
        <v>14.55</v>
      </c>
      <c r="H486" s="54">
        <f t="shared" si="16"/>
        <v>2.7567195037905279E-3</v>
      </c>
    </row>
    <row r="487" spans="2:8" x14ac:dyDescent="0.25">
      <c r="B487" s="60">
        <v>44502</v>
      </c>
      <c r="C487" s="5">
        <v>105.9</v>
      </c>
      <c r="D487" s="54">
        <f t="shared" si="17"/>
        <v>5.6689342403637433E-4</v>
      </c>
      <c r="F487" s="59" t="s">
        <v>1021</v>
      </c>
      <c r="G487" s="5">
        <v>14.5</v>
      </c>
      <c r="H487" s="54">
        <f t="shared" si="16"/>
        <v>-3.4364261168385868E-3</v>
      </c>
    </row>
    <row r="488" spans="2:8" x14ac:dyDescent="0.25">
      <c r="B488" s="60">
        <v>44503</v>
      </c>
      <c r="C488" s="5">
        <v>106.58</v>
      </c>
      <c r="D488" s="54">
        <f t="shared" si="17"/>
        <v>6.4211520302170921E-3</v>
      </c>
      <c r="F488" s="59" t="s">
        <v>1020</v>
      </c>
      <c r="G488" s="5">
        <v>14.5</v>
      </c>
      <c r="H488" s="54">
        <f t="shared" si="16"/>
        <v>0</v>
      </c>
    </row>
    <row r="489" spans="2:8" x14ac:dyDescent="0.25">
      <c r="B489" s="60">
        <v>44504</v>
      </c>
      <c r="C489" s="5">
        <v>106.81</v>
      </c>
      <c r="D489" s="54">
        <f t="shared" si="17"/>
        <v>2.1580033777444108E-3</v>
      </c>
      <c r="F489" s="59" t="s">
        <v>1019</v>
      </c>
      <c r="G489" s="5">
        <v>14.49</v>
      </c>
      <c r="H489" s="54">
        <f t="shared" si="16"/>
        <v>-6.8965517241381669E-4</v>
      </c>
    </row>
    <row r="490" spans="2:8" x14ac:dyDescent="0.25">
      <c r="B490" s="60">
        <v>44505</v>
      </c>
      <c r="C490" s="5">
        <v>107.02</v>
      </c>
      <c r="D490" s="54">
        <f t="shared" si="17"/>
        <v>1.9661080423181154E-3</v>
      </c>
      <c r="F490" s="59" t="s">
        <v>1018</v>
      </c>
      <c r="G490" s="5">
        <v>14.5</v>
      </c>
      <c r="H490" s="54">
        <f t="shared" si="16"/>
        <v>6.9013112491367323E-4</v>
      </c>
    </row>
    <row r="491" spans="2:8" x14ac:dyDescent="0.25">
      <c r="B491" s="60">
        <v>44508</v>
      </c>
      <c r="C491" s="5">
        <v>107.22</v>
      </c>
      <c r="D491" s="54">
        <f t="shared" si="17"/>
        <v>1.868809568305041E-3</v>
      </c>
      <c r="F491" s="59" t="s">
        <v>1017</v>
      </c>
      <c r="G491" s="5">
        <v>14.48</v>
      </c>
      <c r="H491" s="54">
        <f t="shared" si="16"/>
        <v>-1.3793103448275223E-3</v>
      </c>
    </row>
    <row r="492" spans="2:8" x14ac:dyDescent="0.25">
      <c r="B492" s="60">
        <v>44509</v>
      </c>
      <c r="C492" s="5">
        <v>106.95</v>
      </c>
      <c r="D492" s="54">
        <f t="shared" si="17"/>
        <v>-2.5181869054280437E-3</v>
      </c>
      <c r="F492" s="59" t="s">
        <v>1016</v>
      </c>
      <c r="G492" s="5">
        <v>14.5</v>
      </c>
      <c r="H492" s="54">
        <f t="shared" si="16"/>
        <v>1.3812154696133394E-3</v>
      </c>
    </row>
    <row r="493" spans="2:8" x14ac:dyDescent="0.25">
      <c r="B493" s="60">
        <v>44510</v>
      </c>
      <c r="C493" s="5">
        <v>105.98</v>
      </c>
      <c r="D493" s="54">
        <f t="shared" si="17"/>
        <v>-9.0696587190275402E-3</v>
      </c>
      <c r="F493" s="59" t="s">
        <v>1015</v>
      </c>
      <c r="G493" s="5">
        <v>14.54</v>
      </c>
      <c r="H493" s="54">
        <f t="shared" si="16"/>
        <v>2.7586206896550447E-3</v>
      </c>
    </row>
    <row r="494" spans="2:8" x14ac:dyDescent="0.25">
      <c r="B494" s="60">
        <v>44511</v>
      </c>
      <c r="C494" s="5">
        <v>106.33</v>
      </c>
      <c r="D494" s="54">
        <f t="shared" si="17"/>
        <v>3.3025099075296716E-3</v>
      </c>
      <c r="F494" s="59" t="s">
        <v>1014</v>
      </c>
      <c r="G494" s="5">
        <v>14.58</v>
      </c>
      <c r="H494" s="54">
        <f t="shared" si="16"/>
        <v>2.7510316368639653E-3</v>
      </c>
    </row>
    <row r="495" spans="2:8" x14ac:dyDescent="0.25">
      <c r="B495" s="60">
        <v>44512</v>
      </c>
      <c r="C495" s="5">
        <v>107.07</v>
      </c>
      <c r="D495" s="54">
        <f t="shared" si="17"/>
        <v>6.9594658139753296E-3</v>
      </c>
      <c r="F495" s="59" t="s">
        <v>1013</v>
      </c>
      <c r="G495" s="5">
        <v>14.62</v>
      </c>
      <c r="H495" s="54">
        <f t="shared" si="16"/>
        <v>2.7434842249656199E-3</v>
      </c>
    </row>
    <row r="496" spans="2:8" x14ac:dyDescent="0.25">
      <c r="B496" s="60">
        <v>44515</v>
      </c>
      <c r="C496" s="5">
        <v>107.01</v>
      </c>
      <c r="D496" s="54">
        <f t="shared" si="17"/>
        <v>-5.6038105912004088E-4</v>
      </c>
      <c r="F496" s="59" t="s">
        <v>1012</v>
      </c>
      <c r="G496" s="5">
        <v>14.58</v>
      </c>
      <c r="H496" s="54">
        <f t="shared" si="16"/>
        <v>-2.7359781121750748E-3</v>
      </c>
    </row>
    <row r="497" spans="2:8" x14ac:dyDescent="0.25">
      <c r="B497" s="60">
        <v>44516</v>
      </c>
      <c r="C497" s="5">
        <v>107.23</v>
      </c>
      <c r="D497" s="54">
        <f t="shared" si="17"/>
        <v>2.0558826277918829E-3</v>
      </c>
      <c r="F497" s="59" t="s">
        <v>1011</v>
      </c>
      <c r="G497" s="5">
        <v>14.47</v>
      </c>
      <c r="H497" s="54">
        <f t="shared" si="16"/>
        <v>-7.5445816186556769E-3</v>
      </c>
    </row>
    <row r="498" spans="2:8" x14ac:dyDescent="0.25">
      <c r="B498" s="60">
        <v>44517</v>
      </c>
      <c r="C498" s="5">
        <v>106.93</v>
      </c>
      <c r="D498" s="54">
        <f t="shared" si="17"/>
        <v>-2.7977245173924636E-3</v>
      </c>
      <c r="F498" s="59" t="s">
        <v>1010</v>
      </c>
      <c r="G498" s="5">
        <v>14.46</v>
      </c>
      <c r="H498" s="54">
        <f t="shared" si="16"/>
        <v>-6.9108500345538282E-4</v>
      </c>
    </row>
    <row r="499" spans="2:8" x14ac:dyDescent="0.25">
      <c r="B499" s="60">
        <v>44518</v>
      </c>
      <c r="C499" s="5">
        <v>106.96</v>
      </c>
      <c r="D499" s="54">
        <f t="shared" si="17"/>
        <v>2.8055737398280378E-4</v>
      </c>
      <c r="F499" s="59" t="s">
        <v>1009</v>
      </c>
      <c r="G499" s="5">
        <v>14.39</v>
      </c>
      <c r="H499" s="54">
        <f t="shared" si="16"/>
        <v>-4.8409405255878113E-3</v>
      </c>
    </row>
    <row r="500" spans="2:8" x14ac:dyDescent="0.25">
      <c r="B500" s="60">
        <v>44519</v>
      </c>
      <c r="C500" s="5">
        <v>106.58</v>
      </c>
      <c r="D500" s="54">
        <f t="shared" si="17"/>
        <v>-3.5527299925205424E-3</v>
      </c>
      <c r="F500" s="59" t="s">
        <v>1008</v>
      </c>
      <c r="G500" s="5">
        <v>14.37</v>
      </c>
      <c r="H500" s="54">
        <f t="shared" si="16"/>
        <v>-1.389854065323215E-3</v>
      </c>
    </row>
    <row r="501" spans="2:8" x14ac:dyDescent="0.25">
      <c r="B501" s="60">
        <v>44522</v>
      </c>
      <c r="C501" s="5">
        <v>105.94</v>
      </c>
      <c r="D501" s="54">
        <f t="shared" si="17"/>
        <v>-6.0048789641583555E-3</v>
      </c>
      <c r="F501" s="59" t="s">
        <v>1007</v>
      </c>
      <c r="G501" s="5">
        <v>14.4</v>
      </c>
      <c r="H501" s="54">
        <f t="shared" si="16"/>
        <v>2.0876826722338038E-3</v>
      </c>
    </row>
    <row r="502" spans="2:8" x14ac:dyDescent="0.25">
      <c r="B502" s="60">
        <v>44523</v>
      </c>
      <c r="C502" s="5">
        <v>105.91</v>
      </c>
      <c r="D502" s="54">
        <f t="shared" si="17"/>
        <v>-2.8317915801401305E-4</v>
      </c>
      <c r="F502" s="59" t="s">
        <v>1006</v>
      </c>
      <c r="G502" s="5">
        <v>14.42</v>
      </c>
      <c r="H502" s="54">
        <f t="shared" si="16"/>
        <v>1.388888888888884E-3</v>
      </c>
    </row>
    <row r="503" spans="2:8" x14ac:dyDescent="0.25">
      <c r="B503" s="60">
        <v>44524</v>
      </c>
      <c r="C503" s="5">
        <v>105.95</v>
      </c>
      <c r="D503" s="54">
        <f t="shared" si="17"/>
        <v>3.7767916155240222E-4</v>
      </c>
      <c r="F503" s="59" t="s">
        <v>1005</v>
      </c>
      <c r="G503" s="5">
        <v>14.38</v>
      </c>
      <c r="H503" s="54">
        <f t="shared" si="16"/>
        <v>-2.7739251040220791E-3</v>
      </c>
    </row>
    <row r="504" spans="2:8" x14ac:dyDescent="0.25">
      <c r="B504" s="60">
        <v>44526</v>
      </c>
      <c r="C504" s="5">
        <v>103.37</v>
      </c>
      <c r="D504" s="54">
        <f t="shared" si="17"/>
        <v>-2.4351109013685646E-2</v>
      </c>
      <c r="F504" s="59" t="s">
        <v>1004</v>
      </c>
      <c r="G504" s="5">
        <v>14.32</v>
      </c>
      <c r="H504" s="54">
        <f t="shared" si="16"/>
        <v>-4.1724617524340202E-3</v>
      </c>
    </row>
    <row r="505" spans="2:8" x14ac:dyDescent="0.25">
      <c r="B505" s="60">
        <v>44529</v>
      </c>
      <c r="C505" s="5">
        <v>104.3</v>
      </c>
      <c r="D505" s="54">
        <f t="shared" si="17"/>
        <v>8.996807584405353E-3</v>
      </c>
      <c r="F505" s="59" t="s">
        <v>1003</v>
      </c>
      <c r="G505" s="5">
        <v>14.27</v>
      </c>
      <c r="H505" s="54">
        <f t="shared" si="16"/>
        <v>-3.4916201117318746E-3</v>
      </c>
    </row>
    <row r="506" spans="2:8" x14ac:dyDescent="0.25">
      <c r="B506" s="60">
        <v>44530</v>
      </c>
      <c r="C506" s="5">
        <v>102.88</v>
      </c>
      <c r="D506" s="54">
        <f t="shared" si="17"/>
        <v>-1.3614573346116932E-2</v>
      </c>
      <c r="F506" s="59" t="s">
        <v>1002</v>
      </c>
      <c r="G506" s="5">
        <v>14.39</v>
      </c>
      <c r="H506" s="54">
        <f t="shared" si="16"/>
        <v>8.4092501751926729E-3</v>
      </c>
    </row>
    <row r="507" spans="2:8" x14ac:dyDescent="0.25">
      <c r="B507" s="60">
        <v>44531</v>
      </c>
      <c r="C507" s="5">
        <v>101.74</v>
      </c>
      <c r="D507" s="54">
        <f t="shared" si="17"/>
        <v>-1.1080870917573926E-2</v>
      </c>
      <c r="F507" s="59" t="s">
        <v>1001</v>
      </c>
      <c r="G507" s="5">
        <v>14.34</v>
      </c>
      <c r="H507" s="54">
        <f t="shared" si="16"/>
        <v>-3.4746351633079264E-3</v>
      </c>
    </row>
    <row r="508" spans="2:8" x14ac:dyDescent="0.25">
      <c r="B508" s="60">
        <v>44532</v>
      </c>
      <c r="C508" s="5">
        <v>103.21</v>
      </c>
      <c r="D508" s="54">
        <f t="shared" si="17"/>
        <v>1.4448594456457631E-2</v>
      </c>
      <c r="F508" s="59" t="s">
        <v>1000</v>
      </c>
      <c r="G508" s="5">
        <v>14.44</v>
      </c>
      <c r="H508" s="54">
        <f t="shared" si="16"/>
        <v>6.9735006973501434E-3</v>
      </c>
    </row>
    <row r="509" spans="2:8" x14ac:dyDescent="0.25">
      <c r="B509" s="60">
        <v>44533</v>
      </c>
      <c r="C509" s="5">
        <v>102.33</v>
      </c>
      <c r="D509" s="54">
        <f t="shared" si="17"/>
        <v>-8.5263055905434593E-3</v>
      </c>
      <c r="F509" s="59" t="s">
        <v>999</v>
      </c>
      <c r="G509" s="5">
        <v>14.44</v>
      </c>
      <c r="H509" s="54">
        <f t="shared" si="16"/>
        <v>0</v>
      </c>
    </row>
    <row r="510" spans="2:8" x14ac:dyDescent="0.25">
      <c r="B510" s="60">
        <v>44536</v>
      </c>
      <c r="C510" s="5">
        <v>103.36</v>
      </c>
      <c r="D510" s="54">
        <f t="shared" si="17"/>
        <v>1.0065474445421607E-2</v>
      </c>
      <c r="F510" s="59" t="s">
        <v>998</v>
      </c>
      <c r="G510" s="5">
        <v>14.45</v>
      </c>
      <c r="H510" s="54">
        <f t="shared" si="16"/>
        <v>6.9252077562320657E-4</v>
      </c>
    </row>
    <row r="511" spans="2:8" x14ac:dyDescent="0.25">
      <c r="B511" s="60">
        <v>44537</v>
      </c>
      <c r="C511" s="5">
        <v>105.6</v>
      </c>
      <c r="D511" s="54">
        <f t="shared" si="17"/>
        <v>2.1671826625387025E-2</v>
      </c>
      <c r="F511" s="59" t="s">
        <v>997</v>
      </c>
      <c r="G511" s="5">
        <v>14.42</v>
      </c>
      <c r="H511" s="54">
        <f t="shared" si="16"/>
        <v>-2.0761245674739692E-3</v>
      </c>
    </row>
    <row r="512" spans="2:8" x14ac:dyDescent="0.25">
      <c r="B512" s="60">
        <v>44538</v>
      </c>
      <c r="C512" s="5">
        <v>105.9</v>
      </c>
      <c r="D512" s="54">
        <f t="shared" si="17"/>
        <v>2.8409090909091717E-3</v>
      </c>
      <c r="F512" s="59" t="s">
        <v>996</v>
      </c>
      <c r="G512" s="5">
        <v>14.46</v>
      </c>
      <c r="H512" s="54">
        <f t="shared" si="16"/>
        <v>2.7739251040221902E-3</v>
      </c>
    </row>
    <row r="513" spans="2:8" x14ac:dyDescent="0.25">
      <c r="B513" s="60">
        <v>44539</v>
      </c>
      <c r="C513" s="5">
        <v>105.06</v>
      </c>
      <c r="D513" s="54">
        <f t="shared" si="17"/>
        <v>-7.9320113314448326E-3</v>
      </c>
      <c r="F513" s="59" t="s">
        <v>995</v>
      </c>
      <c r="G513" s="5">
        <v>14.44</v>
      </c>
      <c r="H513" s="54">
        <f t="shared" si="16"/>
        <v>-1.3831258644537714E-3</v>
      </c>
    </row>
    <row r="514" spans="2:8" x14ac:dyDescent="0.25">
      <c r="B514" s="60">
        <v>44540</v>
      </c>
      <c r="C514" s="5">
        <v>105.63</v>
      </c>
      <c r="D514" s="54">
        <f t="shared" si="17"/>
        <v>5.4254711593375582E-3</v>
      </c>
      <c r="F514" s="59" t="s">
        <v>994</v>
      </c>
      <c r="G514" s="5">
        <v>14.45</v>
      </c>
      <c r="H514" s="54">
        <f t="shared" si="16"/>
        <v>6.9252077562320657E-4</v>
      </c>
    </row>
    <row r="515" spans="2:8" x14ac:dyDescent="0.25">
      <c r="B515" s="60">
        <v>44543</v>
      </c>
      <c r="C515" s="5">
        <v>103.57</v>
      </c>
      <c r="D515" s="54">
        <f t="shared" si="17"/>
        <v>-1.9502035406607998E-2</v>
      </c>
      <c r="F515" s="59" t="s">
        <v>993</v>
      </c>
      <c r="G515" s="5">
        <v>14.44</v>
      </c>
      <c r="H515" s="54">
        <f t="shared" si="16"/>
        <v>-6.9204152249136008E-4</v>
      </c>
    </row>
    <row r="516" spans="2:8" x14ac:dyDescent="0.25">
      <c r="B516" s="60">
        <v>44544</v>
      </c>
      <c r="C516" s="5">
        <v>103.01</v>
      </c>
      <c r="D516" s="54">
        <f t="shared" si="17"/>
        <v>-5.4069711306361512E-3</v>
      </c>
      <c r="F516" s="59" t="s">
        <v>992</v>
      </c>
      <c r="G516" s="5">
        <v>14.43</v>
      </c>
      <c r="H516" s="54">
        <f t="shared" si="16"/>
        <v>-6.9252077562320657E-4</v>
      </c>
    </row>
    <row r="517" spans="2:8" x14ac:dyDescent="0.25">
      <c r="B517" s="60">
        <v>44545</v>
      </c>
      <c r="C517" s="5">
        <v>104.29</v>
      </c>
      <c r="D517" s="54">
        <f t="shared" si="17"/>
        <v>1.2425978060382592E-2</v>
      </c>
      <c r="F517" s="59" t="s">
        <v>991</v>
      </c>
      <c r="G517" s="5">
        <v>14.45</v>
      </c>
      <c r="H517" s="54">
        <f t="shared" si="16"/>
        <v>1.3860013860014231E-3</v>
      </c>
    </row>
    <row r="518" spans="2:8" x14ac:dyDescent="0.25">
      <c r="B518" s="60">
        <v>44546</v>
      </c>
      <c r="C518" s="5">
        <v>103.79</v>
      </c>
      <c r="D518" s="54">
        <f t="shared" si="17"/>
        <v>-4.7943235209512158E-3</v>
      </c>
      <c r="F518" s="59" t="s">
        <v>990</v>
      </c>
      <c r="G518" s="5">
        <v>14.44</v>
      </c>
      <c r="H518" s="54">
        <f t="shared" si="16"/>
        <v>-6.9204152249136008E-4</v>
      </c>
    </row>
    <row r="519" spans="2:8" x14ac:dyDescent="0.25">
      <c r="B519" s="60">
        <v>44547</v>
      </c>
      <c r="C519" s="5">
        <v>102.77</v>
      </c>
      <c r="D519" s="54">
        <f t="shared" si="17"/>
        <v>-9.8275363715195629E-3</v>
      </c>
      <c r="F519" s="59" t="s">
        <v>989</v>
      </c>
      <c r="G519" s="5">
        <v>14.42</v>
      </c>
      <c r="H519" s="54">
        <f t="shared" si="16"/>
        <v>-1.3850415512465242E-3</v>
      </c>
    </row>
    <row r="520" spans="2:8" x14ac:dyDescent="0.25">
      <c r="B520" s="60">
        <v>44550</v>
      </c>
      <c r="C520" s="5">
        <v>101.8</v>
      </c>
      <c r="D520" s="54">
        <f t="shared" si="17"/>
        <v>-9.4385521066459033E-3</v>
      </c>
      <c r="F520" s="59" t="s">
        <v>988</v>
      </c>
      <c r="G520" s="5">
        <v>14.47</v>
      </c>
      <c r="H520" s="54">
        <f t="shared" si="16"/>
        <v>3.4674063800277377E-3</v>
      </c>
    </row>
    <row r="521" spans="2:8" x14ac:dyDescent="0.25">
      <c r="B521" s="60">
        <v>44551</v>
      </c>
      <c r="C521" s="5">
        <v>103.46</v>
      </c>
      <c r="D521" s="54">
        <f t="shared" si="17"/>
        <v>1.6306483300589258E-2</v>
      </c>
      <c r="F521" s="59" t="s">
        <v>987</v>
      </c>
      <c r="G521" s="5">
        <v>14.46</v>
      </c>
      <c r="H521" s="54">
        <f t="shared" si="16"/>
        <v>-6.9108500345538282E-4</v>
      </c>
    </row>
    <row r="522" spans="2:8" x14ac:dyDescent="0.25">
      <c r="B522" s="60">
        <v>44552</v>
      </c>
      <c r="C522" s="5">
        <v>104.43</v>
      </c>
      <c r="D522" s="54">
        <f t="shared" si="17"/>
        <v>9.3756040982022615E-3</v>
      </c>
      <c r="F522" s="59" t="s">
        <v>986</v>
      </c>
      <c r="G522" s="5">
        <v>14.44</v>
      </c>
      <c r="H522" s="54">
        <f t="shared" si="16"/>
        <v>-1.3831258644537714E-3</v>
      </c>
    </row>
    <row r="523" spans="2:8" x14ac:dyDescent="0.25">
      <c r="B523" s="60">
        <v>44553</v>
      </c>
      <c r="C523" s="5">
        <v>105.1</v>
      </c>
      <c r="D523" s="54">
        <f t="shared" si="17"/>
        <v>6.4157809058698057E-3</v>
      </c>
      <c r="F523" s="59" t="s">
        <v>985</v>
      </c>
      <c r="G523" s="5">
        <v>14.37</v>
      </c>
      <c r="H523" s="54">
        <f t="shared" si="16"/>
        <v>-4.8476454293628901E-3</v>
      </c>
    </row>
    <row r="524" spans="2:8" x14ac:dyDescent="0.25">
      <c r="B524" s="60">
        <v>44557</v>
      </c>
      <c r="C524" s="5">
        <v>106.25</v>
      </c>
      <c r="D524" s="54">
        <f t="shared" si="17"/>
        <v>1.094196003805914E-2</v>
      </c>
      <c r="F524" s="59" t="s">
        <v>984</v>
      </c>
      <c r="G524" s="5">
        <v>14.39</v>
      </c>
      <c r="H524" s="54">
        <f t="shared" si="16"/>
        <v>1.3917884481560172E-3</v>
      </c>
    </row>
    <row r="525" spans="2:8" x14ac:dyDescent="0.25">
      <c r="B525" s="60">
        <v>44558</v>
      </c>
      <c r="C525" s="5">
        <v>106.14</v>
      </c>
      <c r="D525" s="54">
        <f t="shared" si="17"/>
        <v>-1.0352941176470232E-3</v>
      </c>
      <c r="F525" s="59" t="s">
        <v>983</v>
      </c>
      <c r="G525" s="5">
        <v>14.4</v>
      </c>
      <c r="H525" s="54">
        <f t="shared" si="16"/>
        <v>6.9492703266149647E-4</v>
      </c>
    </row>
    <row r="526" spans="2:8" x14ac:dyDescent="0.25">
      <c r="B526" s="60">
        <v>44559</v>
      </c>
      <c r="C526" s="5">
        <v>106.15</v>
      </c>
      <c r="D526" s="54">
        <f t="shared" si="17"/>
        <v>9.4215187488311258E-5</v>
      </c>
      <c r="F526" s="59" t="s">
        <v>982</v>
      </c>
      <c r="G526" s="5">
        <v>14.41</v>
      </c>
      <c r="H526" s="54">
        <f t="shared" si="16"/>
        <v>6.9444444444433095E-4</v>
      </c>
    </row>
    <row r="527" spans="2:8" x14ac:dyDescent="0.25">
      <c r="B527" s="60">
        <v>44560</v>
      </c>
      <c r="C527" s="5">
        <v>105.95</v>
      </c>
      <c r="D527" s="54">
        <f t="shared" si="17"/>
        <v>-1.8841262364578393E-3</v>
      </c>
      <c r="F527" s="59" t="s">
        <v>981</v>
      </c>
      <c r="G527" s="5">
        <v>14.43</v>
      </c>
      <c r="H527" s="54">
        <f t="shared" si="16"/>
        <v>1.3879250520472119E-3</v>
      </c>
    </row>
    <row r="528" spans="2:8" x14ac:dyDescent="0.25">
      <c r="B528" s="60">
        <v>44561</v>
      </c>
      <c r="C528" s="5">
        <v>105.78</v>
      </c>
      <c r="D528" s="54">
        <f t="shared" si="17"/>
        <v>-1.6045304388863091E-3</v>
      </c>
      <c r="F528" s="59" t="s">
        <v>980</v>
      </c>
      <c r="G528" s="5">
        <v>14.41</v>
      </c>
      <c r="H528" s="54">
        <f t="shared" si="16"/>
        <v>-1.3860013860013121E-3</v>
      </c>
    </row>
    <row r="529" spans="2:8" x14ac:dyDescent="0.25">
      <c r="B529" s="60"/>
      <c r="C529" s="5"/>
      <c r="D529" s="54"/>
      <c r="F529" s="59" t="s">
        <v>979</v>
      </c>
      <c r="G529" s="5">
        <v>14.41</v>
      </c>
      <c r="H529" s="54">
        <f t="shared" si="16"/>
        <v>0</v>
      </c>
    </row>
    <row r="530" spans="2:8" x14ac:dyDescent="0.25">
      <c r="B530" s="60">
        <v>44564</v>
      </c>
      <c r="C530" s="5">
        <v>106.34</v>
      </c>
      <c r="D530" s="54">
        <f>C530/C528-1</f>
        <v>5.2940064284363597E-3</v>
      </c>
      <c r="F530" s="59" t="s">
        <v>978</v>
      </c>
      <c r="G530" s="5">
        <v>14.43</v>
      </c>
      <c r="H530" s="54">
        <f t="shared" si="16"/>
        <v>1.3879250520472119E-3</v>
      </c>
    </row>
    <row r="531" spans="2:8" x14ac:dyDescent="0.25">
      <c r="B531" s="60">
        <v>44565</v>
      </c>
      <c r="C531" s="5">
        <v>106.25</v>
      </c>
      <c r="D531" s="54">
        <f t="shared" ref="D531:D594" si="18">C531/C530-1</f>
        <v>-8.4634192213661752E-4</v>
      </c>
      <c r="F531" s="59"/>
      <c r="G531" s="5"/>
      <c r="H531" s="54"/>
    </row>
    <row r="532" spans="2:8" x14ac:dyDescent="0.25">
      <c r="B532" s="60">
        <v>44566</v>
      </c>
      <c r="C532" s="5">
        <v>104.52</v>
      </c>
      <c r="D532" s="54">
        <f t="shared" si="18"/>
        <v>-1.6282352941176526E-2</v>
      </c>
      <c r="F532" s="59" t="s">
        <v>977</v>
      </c>
      <c r="G532" s="5">
        <v>14.37</v>
      </c>
      <c r="H532" s="54">
        <f>G532/G530-1</f>
        <v>-4.1580041580041582E-3</v>
      </c>
    </row>
    <row r="533" spans="2:8" x14ac:dyDescent="0.25">
      <c r="B533" s="60">
        <v>44567</v>
      </c>
      <c r="C533" s="5">
        <v>104.3</v>
      </c>
      <c r="D533" s="54">
        <f t="shared" si="18"/>
        <v>-2.1048603138155153E-3</v>
      </c>
      <c r="F533" s="59" t="s">
        <v>976</v>
      </c>
      <c r="G533" s="5">
        <v>14.34</v>
      </c>
      <c r="H533" s="54">
        <f t="shared" ref="H533:H596" si="19">G533/G532-1</f>
        <v>-2.0876826722338038E-3</v>
      </c>
    </row>
    <row r="534" spans="2:8" x14ac:dyDescent="0.25">
      <c r="B534" s="60">
        <v>44568</v>
      </c>
      <c r="C534" s="5">
        <v>104.28</v>
      </c>
      <c r="D534" s="54">
        <f t="shared" si="18"/>
        <v>-1.9175455417064224E-4</v>
      </c>
      <c r="F534" s="59" t="s">
        <v>975</v>
      </c>
      <c r="G534" s="5">
        <v>14.35</v>
      </c>
      <c r="H534" s="54">
        <f t="shared" si="19"/>
        <v>6.9735006973492553E-4</v>
      </c>
    </row>
    <row r="535" spans="2:8" x14ac:dyDescent="0.25">
      <c r="B535" s="60">
        <v>44571</v>
      </c>
      <c r="C535" s="5">
        <v>103.98</v>
      </c>
      <c r="D535" s="54">
        <f t="shared" si="18"/>
        <v>-2.8768699654775354E-3</v>
      </c>
      <c r="F535" s="59" t="s">
        <v>974</v>
      </c>
      <c r="G535" s="5">
        <v>14.29</v>
      </c>
      <c r="H535" s="54">
        <f t="shared" si="19"/>
        <v>-4.1811846689895349E-3</v>
      </c>
    </row>
    <row r="536" spans="2:8" x14ac:dyDescent="0.25">
      <c r="B536" s="60">
        <v>44572</v>
      </c>
      <c r="C536" s="5">
        <v>105.22</v>
      </c>
      <c r="D536" s="54">
        <f t="shared" si="18"/>
        <v>1.1925370263512258E-2</v>
      </c>
      <c r="F536" s="59" t="s">
        <v>973</v>
      </c>
      <c r="G536" s="5">
        <v>14.3</v>
      </c>
      <c r="H536" s="54">
        <f t="shared" si="19"/>
        <v>6.9979006298126478E-4</v>
      </c>
    </row>
    <row r="537" spans="2:8" x14ac:dyDescent="0.25">
      <c r="B537" s="60">
        <v>44573</v>
      </c>
      <c r="C537" s="5">
        <v>105.86</v>
      </c>
      <c r="D537" s="54">
        <f t="shared" si="18"/>
        <v>6.0824938224672831E-3</v>
      </c>
      <c r="F537" s="59" t="s">
        <v>972</v>
      </c>
      <c r="G537" s="5">
        <v>14.27</v>
      </c>
      <c r="H537" s="54">
        <f t="shared" si="19"/>
        <v>-2.0979020979021712E-3</v>
      </c>
    </row>
    <row r="538" spans="2:8" x14ac:dyDescent="0.25">
      <c r="B538" s="60">
        <v>44574</v>
      </c>
      <c r="C538" s="5">
        <v>104.44</v>
      </c>
      <c r="D538" s="54">
        <f t="shared" si="18"/>
        <v>-1.3413942943510282E-2</v>
      </c>
      <c r="F538" s="59" t="s">
        <v>971</v>
      </c>
      <c r="G538" s="5">
        <v>14.3</v>
      </c>
      <c r="H538" s="54">
        <f t="shared" si="19"/>
        <v>2.1023125437982237E-3</v>
      </c>
    </row>
    <row r="539" spans="2:8" x14ac:dyDescent="0.25">
      <c r="B539" s="60">
        <v>44575</v>
      </c>
      <c r="C539" s="5">
        <v>104.47</v>
      </c>
      <c r="D539" s="54">
        <f t="shared" si="18"/>
        <v>2.872462657985686E-4</v>
      </c>
      <c r="F539" s="59" t="s">
        <v>970</v>
      </c>
      <c r="G539" s="5">
        <v>14.37</v>
      </c>
      <c r="H539" s="54">
        <f t="shared" si="19"/>
        <v>4.895104895104696E-3</v>
      </c>
    </row>
    <row r="540" spans="2:8" x14ac:dyDescent="0.25">
      <c r="B540" s="60">
        <v>44579</v>
      </c>
      <c r="C540" s="5">
        <v>102.66</v>
      </c>
      <c r="D540" s="54">
        <f t="shared" si="18"/>
        <v>-1.732554800421171E-2</v>
      </c>
      <c r="F540" s="59" t="s">
        <v>969</v>
      </c>
      <c r="G540" s="5">
        <v>14.41</v>
      </c>
      <c r="H540" s="54">
        <f t="shared" si="19"/>
        <v>2.7835768963118124E-3</v>
      </c>
    </row>
    <row r="541" spans="2:8" x14ac:dyDescent="0.25">
      <c r="B541" s="60">
        <v>44580</v>
      </c>
      <c r="C541" s="5">
        <v>102.04</v>
      </c>
      <c r="D541" s="54">
        <f t="shared" si="18"/>
        <v>-6.0393532047534615E-3</v>
      </c>
      <c r="F541" s="59" t="s">
        <v>968</v>
      </c>
      <c r="G541" s="5">
        <v>14.39</v>
      </c>
      <c r="H541" s="54">
        <f t="shared" si="19"/>
        <v>-1.3879250520472119E-3</v>
      </c>
    </row>
    <row r="542" spans="2:8" x14ac:dyDescent="0.25">
      <c r="B542" s="60">
        <v>44581</v>
      </c>
      <c r="C542" s="5">
        <v>101.24</v>
      </c>
      <c r="D542" s="54">
        <f t="shared" si="18"/>
        <v>-7.8400627205018614E-3</v>
      </c>
      <c r="F542" s="59" t="s">
        <v>967</v>
      </c>
      <c r="G542" s="5">
        <v>14.33</v>
      </c>
      <c r="H542" s="54">
        <f t="shared" si="19"/>
        <v>-4.1695621959694229E-3</v>
      </c>
    </row>
    <row r="543" spans="2:8" x14ac:dyDescent="0.25">
      <c r="B543" s="60">
        <v>44582</v>
      </c>
      <c r="C543" s="5">
        <v>99.52</v>
      </c>
      <c r="D543" s="54">
        <f t="shared" si="18"/>
        <v>-1.6989332279731317E-2</v>
      </c>
      <c r="F543" s="59" t="s">
        <v>966</v>
      </c>
      <c r="G543" s="5">
        <v>14.31</v>
      </c>
      <c r="H543" s="54">
        <f t="shared" si="19"/>
        <v>-1.3956734124214165E-3</v>
      </c>
    </row>
    <row r="544" spans="2:8" x14ac:dyDescent="0.25">
      <c r="B544" s="60">
        <v>44585</v>
      </c>
      <c r="C544" s="5">
        <v>99.36</v>
      </c>
      <c r="D544" s="54">
        <f t="shared" si="18"/>
        <v>-1.607717041800627E-3</v>
      </c>
      <c r="F544" s="59" t="s">
        <v>965</v>
      </c>
      <c r="G544" s="5">
        <v>14.33</v>
      </c>
      <c r="H544" s="54">
        <f t="shared" si="19"/>
        <v>1.3976240391333494E-3</v>
      </c>
    </row>
    <row r="545" spans="2:8" x14ac:dyDescent="0.25">
      <c r="B545" s="60">
        <v>44586</v>
      </c>
      <c r="C545" s="5">
        <v>98.36</v>
      </c>
      <c r="D545" s="54">
        <f t="shared" si="18"/>
        <v>-1.0064412238325326E-2</v>
      </c>
      <c r="F545" s="59" t="s">
        <v>964</v>
      </c>
      <c r="G545" s="5">
        <v>14.37</v>
      </c>
      <c r="H545" s="54">
        <f t="shared" si="19"/>
        <v>2.791346824842833E-3</v>
      </c>
    </row>
    <row r="546" spans="2:8" x14ac:dyDescent="0.25">
      <c r="B546" s="60">
        <v>44587</v>
      </c>
      <c r="C546" s="5">
        <v>97.87</v>
      </c>
      <c r="D546" s="54">
        <f t="shared" si="18"/>
        <v>-4.9816998779991239E-3</v>
      </c>
      <c r="F546" s="59" t="s">
        <v>963</v>
      </c>
      <c r="G546" s="5">
        <v>14.34</v>
      </c>
      <c r="H546" s="54">
        <f t="shared" si="19"/>
        <v>-2.0876826722338038E-3</v>
      </c>
    </row>
    <row r="547" spans="2:8" x14ac:dyDescent="0.25">
      <c r="B547" s="60">
        <v>44588</v>
      </c>
      <c r="C547" s="5">
        <v>97.37</v>
      </c>
      <c r="D547" s="54">
        <f t="shared" si="18"/>
        <v>-5.1088178195565215E-3</v>
      </c>
      <c r="F547" s="59" t="s">
        <v>962</v>
      </c>
      <c r="G547" s="5">
        <v>14.31</v>
      </c>
      <c r="H547" s="54">
        <f t="shared" si="19"/>
        <v>-2.0920502092049986E-3</v>
      </c>
    </row>
    <row r="548" spans="2:8" x14ac:dyDescent="0.25">
      <c r="B548" s="60">
        <v>44589</v>
      </c>
      <c r="C548" s="5">
        <v>98.93</v>
      </c>
      <c r="D548" s="54">
        <f t="shared" si="18"/>
        <v>1.6021361815754309E-2</v>
      </c>
      <c r="F548" s="59" t="s">
        <v>961</v>
      </c>
      <c r="G548" s="5">
        <v>14.3</v>
      </c>
      <c r="H548" s="54">
        <f t="shared" si="19"/>
        <v>-6.9881201956667471E-4</v>
      </c>
    </row>
    <row r="549" spans="2:8" x14ac:dyDescent="0.25">
      <c r="B549" s="60">
        <v>44592</v>
      </c>
      <c r="C549" s="5">
        <v>100.97</v>
      </c>
      <c r="D549" s="54">
        <f t="shared" si="18"/>
        <v>2.0620640857171635E-2</v>
      </c>
      <c r="F549" s="59" t="s">
        <v>960</v>
      </c>
      <c r="G549" s="5">
        <v>14.21</v>
      </c>
      <c r="H549" s="54">
        <f t="shared" si="19"/>
        <v>-6.2937062937062915E-3</v>
      </c>
    </row>
    <row r="550" spans="2:8" x14ac:dyDescent="0.25">
      <c r="B550" s="60">
        <v>44593</v>
      </c>
      <c r="C550" s="5">
        <v>101.75</v>
      </c>
      <c r="D550" s="54">
        <f t="shared" si="18"/>
        <v>7.7250668515400633E-3</v>
      </c>
      <c r="F550" s="59" t="s">
        <v>959</v>
      </c>
      <c r="G550" s="5">
        <v>14.19</v>
      </c>
      <c r="H550" s="54">
        <f t="shared" si="19"/>
        <v>-1.4074595355384467E-3</v>
      </c>
    </row>
    <row r="551" spans="2:8" x14ac:dyDescent="0.25">
      <c r="B551" s="60">
        <v>44594</v>
      </c>
      <c r="C551" s="5">
        <v>102.4</v>
      </c>
      <c r="D551" s="54">
        <f t="shared" si="18"/>
        <v>6.3882063882063633E-3</v>
      </c>
      <c r="F551" s="59" t="s">
        <v>958</v>
      </c>
      <c r="G551" s="5">
        <v>14.19</v>
      </c>
      <c r="H551" s="54">
        <f t="shared" si="19"/>
        <v>0</v>
      </c>
    </row>
    <row r="552" spans="2:8" x14ac:dyDescent="0.25">
      <c r="B552" s="60">
        <v>44595</v>
      </c>
      <c r="C552" s="5">
        <v>100.44</v>
      </c>
      <c r="D552" s="54">
        <f t="shared" si="18"/>
        <v>-1.9140625000000022E-2</v>
      </c>
      <c r="F552" s="59" t="s">
        <v>957</v>
      </c>
      <c r="G552" s="5">
        <v>14.22</v>
      </c>
      <c r="H552" s="54">
        <f t="shared" si="19"/>
        <v>2.1141649048626032E-3</v>
      </c>
    </row>
    <row r="553" spans="2:8" x14ac:dyDescent="0.25">
      <c r="B553" s="60">
        <v>44596</v>
      </c>
      <c r="C553" s="5">
        <v>100.89</v>
      </c>
      <c r="D553" s="54">
        <f t="shared" si="18"/>
        <v>4.4802867383513245E-3</v>
      </c>
      <c r="F553" s="59" t="s">
        <v>956</v>
      </c>
      <c r="G553" s="5">
        <v>14.27</v>
      </c>
      <c r="H553" s="54">
        <f t="shared" si="19"/>
        <v>3.5161744022502717E-3</v>
      </c>
    </row>
    <row r="554" spans="2:8" x14ac:dyDescent="0.25">
      <c r="B554" s="60">
        <v>44599</v>
      </c>
      <c r="C554" s="5">
        <v>100.69</v>
      </c>
      <c r="D554" s="54">
        <f t="shared" si="18"/>
        <v>-1.9823570224998255E-3</v>
      </c>
      <c r="F554" s="59" t="s">
        <v>955</v>
      </c>
      <c r="G554" s="5">
        <v>14.25</v>
      </c>
      <c r="H554" s="54">
        <f t="shared" si="19"/>
        <v>-1.4015416958653715E-3</v>
      </c>
    </row>
    <row r="555" spans="2:8" x14ac:dyDescent="0.25">
      <c r="B555" s="60">
        <v>44600</v>
      </c>
      <c r="C555" s="5">
        <v>101.47</v>
      </c>
      <c r="D555" s="54">
        <f t="shared" si="18"/>
        <v>7.7465488131889249E-3</v>
      </c>
      <c r="F555" s="59" t="s">
        <v>954</v>
      </c>
      <c r="G555" s="5">
        <v>14.19</v>
      </c>
      <c r="H555" s="54">
        <f t="shared" si="19"/>
        <v>-4.2105263157895534E-3</v>
      </c>
    </row>
    <row r="556" spans="2:8" x14ac:dyDescent="0.25">
      <c r="B556" s="60">
        <v>44601</v>
      </c>
      <c r="C556" s="5">
        <v>103.07</v>
      </c>
      <c r="D556" s="54">
        <f t="shared" si="18"/>
        <v>1.5768207351926522E-2</v>
      </c>
      <c r="F556" s="59" t="s">
        <v>953</v>
      </c>
      <c r="G556" s="5">
        <v>14.19</v>
      </c>
      <c r="H556" s="54">
        <f t="shared" si="19"/>
        <v>0</v>
      </c>
    </row>
    <row r="557" spans="2:8" x14ac:dyDescent="0.25">
      <c r="B557" s="60">
        <v>44602</v>
      </c>
      <c r="C557" s="5">
        <v>101.58</v>
      </c>
      <c r="D557" s="54">
        <f t="shared" si="18"/>
        <v>-1.4456194819054913E-2</v>
      </c>
      <c r="F557" s="59" t="s">
        <v>952</v>
      </c>
      <c r="G557" s="5">
        <v>14.15</v>
      </c>
      <c r="H557" s="54">
        <f t="shared" si="19"/>
        <v>-2.8188865398167673E-3</v>
      </c>
    </row>
    <row r="558" spans="2:8" x14ac:dyDescent="0.25">
      <c r="B558" s="60">
        <v>44603</v>
      </c>
      <c r="C558" s="5">
        <v>99.65</v>
      </c>
      <c r="D558" s="54">
        <f t="shared" si="18"/>
        <v>-1.8999803110848479E-2</v>
      </c>
      <c r="F558" s="59" t="s">
        <v>951</v>
      </c>
      <c r="G558" s="5">
        <v>14.18</v>
      </c>
      <c r="H558" s="54">
        <f t="shared" si="19"/>
        <v>2.1201413427560656E-3</v>
      </c>
    </row>
    <row r="559" spans="2:8" x14ac:dyDescent="0.25">
      <c r="B559" s="60">
        <v>44606</v>
      </c>
      <c r="C559" s="5">
        <v>99.28</v>
      </c>
      <c r="D559" s="54">
        <f t="shared" si="18"/>
        <v>-3.7129954841946811E-3</v>
      </c>
      <c r="F559" s="59" t="s">
        <v>950</v>
      </c>
      <c r="G559" s="5">
        <v>14.14</v>
      </c>
      <c r="H559" s="54">
        <f t="shared" si="19"/>
        <v>-2.8208744710859213E-3</v>
      </c>
    </row>
    <row r="560" spans="2:8" x14ac:dyDescent="0.25">
      <c r="B560" s="60">
        <v>44607</v>
      </c>
      <c r="C560" s="5">
        <v>101.02</v>
      </c>
      <c r="D560" s="54">
        <f t="shared" si="18"/>
        <v>1.7526188557614786E-2</v>
      </c>
      <c r="F560" s="59" t="s">
        <v>949</v>
      </c>
      <c r="G560" s="5">
        <v>14.11</v>
      </c>
      <c r="H560" s="54">
        <f t="shared" si="19"/>
        <v>-2.1216407355022504E-3</v>
      </c>
    </row>
    <row r="561" spans="2:8" x14ac:dyDescent="0.25">
      <c r="B561" s="60">
        <v>44608</v>
      </c>
      <c r="C561" s="5">
        <v>101.25</v>
      </c>
      <c r="D561" s="54">
        <f t="shared" si="18"/>
        <v>2.2767768758662488E-3</v>
      </c>
      <c r="F561" s="59" t="s">
        <v>948</v>
      </c>
      <c r="G561" s="5">
        <v>14.09</v>
      </c>
      <c r="H561" s="54">
        <f t="shared" si="19"/>
        <v>-1.4174344436569397E-3</v>
      </c>
    </row>
    <row r="562" spans="2:8" x14ac:dyDescent="0.25">
      <c r="B562" s="60">
        <v>44609</v>
      </c>
      <c r="C562" s="5">
        <v>99.29</v>
      </c>
      <c r="D562" s="54">
        <f t="shared" si="18"/>
        <v>-1.9358024691357945E-2</v>
      </c>
      <c r="F562" s="59" t="s">
        <v>947</v>
      </c>
      <c r="G562" s="5">
        <v>14.06</v>
      </c>
      <c r="H562" s="54">
        <f t="shared" si="19"/>
        <v>-2.1291696238466828E-3</v>
      </c>
    </row>
    <row r="563" spans="2:8" x14ac:dyDescent="0.25">
      <c r="B563" s="60">
        <v>44610</v>
      </c>
      <c r="C563" s="5">
        <v>98.55</v>
      </c>
      <c r="D563" s="54">
        <f t="shared" si="18"/>
        <v>-7.4529157014806557E-3</v>
      </c>
      <c r="F563" s="59" t="s">
        <v>946</v>
      </c>
      <c r="G563" s="5">
        <v>14.09</v>
      </c>
      <c r="H563" s="54">
        <f t="shared" si="19"/>
        <v>2.1337126600284861E-3</v>
      </c>
    </row>
    <row r="564" spans="2:8" x14ac:dyDescent="0.25">
      <c r="B564" s="60">
        <v>44614</v>
      </c>
      <c r="C564" s="5">
        <v>97.41</v>
      </c>
      <c r="D564" s="54">
        <f t="shared" si="18"/>
        <v>-1.1567732115677298E-2</v>
      </c>
      <c r="F564" s="59" t="s">
        <v>945</v>
      </c>
      <c r="G564" s="5">
        <v>14.11</v>
      </c>
      <c r="H564" s="54">
        <f t="shared" si="19"/>
        <v>1.4194464158978626E-3</v>
      </c>
    </row>
    <row r="565" spans="2:8" x14ac:dyDescent="0.25">
      <c r="B565" s="60">
        <v>44615</v>
      </c>
      <c r="C565" s="5">
        <v>96.03</v>
      </c>
      <c r="D565" s="54">
        <f t="shared" si="18"/>
        <v>-1.4166923313828073E-2</v>
      </c>
      <c r="F565" s="59" t="s">
        <v>944</v>
      </c>
      <c r="G565" s="5">
        <v>14.11</v>
      </c>
      <c r="H565" s="54">
        <f t="shared" si="19"/>
        <v>0</v>
      </c>
    </row>
    <row r="566" spans="2:8" x14ac:dyDescent="0.25">
      <c r="B566" s="60">
        <v>44616</v>
      </c>
      <c r="C566" s="5">
        <v>96.43</v>
      </c>
      <c r="D566" s="54">
        <f t="shared" si="18"/>
        <v>4.1653649901072232E-3</v>
      </c>
      <c r="F566" s="59" t="s">
        <v>943</v>
      </c>
      <c r="G566" s="5">
        <v>14.09</v>
      </c>
      <c r="H566" s="54">
        <f t="shared" si="19"/>
        <v>-1.4174344436569397E-3</v>
      </c>
    </row>
    <row r="567" spans="2:8" x14ac:dyDescent="0.25">
      <c r="B567" s="60">
        <v>44617</v>
      </c>
      <c r="C567" s="5">
        <v>98.57</v>
      </c>
      <c r="D567" s="54">
        <f t="shared" si="18"/>
        <v>2.2192263818313629E-2</v>
      </c>
      <c r="F567" s="59" t="s">
        <v>942</v>
      </c>
      <c r="G567" s="5">
        <v>14.09</v>
      </c>
      <c r="H567" s="54">
        <f t="shared" si="19"/>
        <v>0</v>
      </c>
    </row>
    <row r="568" spans="2:8" x14ac:dyDescent="0.25">
      <c r="B568" s="60">
        <v>44620</v>
      </c>
      <c r="C568" s="5">
        <v>97.88</v>
      </c>
      <c r="D568" s="54">
        <f t="shared" si="18"/>
        <v>-7.0001014507455883E-3</v>
      </c>
      <c r="F568" s="59" t="s">
        <v>941</v>
      </c>
      <c r="G568" s="5">
        <v>14.01</v>
      </c>
      <c r="H568" s="54">
        <f t="shared" si="19"/>
        <v>-5.6777856635912283E-3</v>
      </c>
    </row>
    <row r="569" spans="2:8" x14ac:dyDescent="0.25">
      <c r="B569" s="60">
        <v>44621</v>
      </c>
      <c r="C569" s="5">
        <v>96.22</v>
      </c>
      <c r="D569" s="54">
        <f t="shared" si="18"/>
        <v>-1.6959542296689833E-2</v>
      </c>
      <c r="F569" s="59" t="s">
        <v>940</v>
      </c>
      <c r="G569" s="5">
        <v>14.01</v>
      </c>
      <c r="H569" s="54">
        <f t="shared" si="19"/>
        <v>0</v>
      </c>
    </row>
    <row r="570" spans="2:8" x14ac:dyDescent="0.25">
      <c r="B570" s="60">
        <v>44622</v>
      </c>
      <c r="C570" s="5">
        <v>97.6</v>
      </c>
      <c r="D570" s="54">
        <f t="shared" si="18"/>
        <v>1.4342132612762404E-2</v>
      </c>
      <c r="F570" s="59" t="s">
        <v>939</v>
      </c>
      <c r="G570" s="5">
        <v>14.06</v>
      </c>
      <c r="H570" s="54">
        <f t="shared" si="19"/>
        <v>3.5688793718773315E-3</v>
      </c>
    </row>
    <row r="571" spans="2:8" x14ac:dyDescent="0.25">
      <c r="B571" s="60">
        <v>44623</v>
      </c>
      <c r="C571" s="5">
        <v>96.61</v>
      </c>
      <c r="D571" s="54">
        <f t="shared" si="18"/>
        <v>-1.0143442622950749E-2</v>
      </c>
      <c r="F571" s="59" t="s">
        <v>938</v>
      </c>
      <c r="G571" s="5">
        <v>14.11</v>
      </c>
      <c r="H571" s="54">
        <f t="shared" si="19"/>
        <v>3.5561877667140696E-3</v>
      </c>
    </row>
    <row r="572" spans="2:8" x14ac:dyDescent="0.25">
      <c r="B572" s="60">
        <v>44624</v>
      </c>
      <c r="C572" s="5">
        <v>95.18</v>
      </c>
      <c r="D572" s="54">
        <f t="shared" si="18"/>
        <v>-1.4801780354000593E-2</v>
      </c>
      <c r="F572" s="59" t="s">
        <v>937</v>
      </c>
      <c r="G572" s="5">
        <v>14.07</v>
      </c>
      <c r="H572" s="54">
        <f t="shared" si="19"/>
        <v>-2.8348688873138794E-3</v>
      </c>
    </row>
    <row r="573" spans="2:8" x14ac:dyDescent="0.25">
      <c r="B573" s="60">
        <v>44627</v>
      </c>
      <c r="C573" s="5">
        <v>92.22</v>
      </c>
      <c r="D573" s="54">
        <f t="shared" si="18"/>
        <v>-3.1098970371926993E-2</v>
      </c>
      <c r="F573" s="59" t="s">
        <v>936</v>
      </c>
      <c r="G573" s="5">
        <v>14</v>
      </c>
      <c r="H573" s="54">
        <f t="shared" si="19"/>
        <v>-4.9751243781094301E-3</v>
      </c>
    </row>
    <row r="574" spans="2:8" x14ac:dyDescent="0.25">
      <c r="B574" s="60">
        <v>44628</v>
      </c>
      <c r="C574" s="5">
        <v>92.11</v>
      </c>
      <c r="D574" s="54">
        <f t="shared" si="18"/>
        <v>-1.1927998265018891E-3</v>
      </c>
      <c r="F574" s="59" t="s">
        <v>935</v>
      </c>
      <c r="G574" s="5">
        <v>14.01</v>
      </c>
      <c r="H574" s="54">
        <f t="shared" si="19"/>
        <v>7.1428571428566734E-4</v>
      </c>
    </row>
    <row r="575" spans="2:8" x14ac:dyDescent="0.25">
      <c r="B575" s="60">
        <v>44629</v>
      </c>
      <c r="C575" s="5">
        <v>94.9</v>
      </c>
      <c r="D575" s="54">
        <f t="shared" si="18"/>
        <v>3.0289870806644359E-2</v>
      </c>
      <c r="F575" s="59" t="s">
        <v>934</v>
      </c>
      <c r="G575" s="5">
        <v>13.99</v>
      </c>
      <c r="H575" s="54">
        <f t="shared" si="19"/>
        <v>-1.427551748750866E-3</v>
      </c>
    </row>
    <row r="576" spans="2:8" x14ac:dyDescent="0.25">
      <c r="B576" s="60">
        <v>44630</v>
      </c>
      <c r="C576" s="5">
        <v>94.15</v>
      </c>
      <c r="D576" s="54">
        <f t="shared" si="18"/>
        <v>-7.9030558482613422E-3</v>
      </c>
      <c r="F576" s="59" t="s">
        <v>933</v>
      </c>
      <c r="G576" s="5">
        <v>13.9</v>
      </c>
      <c r="H576" s="54">
        <f t="shared" si="19"/>
        <v>-6.4331665475338973E-3</v>
      </c>
    </row>
    <row r="577" spans="2:8" x14ac:dyDescent="0.25">
      <c r="B577" s="60">
        <v>44631</v>
      </c>
      <c r="C577" s="5">
        <v>92.85</v>
      </c>
      <c r="D577" s="54">
        <f t="shared" si="18"/>
        <v>-1.3807753584705429E-2</v>
      </c>
      <c r="F577" s="59" t="s">
        <v>932</v>
      </c>
      <c r="G577" s="5">
        <v>13.9</v>
      </c>
      <c r="H577" s="54">
        <f t="shared" si="19"/>
        <v>0</v>
      </c>
    </row>
    <row r="578" spans="2:8" x14ac:dyDescent="0.25">
      <c r="B578" s="60">
        <v>44634</v>
      </c>
      <c r="C578" s="5">
        <v>92.25</v>
      </c>
      <c r="D578" s="54">
        <f t="shared" si="18"/>
        <v>-6.4620355411953989E-3</v>
      </c>
      <c r="F578" s="59" t="s">
        <v>931</v>
      </c>
      <c r="G578" s="5">
        <v>13.85</v>
      </c>
      <c r="H578" s="54">
        <f t="shared" si="19"/>
        <v>-3.597122302158362E-3</v>
      </c>
    </row>
    <row r="579" spans="2:8" x14ac:dyDescent="0.25">
      <c r="B579" s="60">
        <v>44635</v>
      </c>
      <c r="C579" s="5">
        <v>93.69</v>
      </c>
      <c r="D579" s="54">
        <f t="shared" si="18"/>
        <v>1.5609756097560989E-2</v>
      </c>
      <c r="F579" s="59" t="s">
        <v>930</v>
      </c>
      <c r="G579" s="5">
        <v>13.8</v>
      </c>
      <c r="H579" s="54">
        <f t="shared" si="19"/>
        <v>-3.6101083032490378E-3</v>
      </c>
    </row>
    <row r="580" spans="2:8" x14ac:dyDescent="0.25">
      <c r="B580" s="60">
        <v>44636</v>
      </c>
      <c r="C580" s="5">
        <v>96.86</v>
      </c>
      <c r="D580" s="54">
        <f t="shared" si="18"/>
        <v>3.383498772547755E-2</v>
      </c>
      <c r="F580" s="59" t="s">
        <v>929</v>
      </c>
      <c r="G580" s="5">
        <v>13.74</v>
      </c>
      <c r="H580" s="54">
        <f t="shared" si="19"/>
        <v>-4.3478260869566077E-3</v>
      </c>
    </row>
    <row r="581" spans="2:8" x14ac:dyDescent="0.25">
      <c r="B581" s="60">
        <v>44637</v>
      </c>
      <c r="C581" s="5">
        <v>97.85</v>
      </c>
      <c r="D581" s="54">
        <f t="shared" si="18"/>
        <v>1.0220937435473809E-2</v>
      </c>
      <c r="F581" s="59" t="s">
        <v>928</v>
      </c>
      <c r="G581" s="5">
        <v>13.7</v>
      </c>
      <c r="H581" s="54">
        <f t="shared" si="19"/>
        <v>-2.9112081513829047E-3</v>
      </c>
    </row>
    <row r="582" spans="2:8" x14ac:dyDescent="0.25">
      <c r="B582" s="60">
        <v>44638</v>
      </c>
      <c r="C582" s="5">
        <v>98.93</v>
      </c>
      <c r="D582" s="54">
        <f t="shared" si="18"/>
        <v>1.1037301992846249E-2</v>
      </c>
      <c r="F582" s="59" t="s">
        <v>927</v>
      </c>
      <c r="G582" s="5">
        <v>13.73</v>
      </c>
      <c r="H582" s="54">
        <f t="shared" si="19"/>
        <v>2.1897810218978186E-3</v>
      </c>
    </row>
    <row r="583" spans="2:8" x14ac:dyDescent="0.25">
      <c r="B583" s="60">
        <v>44641</v>
      </c>
      <c r="C583" s="5">
        <v>98.58</v>
      </c>
      <c r="D583" s="54">
        <f t="shared" si="18"/>
        <v>-3.5378550490245964E-3</v>
      </c>
      <c r="F583" s="59" t="s">
        <v>926</v>
      </c>
      <c r="G583" s="5">
        <v>13.77</v>
      </c>
      <c r="H583" s="54">
        <f t="shared" si="19"/>
        <v>2.9133284777858037E-3</v>
      </c>
    </row>
    <row r="584" spans="2:8" x14ac:dyDescent="0.25">
      <c r="B584" s="60">
        <v>44642</v>
      </c>
      <c r="C584" s="5">
        <v>99.77</v>
      </c>
      <c r="D584" s="54">
        <f t="shared" si="18"/>
        <v>1.207141407993495E-2</v>
      </c>
      <c r="F584" s="59" t="s">
        <v>925</v>
      </c>
      <c r="G584" s="5">
        <v>13.77</v>
      </c>
      <c r="H584" s="54">
        <f t="shared" si="19"/>
        <v>0</v>
      </c>
    </row>
    <row r="585" spans="2:8" x14ac:dyDescent="0.25">
      <c r="B585" s="60">
        <v>44643</v>
      </c>
      <c r="C585" s="5">
        <v>98.65</v>
      </c>
      <c r="D585" s="54">
        <f t="shared" si="18"/>
        <v>-1.1225819384584446E-2</v>
      </c>
      <c r="F585" s="59" t="s">
        <v>924</v>
      </c>
      <c r="G585" s="5">
        <v>13.74</v>
      </c>
      <c r="H585" s="54">
        <f t="shared" si="19"/>
        <v>-2.1786492374726851E-3</v>
      </c>
    </row>
    <row r="586" spans="2:8" x14ac:dyDescent="0.25">
      <c r="B586" s="60">
        <v>44644</v>
      </c>
      <c r="C586" s="5">
        <v>99.79</v>
      </c>
      <c r="D586" s="54">
        <f t="shared" si="18"/>
        <v>1.1556006082108494E-2</v>
      </c>
      <c r="F586" s="59" t="s">
        <v>923</v>
      </c>
      <c r="G586" s="5">
        <v>13.62</v>
      </c>
      <c r="H586" s="54">
        <f t="shared" si="19"/>
        <v>-8.733624454148492E-3</v>
      </c>
    </row>
    <row r="587" spans="2:8" x14ac:dyDescent="0.25">
      <c r="B587" s="60">
        <v>44645</v>
      </c>
      <c r="C587" s="5">
        <v>99.98</v>
      </c>
      <c r="D587" s="54">
        <f t="shared" si="18"/>
        <v>1.903998396632911E-3</v>
      </c>
      <c r="F587" s="59" t="s">
        <v>922</v>
      </c>
      <c r="G587" s="5">
        <v>13.63</v>
      </c>
      <c r="H587" s="54">
        <f t="shared" si="19"/>
        <v>7.3421439060217253E-4</v>
      </c>
    </row>
    <row r="588" spans="2:8" x14ac:dyDescent="0.25">
      <c r="B588" s="60">
        <v>44648</v>
      </c>
      <c r="C588" s="5">
        <v>100.37</v>
      </c>
      <c r="D588" s="54">
        <f t="shared" si="18"/>
        <v>3.900780156031125E-3</v>
      </c>
      <c r="F588" s="59" t="s">
        <v>921</v>
      </c>
      <c r="G588" s="5">
        <v>13.64</v>
      </c>
      <c r="H588" s="54">
        <f t="shared" si="19"/>
        <v>7.336757153337814E-4</v>
      </c>
    </row>
    <row r="589" spans="2:8" x14ac:dyDescent="0.25">
      <c r="B589" s="60">
        <v>44649</v>
      </c>
      <c r="C589" s="5">
        <v>101.98</v>
      </c>
      <c r="D589" s="54">
        <f t="shared" si="18"/>
        <v>1.6040649596492873E-2</v>
      </c>
      <c r="F589" s="59" t="s">
        <v>920</v>
      </c>
      <c r="G589" s="5">
        <v>13.6</v>
      </c>
      <c r="H589" s="54">
        <f t="shared" si="19"/>
        <v>-2.9325513196482023E-3</v>
      </c>
    </row>
    <row r="590" spans="2:8" x14ac:dyDescent="0.25">
      <c r="B590" s="60">
        <v>44650</v>
      </c>
      <c r="C590" s="5">
        <v>101.41</v>
      </c>
      <c r="D590" s="54">
        <f t="shared" si="18"/>
        <v>-5.5893312414199148E-3</v>
      </c>
      <c r="F590" s="59" t="s">
        <v>919</v>
      </c>
      <c r="G590" s="5">
        <v>13.55</v>
      </c>
      <c r="H590" s="54">
        <f t="shared" si="19"/>
        <v>-3.67647058823517E-3</v>
      </c>
    </row>
    <row r="591" spans="2:8" x14ac:dyDescent="0.25">
      <c r="B591" s="60">
        <v>44651</v>
      </c>
      <c r="C591" s="5">
        <v>99.78</v>
      </c>
      <c r="D591" s="54">
        <f t="shared" si="18"/>
        <v>-1.6073365545804075E-2</v>
      </c>
      <c r="F591" s="59" t="s">
        <v>918</v>
      </c>
      <c r="G591" s="5">
        <v>13.65</v>
      </c>
      <c r="H591" s="54">
        <f t="shared" si="19"/>
        <v>7.3800738007379074E-3</v>
      </c>
    </row>
    <row r="592" spans="2:8" x14ac:dyDescent="0.25">
      <c r="B592" s="60">
        <v>44652</v>
      </c>
      <c r="C592" s="5">
        <v>100.43</v>
      </c>
      <c r="D592" s="54">
        <f t="shared" si="18"/>
        <v>6.5143315293647586E-3</v>
      </c>
      <c r="F592" s="59" t="s">
        <v>917</v>
      </c>
      <c r="G592" s="5">
        <v>13.67</v>
      </c>
      <c r="H592" s="54">
        <f t="shared" si="19"/>
        <v>1.46520146520146E-3</v>
      </c>
    </row>
    <row r="593" spans="2:8" x14ac:dyDescent="0.25">
      <c r="B593" s="60">
        <v>44655</v>
      </c>
      <c r="C593" s="5">
        <v>101.4</v>
      </c>
      <c r="D593" s="54">
        <f t="shared" si="18"/>
        <v>9.6584685850842344E-3</v>
      </c>
      <c r="F593" s="59" t="s">
        <v>916</v>
      </c>
      <c r="G593" s="5">
        <v>13.67</v>
      </c>
      <c r="H593" s="54">
        <f t="shared" si="19"/>
        <v>0</v>
      </c>
    </row>
    <row r="594" spans="2:8" x14ac:dyDescent="0.25">
      <c r="B594" s="60">
        <v>44656</v>
      </c>
      <c r="C594" s="5">
        <v>99.95</v>
      </c>
      <c r="D594" s="54">
        <f t="shared" si="18"/>
        <v>-1.429980276134124E-2</v>
      </c>
      <c r="F594" s="59" t="s">
        <v>915</v>
      </c>
      <c r="G594" s="5">
        <v>13.65</v>
      </c>
      <c r="H594" s="54">
        <f t="shared" si="19"/>
        <v>-1.4630577907827069E-3</v>
      </c>
    </row>
    <row r="595" spans="2:8" x14ac:dyDescent="0.25">
      <c r="B595" s="60">
        <v>44657</v>
      </c>
      <c r="C595" s="5">
        <v>98.8</v>
      </c>
      <c r="D595" s="54">
        <f t="shared" ref="D595:D658" si="20">C595/C594-1</f>
        <v>-1.1505752876438291E-2</v>
      </c>
      <c r="F595" s="59" t="s">
        <v>914</v>
      </c>
      <c r="G595" s="5">
        <v>13.67</v>
      </c>
      <c r="H595" s="54">
        <f t="shared" si="19"/>
        <v>1.46520146520146E-3</v>
      </c>
    </row>
    <row r="596" spans="2:8" x14ac:dyDescent="0.25">
      <c r="B596" s="60">
        <v>44658</v>
      </c>
      <c r="C596" s="5">
        <v>99.01</v>
      </c>
      <c r="D596" s="54">
        <f t="shared" si="20"/>
        <v>2.12550607287465E-3</v>
      </c>
      <c r="F596" s="59" t="s">
        <v>913</v>
      </c>
      <c r="G596" s="5">
        <v>13.65</v>
      </c>
      <c r="H596" s="54">
        <f t="shared" si="19"/>
        <v>-1.4630577907827069E-3</v>
      </c>
    </row>
    <row r="597" spans="2:8" x14ac:dyDescent="0.25">
      <c r="B597" s="60">
        <v>44659</v>
      </c>
      <c r="C597" s="5">
        <v>98.92</v>
      </c>
      <c r="D597" s="54">
        <f t="shared" si="20"/>
        <v>-9.0899909100095044E-4</v>
      </c>
      <c r="F597" s="59" t="s">
        <v>912</v>
      </c>
      <c r="G597" s="5">
        <v>13.53</v>
      </c>
      <c r="H597" s="54">
        <f t="shared" ref="H597:H660" si="21">G597/G596-1</f>
        <v>-8.791208791208871E-3</v>
      </c>
    </row>
    <row r="598" spans="2:8" x14ac:dyDescent="0.25">
      <c r="B598" s="60">
        <v>44662</v>
      </c>
      <c r="C598" s="5">
        <v>97.51</v>
      </c>
      <c r="D598" s="54">
        <f t="shared" si="20"/>
        <v>-1.4253942579862455E-2</v>
      </c>
      <c r="F598" s="59" t="s">
        <v>911</v>
      </c>
      <c r="G598" s="5">
        <v>13.49</v>
      </c>
      <c r="H598" s="54">
        <f t="shared" si="21"/>
        <v>-2.956393200295615E-3</v>
      </c>
    </row>
    <row r="599" spans="2:8" x14ac:dyDescent="0.25">
      <c r="B599" s="60">
        <v>44663</v>
      </c>
      <c r="C599" s="5">
        <v>96.97</v>
      </c>
      <c r="D599" s="54">
        <f t="shared" si="20"/>
        <v>-5.5378935493796133E-3</v>
      </c>
      <c r="F599" s="59" t="s">
        <v>910</v>
      </c>
      <c r="G599" s="5">
        <v>13.43</v>
      </c>
      <c r="H599" s="54">
        <f t="shared" si="21"/>
        <v>-4.4477390659748428E-3</v>
      </c>
    </row>
    <row r="600" spans="2:8" x14ac:dyDescent="0.25">
      <c r="B600" s="60">
        <v>44664</v>
      </c>
      <c r="C600" s="5">
        <v>98.14</v>
      </c>
      <c r="D600" s="54">
        <f t="shared" si="20"/>
        <v>1.2065587295039704E-2</v>
      </c>
      <c r="F600" s="59" t="s">
        <v>909</v>
      </c>
      <c r="G600" s="5">
        <v>13.36</v>
      </c>
      <c r="H600" s="54">
        <f t="shared" si="21"/>
        <v>-5.2122114668652353E-3</v>
      </c>
    </row>
    <row r="601" spans="2:8" x14ac:dyDescent="0.25">
      <c r="B601" s="60">
        <v>44665</v>
      </c>
      <c r="C601" s="5">
        <v>97.11</v>
      </c>
      <c r="D601" s="54">
        <f t="shared" si="20"/>
        <v>-1.0495210923170961E-2</v>
      </c>
      <c r="F601" s="59" t="s">
        <v>908</v>
      </c>
      <c r="G601" s="5">
        <v>13.35</v>
      </c>
      <c r="H601" s="54">
        <f t="shared" si="21"/>
        <v>-7.4850299401196807E-4</v>
      </c>
    </row>
    <row r="602" spans="2:8" x14ac:dyDescent="0.25">
      <c r="B602" s="60">
        <v>44669</v>
      </c>
      <c r="C602" s="5">
        <v>96.95</v>
      </c>
      <c r="D602" s="54">
        <f t="shared" si="20"/>
        <v>-1.6476161054473915E-3</v>
      </c>
      <c r="F602" s="59" t="s">
        <v>907</v>
      </c>
      <c r="G602" s="5">
        <v>13.32</v>
      </c>
      <c r="H602" s="54">
        <f t="shared" si="21"/>
        <v>-2.2471910112359383E-3</v>
      </c>
    </row>
    <row r="603" spans="2:8" x14ac:dyDescent="0.25">
      <c r="B603" s="60">
        <v>44670</v>
      </c>
      <c r="C603" s="5">
        <v>97.98</v>
      </c>
      <c r="D603" s="54">
        <f t="shared" si="20"/>
        <v>1.0624033006704448E-2</v>
      </c>
      <c r="F603" s="59" t="s">
        <v>906</v>
      </c>
      <c r="G603" s="5">
        <v>13.29</v>
      </c>
      <c r="H603" s="54">
        <f t="shared" si="21"/>
        <v>-2.2522522522523403E-3</v>
      </c>
    </row>
    <row r="604" spans="2:8" x14ac:dyDescent="0.25">
      <c r="B604" s="60">
        <v>44671</v>
      </c>
      <c r="C604" s="5">
        <v>98.07</v>
      </c>
      <c r="D604" s="54">
        <f t="shared" si="20"/>
        <v>9.1855480710334447E-4</v>
      </c>
      <c r="F604" s="59" t="s">
        <v>905</v>
      </c>
      <c r="G604" s="5">
        <v>13.17</v>
      </c>
      <c r="H604" s="54">
        <f t="shared" si="21"/>
        <v>-9.0293453724604733E-3</v>
      </c>
    </row>
    <row r="605" spans="2:8" x14ac:dyDescent="0.25">
      <c r="B605" s="60">
        <v>44672</v>
      </c>
      <c r="C605" s="5">
        <v>96.55</v>
      </c>
      <c r="D605" s="54">
        <f t="shared" si="20"/>
        <v>-1.5499133272152466E-2</v>
      </c>
      <c r="F605" s="59" t="s">
        <v>904</v>
      </c>
      <c r="G605" s="5">
        <v>13.21</v>
      </c>
      <c r="H605" s="54">
        <f t="shared" si="21"/>
        <v>3.0372057706911093E-3</v>
      </c>
    </row>
    <row r="606" spans="2:8" x14ac:dyDescent="0.25">
      <c r="B606" s="60">
        <v>44673</v>
      </c>
      <c r="C606" s="5">
        <v>94.38</v>
      </c>
      <c r="D606" s="54">
        <f t="shared" si="20"/>
        <v>-2.247540134645265E-2</v>
      </c>
      <c r="F606" s="59" t="s">
        <v>903</v>
      </c>
      <c r="G606" s="5">
        <v>13.21</v>
      </c>
      <c r="H606" s="54">
        <f t="shared" si="21"/>
        <v>0</v>
      </c>
    </row>
    <row r="607" spans="2:8" x14ac:dyDescent="0.25">
      <c r="B607" s="60">
        <v>44676</v>
      </c>
      <c r="C607" s="5">
        <v>94.53</v>
      </c>
      <c r="D607" s="54">
        <f t="shared" si="20"/>
        <v>1.5893197711380758E-3</v>
      </c>
      <c r="F607" s="59" t="s">
        <v>902</v>
      </c>
      <c r="G607" s="5">
        <v>13.14</v>
      </c>
      <c r="H607" s="54">
        <f t="shared" si="21"/>
        <v>-5.2990158970477319E-3</v>
      </c>
    </row>
    <row r="608" spans="2:8" x14ac:dyDescent="0.25">
      <c r="B608" s="60">
        <v>44677</v>
      </c>
      <c r="C608" s="5">
        <v>91.92</v>
      </c>
      <c r="D608" s="54">
        <f t="shared" si="20"/>
        <v>-2.7610282450015844E-2</v>
      </c>
      <c r="F608" s="59" t="s">
        <v>901</v>
      </c>
      <c r="G608" s="5">
        <v>13.12</v>
      </c>
      <c r="H608" s="54">
        <f t="shared" si="21"/>
        <v>-1.5220700152207556E-3</v>
      </c>
    </row>
    <row r="609" spans="2:8" x14ac:dyDescent="0.25">
      <c r="B609" s="60">
        <v>44678</v>
      </c>
      <c r="C609" s="5">
        <v>92.27</v>
      </c>
      <c r="D609" s="54">
        <f t="shared" si="20"/>
        <v>3.8076588337683237E-3</v>
      </c>
      <c r="F609" s="59" t="s">
        <v>900</v>
      </c>
      <c r="G609" s="5">
        <v>13.13</v>
      </c>
      <c r="H609" s="54">
        <f t="shared" si="21"/>
        <v>7.6219512195141448E-4</v>
      </c>
    </row>
    <row r="610" spans="2:8" x14ac:dyDescent="0.25">
      <c r="B610" s="60">
        <v>44679</v>
      </c>
      <c r="C610" s="5">
        <v>94.2</v>
      </c>
      <c r="D610" s="54">
        <f t="shared" si="20"/>
        <v>2.0916874390376039E-2</v>
      </c>
      <c r="F610" s="59" t="s">
        <v>899</v>
      </c>
      <c r="G610" s="5">
        <v>13.07</v>
      </c>
      <c r="H610" s="54">
        <f t="shared" si="21"/>
        <v>-4.5696877380045908E-3</v>
      </c>
    </row>
    <row r="611" spans="2:8" x14ac:dyDescent="0.25">
      <c r="B611" s="60">
        <v>44680</v>
      </c>
      <c r="C611" s="5">
        <v>91.73</v>
      </c>
      <c r="D611" s="54">
        <f t="shared" si="20"/>
        <v>-2.622080679405514E-2</v>
      </c>
      <c r="F611" s="59" t="s">
        <v>898</v>
      </c>
      <c r="G611" s="5">
        <v>12.97</v>
      </c>
      <c r="H611" s="54">
        <f t="shared" si="21"/>
        <v>-7.6511094108645539E-3</v>
      </c>
    </row>
    <row r="612" spans="2:8" x14ac:dyDescent="0.25">
      <c r="B612" s="60">
        <v>44683</v>
      </c>
      <c r="C612" s="5">
        <v>92.03</v>
      </c>
      <c r="D612" s="54">
        <f t="shared" si="20"/>
        <v>3.2704676768777752E-3</v>
      </c>
      <c r="F612" s="59" t="s">
        <v>897</v>
      </c>
      <c r="G612" s="5">
        <v>12.99</v>
      </c>
      <c r="H612" s="54">
        <f t="shared" si="21"/>
        <v>1.5420200462605838E-3</v>
      </c>
    </row>
    <row r="613" spans="2:8" x14ac:dyDescent="0.25">
      <c r="B613" s="60">
        <v>44684</v>
      </c>
      <c r="C613" s="5">
        <v>92.59</v>
      </c>
      <c r="D613" s="54">
        <f t="shared" si="20"/>
        <v>6.0849722916440641E-3</v>
      </c>
      <c r="F613" s="59" t="s">
        <v>896</v>
      </c>
      <c r="G613" s="5">
        <v>12.99</v>
      </c>
      <c r="H613" s="54">
        <f t="shared" si="21"/>
        <v>0</v>
      </c>
    </row>
    <row r="614" spans="2:8" x14ac:dyDescent="0.25">
      <c r="B614" s="60">
        <v>44685</v>
      </c>
      <c r="C614" s="5">
        <v>94.77</v>
      </c>
      <c r="D614" s="54">
        <f t="shared" si="20"/>
        <v>2.3544659250458899E-2</v>
      </c>
      <c r="F614" s="59" t="s">
        <v>895</v>
      </c>
      <c r="G614" s="5">
        <v>12.92</v>
      </c>
      <c r="H614" s="54">
        <f t="shared" si="21"/>
        <v>-5.388760585065433E-3</v>
      </c>
    </row>
    <row r="615" spans="2:8" x14ac:dyDescent="0.25">
      <c r="B615" s="60">
        <v>44686</v>
      </c>
      <c r="C615" s="5">
        <v>91.54</v>
      </c>
      <c r="D615" s="54">
        <f t="shared" si="20"/>
        <v>-3.4082515563996885E-2</v>
      </c>
      <c r="F615" s="59" t="s">
        <v>894</v>
      </c>
      <c r="G615" s="5">
        <v>12.94</v>
      </c>
      <c r="H615" s="54">
        <f t="shared" si="21"/>
        <v>1.5479876160990891E-3</v>
      </c>
    </row>
    <row r="616" spans="2:8" x14ac:dyDescent="0.25">
      <c r="B616" s="60">
        <v>44687</v>
      </c>
      <c r="C616" s="5">
        <v>90.63</v>
      </c>
      <c r="D616" s="54">
        <f t="shared" si="20"/>
        <v>-9.9410093948002487E-3</v>
      </c>
      <c r="F616" s="59" t="s">
        <v>893</v>
      </c>
      <c r="G616" s="5">
        <v>12.91</v>
      </c>
      <c r="H616" s="54">
        <f t="shared" si="21"/>
        <v>-2.3183925811436357E-3</v>
      </c>
    </row>
    <row r="617" spans="2:8" x14ac:dyDescent="0.25">
      <c r="B617" s="60">
        <v>44690</v>
      </c>
      <c r="C617" s="5">
        <v>87.76</v>
      </c>
      <c r="D617" s="54">
        <f t="shared" si="20"/>
        <v>-3.1667218360366234E-2</v>
      </c>
      <c r="F617" s="59" t="s">
        <v>892</v>
      </c>
      <c r="G617" s="5">
        <v>12.89</v>
      </c>
      <c r="H617" s="54">
        <f t="shared" si="21"/>
        <v>-1.5491866769945517E-3</v>
      </c>
    </row>
    <row r="618" spans="2:8" x14ac:dyDescent="0.25">
      <c r="B618" s="60">
        <v>44691</v>
      </c>
      <c r="C618" s="5">
        <v>88.07</v>
      </c>
      <c r="D618" s="54">
        <f t="shared" si="20"/>
        <v>3.5323609845030468E-3</v>
      </c>
      <c r="F618" s="59" t="s">
        <v>891</v>
      </c>
      <c r="G618" s="5">
        <v>12.82</v>
      </c>
      <c r="H618" s="54">
        <f t="shared" si="21"/>
        <v>-5.430566330488773E-3</v>
      </c>
    </row>
    <row r="619" spans="2:8" x14ac:dyDescent="0.25">
      <c r="B619" s="60">
        <v>44692</v>
      </c>
      <c r="C619" s="5">
        <v>86.97</v>
      </c>
      <c r="D619" s="54">
        <f t="shared" si="20"/>
        <v>-1.2490064721244365E-2</v>
      </c>
      <c r="F619" s="59" t="s">
        <v>890</v>
      </c>
      <c r="G619" s="5">
        <v>12.76</v>
      </c>
      <c r="H619" s="54">
        <f t="shared" si="21"/>
        <v>-4.6801872074883066E-3</v>
      </c>
    </row>
    <row r="620" spans="2:8" x14ac:dyDescent="0.25">
      <c r="B620" s="60">
        <v>44693</v>
      </c>
      <c r="C620" s="5">
        <v>86.85</v>
      </c>
      <c r="D620" s="54">
        <f t="shared" si="20"/>
        <v>-1.3797861331493744E-3</v>
      </c>
      <c r="F620" s="59" t="s">
        <v>889</v>
      </c>
      <c r="G620" s="5">
        <v>12.81</v>
      </c>
      <c r="H620" s="54">
        <f t="shared" si="21"/>
        <v>3.9184952978057463E-3</v>
      </c>
    </row>
    <row r="621" spans="2:8" x14ac:dyDescent="0.25">
      <c r="B621" s="60">
        <v>44694</v>
      </c>
      <c r="C621" s="5">
        <v>89.14</v>
      </c>
      <c r="D621" s="54">
        <f t="shared" si="20"/>
        <v>2.636729994242959E-2</v>
      </c>
      <c r="F621" s="59" t="s">
        <v>888</v>
      </c>
      <c r="G621" s="5">
        <v>12.81</v>
      </c>
      <c r="H621" s="54">
        <f t="shared" si="21"/>
        <v>0</v>
      </c>
    </row>
    <row r="622" spans="2:8" x14ac:dyDescent="0.25">
      <c r="B622" s="60">
        <v>44697</v>
      </c>
      <c r="C622" s="5">
        <v>88.85</v>
      </c>
      <c r="D622" s="54">
        <f t="shared" si="20"/>
        <v>-3.2533094009423724E-3</v>
      </c>
      <c r="F622" s="59" t="s">
        <v>887</v>
      </c>
      <c r="G622" s="5">
        <v>12.82</v>
      </c>
      <c r="H622" s="54">
        <f t="shared" si="21"/>
        <v>7.8064012490242085E-4</v>
      </c>
    </row>
    <row r="623" spans="2:8" x14ac:dyDescent="0.25">
      <c r="B623" s="60">
        <v>44698</v>
      </c>
      <c r="C623" s="5">
        <v>90.65</v>
      </c>
      <c r="D623" s="54">
        <f t="shared" si="20"/>
        <v>2.0258863252673232E-2</v>
      </c>
      <c r="F623" s="59" t="s">
        <v>886</v>
      </c>
      <c r="G623" s="5">
        <v>12.79</v>
      </c>
      <c r="H623" s="54">
        <f t="shared" si="21"/>
        <v>-2.3400936037442088E-3</v>
      </c>
    </row>
    <row r="624" spans="2:8" x14ac:dyDescent="0.25">
      <c r="B624" s="60">
        <v>44699</v>
      </c>
      <c r="C624" s="5">
        <v>87.62</v>
      </c>
      <c r="D624" s="54">
        <f t="shared" si="20"/>
        <v>-3.3425261996690603E-2</v>
      </c>
      <c r="F624" s="59" t="s">
        <v>885</v>
      </c>
      <c r="G624" s="5">
        <v>12.81</v>
      </c>
      <c r="H624" s="54">
        <f t="shared" si="21"/>
        <v>1.5637216575450363E-3</v>
      </c>
    </row>
    <row r="625" spans="2:8" x14ac:dyDescent="0.25">
      <c r="B625" s="60">
        <v>44700</v>
      </c>
      <c r="C625" s="5">
        <v>87.7</v>
      </c>
      <c r="D625" s="54">
        <f t="shared" si="20"/>
        <v>9.1303355398308916E-4</v>
      </c>
      <c r="F625" s="59" t="s">
        <v>884</v>
      </c>
      <c r="G625" s="5">
        <v>12.85</v>
      </c>
      <c r="H625" s="54">
        <f t="shared" si="21"/>
        <v>3.1225604996096834E-3</v>
      </c>
    </row>
    <row r="626" spans="2:8" x14ac:dyDescent="0.25">
      <c r="B626" s="60">
        <v>44701</v>
      </c>
      <c r="C626" s="5">
        <v>87.95</v>
      </c>
      <c r="D626" s="54">
        <f t="shared" si="20"/>
        <v>2.8506271379704629E-3</v>
      </c>
      <c r="F626" s="59" t="s">
        <v>883</v>
      </c>
      <c r="G626" s="5">
        <v>12.83</v>
      </c>
      <c r="H626" s="54">
        <f t="shared" si="21"/>
        <v>-1.5564202334630295E-3</v>
      </c>
    </row>
    <row r="627" spans="2:8" x14ac:dyDescent="0.25">
      <c r="B627" s="60">
        <v>44704</v>
      </c>
      <c r="C627" s="5">
        <v>89.37</v>
      </c>
      <c r="D627" s="54">
        <f t="shared" si="20"/>
        <v>1.6145537237066465E-2</v>
      </c>
      <c r="F627" s="59" t="s">
        <v>882</v>
      </c>
      <c r="G627" s="5">
        <v>12.93</v>
      </c>
      <c r="H627" s="54">
        <f t="shared" si="21"/>
        <v>7.7942322681214815E-3</v>
      </c>
    </row>
    <row r="628" spans="2:8" x14ac:dyDescent="0.25">
      <c r="B628" s="60">
        <v>44705</v>
      </c>
      <c r="C628" s="5">
        <v>88.63</v>
      </c>
      <c r="D628" s="54">
        <f t="shared" si="20"/>
        <v>-8.2801835067697338E-3</v>
      </c>
      <c r="F628" s="59" t="s">
        <v>881</v>
      </c>
      <c r="G628" s="5">
        <v>12.92</v>
      </c>
      <c r="H628" s="54">
        <f t="shared" si="21"/>
        <v>-7.7339520494967839E-4</v>
      </c>
    </row>
    <row r="629" spans="2:8" x14ac:dyDescent="0.25">
      <c r="B629" s="60">
        <v>44706</v>
      </c>
      <c r="C629" s="5">
        <v>89.24</v>
      </c>
      <c r="D629" s="54">
        <f t="shared" si="20"/>
        <v>6.8825454135168496E-3</v>
      </c>
      <c r="F629" s="59" t="s">
        <v>880</v>
      </c>
      <c r="G629" s="5">
        <v>12.99</v>
      </c>
      <c r="H629" s="54">
        <f t="shared" si="21"/>
        <v>5.4179566563468118E-3</v>
      </c>
    </row>
    <row r="630" spans="2:8" x14ac:dyDescent="0.25">
      <c r="B630" s="60">
        <v>44707</v>
      </c>
      <c r="C630" s="5">
        <v>90.71</v>
      </c>
      <c r="D630" s="54">
        <f t="shared" si="20"/>
        <v>1.6472433886149718E-2</v>
      </c>
      <c r="F630" s="59" t="s">
        <v>879</v>
      </c>
      <c r="G630" s="5">
        <v>13.02</v>
      </c>
      <c r="H630" s="54">
        <f t="shared" si="21"/>
        <v>2.3094688221707571E-3</v>
      </c>
    </row>
    <row r="631" spans="2:8" x14ac:dyDescent="0.25">
      <c r="B631" s="60">
        <v>44708</v>
      </c>
      <c r="C631" s="5">
        <v>92.56</v>
      </c>
      <c r="D631" s="54">
        <f t="shared" si="20"/>
        <v>2.0394664314849598E-2</v>
      </c>
      <c r="F631" s="59" t="s">
        <v>878</v>
      </c>
      <c r="G631" s="5">
        <v>13.01</v>
      </c>
      <c r="H631" s="54">
        <f t="shared" si="21"/>
        <v>-7.6804915514594452E-4</v>
      </c>
    </row>
    <row r="632" spans="2:8" x14ac:dyDescent="0.25">
      <c r="B632" s="60">
        <v>44712</v>
      </c>
      <c r="C632" s="5">
        <v>92.14</v>
      </c>
      <c r="D632" s="54">
        <f t="shared" si="20"/>
        <v>-4.5375972342264204E-3</v>
      </c>
      <c r="F632" s="59" t="s">
        <v>877</v>
      </c>
      <c r="G632" s="5">
        <v>13.04</v>
      </c>
      <c r="H632" s="54">
        <f t="shared" si="21"/>
        <v>2.305918524212025E-3</v>
      </c>
    </row>
    <row r="633" spans="2:8" x14ac:dyDescent="0.25">
      <c r="B633" s="60">
        <v>44713</v>
      </c>
      <c r="C633" s="5">
        <v>91.46</v>
      </c>
      <c r="D633" s="54">
        <f t="shared" si="20"/>
        <v>-7.3800738007381295E-3</v>
      </c>
      <c r="F633" s="59" t="s">
        <v>876</v>
      </c>
      <c r="G633" s="5">
        <v>13.08</v>
      </c>
      <c r="H633" s="54">
        <f t="shared" si="21"/>
        <v>3.0674846625766694E-3</v>
      </c>
    </row>
    <row r="634" spans="2:8" x14ac:dyDescent="0.25">
      <c r="B634" s="60">
        <v>44714</v>
      </c>
      <c r="C634" s="5">
        <v>93.3</v>
      </c>
      <c r="D634" s="54">
        <f t="shared" si="20"/>
        <v>2.0118084408484727E-2</v>
      </c>
      <c r="F634" s="59" t="s">
        <v>875</v>
      </c>
      <c r="G634" s="5">
        <v>12.98</v>
      </c>
      <c r="H634" s="54">
        <f t="shared" si="21"/>
        <v>-7.6452599388379117E-3</v>
      </c>
    </row>
    <row r="635" spans="2:8" x14ac:dyDescent="0.25">
      <c r="B635" s="60">
        <v>44715</v>
      </c>
      <c r="C635" s="5">
        <v>91.75</v>
      </c>
      <c r="D635" s="54">
        <f t="shared" si="20"/>
        <v>-1.6613076098606627E-2</v>
      </c>
      <c r="F635" s="59" t="s">
        <v>874</v>
      </c>
      <c r="G635" s="5">
        <v>12.96</v>
      </c>
      <c r="H635" s="54">
        <f t="shared" si="21"/>
        <v>-1.5408320493065508E-3</v>
      </c>
    </row>
    <row r="636" spans="2:8" x14ac:dyDescent="0.25">
      <c r="B636" s="60">
        <v>44718</v>
      </c>
      <c r="C636" s="5">
        <v>92.08</v>
      </c>
      <c r="D636" s="54">
        <f t="shared" si="20"/>
        <v>3.5967302452315497E-3</v>
      </c>
      <c r="F636" s="59" t="s">
        <v>873</v>
      </c>
      <c r="G636" s="5">
        <v>12.89</v>
      </c>
      <c r="H636" s="54">
        <f t="shared" si="21"/>
        <v>-5.401234567901203E-3</v>
      </c>
    </row>
    <row r="637" spans="2:8" x14ac:dyDescent="0.25">
      <c r="B637" s="60">
        <v>44719</v>
      </c>
      <c r="C637" s="5">
        <v>92.78</v>
      </c>
      <c r="D637" s="54">
        <f t="shared" si="20"/>
        <v>7.6020851433535874E-3</v>
      </c>
      <c r="F637" s="59" t="s">
        <v>872</v>
      </c>
      <c r="G637" s="5">
        <v>12.9</v>
      </c>
      <c r="H637" s="54">
        <f t="shared" si="21"/>
        <v>7.7579519006976128E-4</v>
      </c>
    </row>
    <row r="638" spans="2:8" x14ac:dyDescent="0.25">
      <c r="B638" s="60">
        <v>44720</v>
      </c>
      <c r="C638" s="5">
        <v>91.91</v>
      </c>
      <c r="D638" s="54">
        <f t="shared" si="20"/>
        <v>-9.3770209096788459E-3</v>
      </c>
      <c r="F638" s="59" t="s">
        <v>871</v>
      </c>
      <c r="G638" s="5">
        <v>12.86</v>
      </c>
      <c r="H638" s="54">
        <f t="shared" si="21"/>
        <v>-3.1007751937984773E-3</v>
      </c>
    </row>
    <row r="639" spans="2:8" x14ac:dyDescent="0.25">
      <c r="B639" s="60">
        <v>44721</v>
      </c>
      <c r="C639" s="5">
        <v>88.94</v>
      </c>
      <c r="D639" s="54">
        <f t="shared" si="20"/>
        <v>-3.2314220433032337E-2</v>
      </c>
      <c r="F639" s="59" t="s">
        <v>870</v>
      </c>
      <c r="G639" s="5">
        <v>12.78</v>
      </c>
      <c r="H639" s="54">
        <f t="shared" si="21"/>
        <v>-6.2208398133748455E-3</v>
      </c>
    </row>
    <row r="640" spans="2:8" x14ac:dyDescent="0.25">
      <c r="B640" s="60">
        <v>44722</v>
      </c>
      <c r="C640" s="5">
        <v>86.63</v>
      </c>
      <c r="D640" s="54">
        <f t="shared" si="20"/>
        <v>-2.5972565774679546E-2</v>
      </c>
      <c r="F640" s="59" t="s">
        <v>869</v>
      </c>
      <c r="G640" s="5">
        <v>12.79</v>
      </c>
      <c r="H640" s="54">
        <f t="shared" si="21"/>
        <v>7.8247261345842922E-4</v>
      </c>
    </row>
    <row r="641" spans="2:8" x14ac:dyDescent="0.25">
      <c r="B641" s="60">
        <v>44725</v>
      </c>
      <c r="C641" s="5">
        <v>83.42</v>
      </c>
      <c r="D641" s="54">
        <f t="shared" si="20"/>
        <v>-3.7054138289276173E-2</v>
      </c>
      <c r="F641" s="59" t="s">
        <v>868</v>
      </c>
      <c r="G641" s="5">
        <v>12.75</v>
      </c>
      <c r="H641" s="54">
        <f t="shared" si="21"/>
        <v>-3.1274433150898506E-3</v>
      </c>
    </row>
    <row r="642" spans="2:8" x14ac:dyDescent="0.25">
      <c r="B642" s="60">
        <v>44726</v>
      </c>
      <c r="C642" s="5">
        <v>83.17</v>
      </c>
      <c r="D642" s="54">
        <f t="shared" si="20"/>
        <v>-2.9968832414288826E-3</v>
      </c>
      <c r="F642" s="59" t="s">
        <v>867</v>
      </c>
      <c r="G642" s="5">
        <v>12.65</v>
      </c>
      <c r="H642" s="54">
        <f t="shared" si="21"/>
        <v>-7.8431372549019329E-3</v>
      </c>
    </row>
    <row r="643" spans="2:8" x14ac:dyDescent="0.25">
      <c r="B643" s="60">
        <v>44727</v>
      </c>
      <c r="C643" s="5">
        <v>84.44</v>
      </c>
      <c r="D643" s="54">
        <f t="shared" si="20"/>
        <v>1.5269929060959475E-2</v>
      </c>
      <c r="F643" s="59" t="s">
        <v>866</v>
      </c>
      <c r="G643" s="5">
        <v>12.53</v>
      </c>
      <c r="H643" s="54">
        <f t="shared" si="21"/>
        <v>-9.4861660079051946E-3</v>
      </c>
    </row>
    <row r="644" spans="2:8" x14ac:dyDescent="0.25">
      <c r="B644" s="60">
        <v>44728</v>
      </c>
      <c r="C644" s="5">
        <v>81.97</v>
      </c>
      <c r="D644" s="54">
        <f t="shared" si="20"/>
        <v>-2.9251539554713379E-2</v>
      </c>
      <c r="F644" s="59" t="s">
        <v>865</v>
      </c>
      <c r="G644" s="5">
        <v>12.43</v>
      </c>
      <c r="H644" s="54">
        <f t="shared" si="21"/>
        <v>-7.9808459696727452E-3</v>
      </c>
    </row>
    <row r="645" spans="2:8" x14ac:dyDescent="0.25">
      <c r="B645" s="60">
        <v>44729</v>
      </c>
      <c r="C645" s="5">
        <v>81.93</v>
      </c>
      <c r="D645" s="54">
        <f t="shared" si="20"/>
        <v>-4.879834085640411E-4</v>
      </c>
      <c r="F645" s="59" t="s">
        <v>864</v>
      </c>
      <c r="G645" s="5">
        <v>12.39</v>
      </c>
      <c r="H645" s="54">
        <f t="shared" si="21"/>
        <v>-3.2180209171358554E-3</v>
      </c>
    </row>
    <row r="646" spans="2:8" x14ac:dyDescent="0.25">
      <c r="B646" s="60">
        <v>44733</v>
      </c>
      <c r="C646" s="5">
        <v>83.76</v>
      </c>
      <c r="D646" s="54">
        <f t="shared" si="20"/>
        <v>2.2336140607835953E-2</v>
      </c>
      <c r="F646" s="59" t="s">
        <v>863</v>
      </c>
      <c r="G646" s="5">
        <v>12.41</v>
      </c>
      <c r="H646" s="54">
        <f t="shared" si="21"/>
        <v>1.6142050040355294E-3</v>
      </c>
    </row>
    <row r="647" spans="2:8" x14ac:dyDescent="0.25">
      <c r="B647" s="60">
        <v>44734</v>
      </c>
      <c r="C647" s="5">
        <v>83.28</v>
      </c>
      <c r="D647" s="54">
        <f t="shared" si="20"/>
        <v>-5.7306590257880652E-3</v>
      </c>
      <c r="F647" s="59" t="s">
        <v>862</v>
      </c>
      <c r="G647" s="5">
        <v>12.43</v>
      </c>
      <c r="H647" s="54">
        <f t="shared" si="21"/>
        <v>1.6116035455278066E-3</v>
      </c>
    </row>
    <row r="648" spans="2:8" x14ac:dyDescent="0.25">
      <c r="B648" s="60">
        <v>44735</v>
      </c>
      <c r="C648" s="5">
        <v>83.76</v>
      </c>
      <c r="D648" s="54">
        <f t="shared" si="20"/>
        <v>5.7636887608070175E-3</v>
      </c>
      <c r="F648" s="59" t="s">
        <v>861</v>
      </c>
      <c r="G648" s="5">
        <v>12.4</v>
      </c>
      <c r="H648" s="54">
        <f t="shared" si="21"/>
        <v>-2.4135156878519748E-3</v>
      </c>
    </row>
    <row r="649" spans="2:8" x14ac:dyDescent="0.25">
      <c r="B649" s="60">
        <v>44736</v>
      </c>
      <c r="C649" s="5">
        <v>86.31</v>
      </c>
      <c r="D649" s="54">
        <f t="shared" si="20"/>
        <v>3.0444126074498534E-2</v>
      </c>
      <c r="F649" s="59" t="s">
        <v>860</v>
      </c>
      <c r="G649" s="5">
        <v>12.44</v>
      </c>
      <c r="H649" s="54">
        <f t="shared" si="21"/>
        <v>3.225806451612856E-3</v>
      </c>
    </row>
    <row r="650" spans="2:8" x14ac:dyDescent="0.25">
      <c r="B650" s="60">
        <v>44739</v>
      </c>
      <c r="C650" s="5">
        <v>86.06</v>
      </c>
      <c r="D650" s="54">
        <f t="shared" si="20"/>
        <v>-2.8965357432511052E-3</v>
      </c>
      <c r="F650" s="59" t="s">
        <v>859</v>
      </c>
      <c r="G650" s="5">
        <v>12.52</v>
      </c>
      <c r="H650" s="54">
        <f t="shared" si="21"/>
        <v>6.4308681672025081E-3</v>
      </c>
    </row>
    <row r="651" spans="2:8" x14ac:dyDescent="0.25">
      <c r="B651" s="60">
        <v>44740</v>
      </c>
      <c r="C651" s="5">
        <v>84.79</v>
      </c>
      <c r="D651" s="54">
        <f t="shared" si="20"/>
        <v>-1.4757146177085678E-2</v>
      </c>
      <c r="F651" s="59" t="s">
        <v>858</v>
      </c>
      <c r="G651" s="5">
        <v>12.52</v>
      </c>
      <c r="H651" s="54">
        <f t="shared" si="21"/>
        <v>0</v>
      </c>
    </row>
    <row r="652" spans="2:8" x14ac:dyDescent="0.25">
      <c r="B652" s="60">
        <v>44741</v>
      </c>
      <c r="C652" s="5">
        <v>84.56</v>
      </c>
      <c r="D652" s="54">
        <f t="shared" si="20"/>
        <v>-2.712584031135834E-3</v>
      </c>
      <c r="F652" s="59" t="s">
        <v>857</v>
      </c>
      <c r="G652" s="5">
        <v>12.5</v>
      </c>
      <c r="H652" s="54">
        <f t="shared" si="21"/>
        <v>-1.5974440894568342E-3</v>
      </c>
    </row>
    <row r="653" spans="2:8" x14ac:dyDescent="0.25">
      <c r="B653" s="60">
        <v>44742</v>
      </c>
      <c r="C653" s="5">
        <v>83.89</v>
      </c>
      <c r="D653" s="54">
        <f t="shared" si="20"/>
        <v>-7.9233680227057679E-3</v>
      </c>
      <c r="F653" s="59" t="s">
        <v>856</v>
      </c>
      <c r="G653" s="5">
        <v>12.42</v>
      </c>
      <c r="H653" s="54">
        <f t="shared" si="21"/>
        <v>-6.3999999999999613E-3</v>
      </c>
    </row>
    <row r="654" spans="2:8" x14ac:dyDescent="0.25">
      <c r="B654" s="60">
        <v>44743</v>
      </c>
      <c r="C654" s="5">
        <v>84.48</v>
      </c>
      <c r="D654" s="54">
        <f t="shared" si="20"/>
        <v>7.0330194302061777E-3</v>
      </c>
      <c r="F654" s="59" t="s">
        <v>855</v>
      </c>
      <c r="G654" s="5">
        <v>12.41</v>
      </c>
      <c r="H654" s="54">
        <f t="shared" si="21"/>
        <v>-8.0515297906602612E-4</v>
      </c>
    </row>
    <row r="655" spans="2:8" x14ac:dyDescent="0.25">
      <c r="B655" s="60">
        <v>44747</v>
      </c>
      <c r="C655" s="5">
        <v>84.05</v>
      </c>
      <c r="D655" s="54">
        <f t="shared" si="20"/>
        <v>-5.0899621212121549E-3</v>
      </c>
      <c r="F655" s="59" t="s">
        <v>854</v>
      </c>
      <c r="G655" s="5">
        <v>12.47</v>
      </c>
      <c r="H655" s="54">
        <f t="shared" si="21"/>
        <v>4.8348106365834198E-3</v>
      </c>
    </row>
    <row r="656" spans="2:8" x14ac:dyDescent="0.25">
      <c r="B656" s="60">
        <v>44748</v>
      </c>
      <c r="C656" s="5">
        <v>84.17</v>
      </c>
      <c r="D656" s="54">
        <f t="shared" si="20"/>
        <v>1.4277215942892774E-3</v>
      </c>
      <c r="F656" s="59" t="s">
        <v>853</v>
      </c>
      <c r="G656" s="5">
        <v>12.52</v>
      </c>
      <c r="H656" s="54">
        <f t="shared" si="21"/>
        <v>4.0096230954289602E-3</v>
      </c>
    </row>
    <row r="657" spans="2:8" x14ac:dyDescent="0.25">
      <c r="B657" s="60">
        <v>44749</v>
      </c>
      <c r="C657" s="5">
        <v>85.51</v>
      </c>
      <c r="D657" s="54">
        <f t="shared" si="20"/>
        <v>1.5920161577759329E-2</v>
      </c>
      <c r="F657" s="59" t="s">
        <v>852</v>
      </c>
      <c r="G657" s="5">
        <v>12.49</v>
      </c>
      <c r="H657" s="54">
        <f t="shared" si="21"/>
        <v>-2.3961661341852514E-3</v>
      </c>
    </row>
    <row r="658" spans="2:8" x14ac:dyDescent="0.25">
      <c r="B658" s="60">
        <v>44750</v>
      </c>
      <c r="C658" s="5">
        <v>85.45</v>
      </c>
      <c r="D658" s="54">
        <f t="shared" si="20"/>
        <v>-7.0167231902706906E-4</v>
      </c>
      <c r="F658" s="59" t="s">
        <v>851</v>
      </c>
      <c r="G658" s="5">
        <v>12.5</v>
      </c>
      <c r="H658" s="54">
        <f t="shared" si="21"/>
        <v>8.0064051240991141E-4</v>
      </c>
    </row>
    <row r="659" spans="2:8" x14ac:dyDescent="0.25">
      <c r="B659" s="60">
        <v>44753</v>
      </c>
      <c r="C659" s="5">
        <v>84.24</v>
      </c>
      <c r="D659" s="54">
        <f t="shared" ref="D659:D722" si="22">C659/C658-1</f>
        <v>-1.4160327677004148E-2</v>
      </c>
      <c r="F659" s="59" t="s">
        <v>850</v>
      </c>
      <c r="G659" s="5">
        <v>12.44</v>
      </c>
      <c r="H659" s="54">
        <f t="shared" si="21"/>
        <v>-4.8000000000000265E-3</v>
      </c>
    </row>
    <row r="660" spans="2:8" x14ac:dyDescent="0.25">
      <c r="B660" s="60">
        <v>44754</v>
      </c>
      <c r="C660" s="5">
        <v>83.72</v>
      </c>
      <c r="D660" s="54">
        <f t="shared" si="22"/>
        <v>-6.1728395061727559E-3</v>
      </c>
      <c r="F660" s="59" t="s">
        <v>849</v>
      </c>
      <c r="G660" s="5">
        <v>12.4</v>
      </c>
      <c r="H660" s="54">
        <f t="shared" si="21"/>
        <v>-3.215434083601254E-3</v>
      </c>
    </row>
    <row r="661" spans="2:8" x14ac:dyDescent="0.25">
      <c r="B661" s="60">
        <v>44755</v>
      </c>
      <c r="C661" s="5">
        <v>83.38</v>
      </c>
      <c r="D661" s="54">
        <f t="shared" si="22"/>
        <v>-4.0611562350693076E-3</v>
      </c>
      <c r="F661" s="59" t="s">
        <v>848</v>
      </c>
      <c r="G661" s="5">
        <v>12.37</v>
      </c>
      <c r="H661" s="54">
        <f t="shared" ref="H661:H724" si="23">G661/G660-1</f>
        <v>-2.4193548387098085E-3</v>
      </c>
    </row>
    <row r="662" spans="2:8" x14ac:dyDescent="0.25">
      <c r="B662" s="60">
        <v>44756</v>
      </c>
      <c r="C662" s="5">
        <v>82.81</v>
      </c>
      <c r="D662" s="54">
        <f t="shared" si="22"/>
        <v>-6.8361717438233383E-3</v>
      </c>
      <c r="F662" s="59" t="s">
        <v>847</v>
      </c>
      <c r="G662" s="5">
        <v>12.43</v>
      </c>
      <c r="H662" s="54">
        <f t="shared" si="23"/>
        <v>4.8504446240906773E-3</v>
      </c>
    </row>
    <row r="663" spans="2:8" x14ac:dyDescent="0.25">
      <c r="B663" s="60">
        <v>44757</v>
      </c>
      <c r="C663" s="5">
        <v>84.22</v>
      </c>
      <c r="D663" s="54">
        <f t="shared" si="22"/>
        <v>1.7026929114841272E-2</v>
      </c>
      <c r="F663" s="59" t="s">
        <v>846</v>
      </c>
      <c r="G663" s="5">
        <v>12.38</v>
      </c>
      <c r="H663" s="54">
        <f t="shared" si="23"/>
        <v>-4.022526146419847E-3</v>
      </c>
    </row>
    <row r="664" spans="2:8" x14ac:dyDescent="0.25">
      <c r="B664" s="60">
        <v>44760</v>
      </c>
      <c r="C664" s="5">
        <v>83.99</v>
      </c>
      <c r="D664" s="54">
        <f t="shared" si="22"/>
        <v>-2.7309427689385934E-3</v>
      </c>
      <c r="F664" s="59" t="s">
        <v>845</v>
      </c>
      <c r="G664" s="5">
        <v>12.36</v>
      </c>
      <c r="H664" s="54">
        <f t="shared" si="23"/>
        <v>-1.615508885298933E-3</v>
      </c>
    </row>
    <row r="665" spans="2:8" x14ac:dyDescent="0.25">
      <c r="B665" s="60">
        <v>44761</v>
      </c>
      <c r="C665" s="5">
        <v>86.12</v>
      </c>
      <c r="D665" s="54">
        <f t="shared" si="22"/>
        <v>2.5360161924038671E-2</v>
      </c>
      <c r="F665" s="59" t="s">
        <v>844</v>
      </c>
      <c r="G665" s="5">
        <v>12.4</v>
      </c>
      <c r="H665" s="54">
        <f t="shared" si="23"/>
        <v>3.2362459546926292E-3</v>
      </c>
    </row>
    <row r="666" spans="2:8" x14ac:dyDescent="0.25">
      <c r="B666" s="60">
        <v>44762</v>
      </c>
      <c r="C666" s="5">
        <v>86.39</v>
      </c>
      <c r="D666" s="54">
        <f t="shared" si="22"/>
        <v>3.1351602415234936E-3</v>
      </c>
      <c r="F666" s="59" t="s">
        <v>843</v>
      </c>
      <c r="G666" s="5">
        <v>12.43</v>
      </c>
      <c r="H666" s="54">
        <f t="shared" si="23"/>
        <v>2.4193548387096975E-3</v>
      </c>
    </row>
    <row r="667" spans="2:8" x14ac:dyDescent="0.25">
      <c r="B667" s="60">
        <v>44763</v>
      </c>
      <c r="C667" s="5">
        <v>87.27</v>
      </c>
      <c r="D667" s="54">
        <f t="shared" si="22"/>
        <v>1.0186364162518835E-2</v>
      </c>
      <c r="F667" s="59" t="s">
        <v>842</v>
      </c>
      <c r="G667" s="5">
        <v>12.46</v>
      </c>
      <c r="H667" s="54">
        <f t="shared" si="23"/>
        <v>2.4135156878519748E-3</v>
      </c>
    </row>
    <row r="668" spans="2:8" x14ac:dyDescent="0.25">
      <c r="B668" s="60">
        <v>44764</v>
      </c>
      <c r="C668" s="5">
        <v>86.53</v>
      </c>
      <c r="D668" s="54">
        <f t="shared" si="22"/>
        <v>-8.4794316489056332E-3</v>
      </c>
      <c r="F668" s="59" t="s">
        <v>841</v>
      </c>
      <c r="G668" s="5">
        <v>12.46</v>
      </c>
      <c r="H668" s="54">
        <f t="shared" si="23"/>
        <v>0</v>
      </c>
    </row>
    <row r="669" spans="2:8" x14ac:dyDescent="0.25">
      <c r="B669" s="60">
        <v>44767</v>
      </c>
      <c r="C669" s="5">
        <v>86.8</v>
      </c>
      <c r="D669" s="54">
        <f t="shared" si="22"/>
        <v>3.1203050964982992E-3</v>
      </c>
      <c r="F669" s="59" t="s">
        <v>840</v>
      </c>
      <c r="G669" s="5">
        <v>12.45</v>
      </c>
      <c r="H669" s="54">
        <f t="shared" si="23"/>
        <v>-8.0256821829871594E-4</v>
      </c>
    </row>
    <row r="670" spans="2:8" x14ac:dyDescent="0.25">
      <c r="B670" s="60">
        <v>44768</v>
      </c>
      <c r="C670" s="5">
        <v>85.75</v>
      </c>
      <c r="D670" s="54">
        <f t="shared" si="22"/>
        <v>-1.2096774193548376E-2</v>
      </c>
      <c r="F670" s="59" t="s">
        <v>839</v>
      </c>
      <c r="G670" s="5">
        <v>12.59</v>
      </c>
      <c r="H670" s="54">
        <f t="shared" si="23"/>
        <v>1.1244979919678766E-2</v>
      </c>
    </row>
    <row r="671" spans="2:8" x14ac:dyDescent="0.25">
      <c r="B671" s="60">
        <v>44769</v>
      </c>
      <c r="C671" s="5">
        <v>87.85</v>
      </c>
      <c r="D671" s="54">
        <f t="shared" si="22"/>
        <v>2.4489795918367196E-2</v>
      </c>
      <c r="F671" s="59" t="s">
        <v>838</v>
      </c>
      <c r="G671" s="5">
        <v>12.58</v>
      </c>
      <c r="H671" s="54">
        <f t="shared" si="23"/>
        <v>-7.9428117553614896E-4</v>
      </c>
    </row>
    <row r="672" spans="2:8" x14ac:dyDescent="0.25">
      <c r="B672" s="60">
        <v>44770</v>
      </c>
      <c r="C672" s="5">
        <v>88.69</v>
      </c>
      <c r="D672" s="54">
        <f t="shared" si="22"/>
        <v>9.5617529880478447E-3</v>
      </c>
      <c r="F672" s="59" t="s">
        <v>837</v>
      </c>
      <c r="G672" s="5">
        <v>12.59</v>
      </c>
      <c r="H672" s="54">
        <f t="shared" si="23"/>
        <v>7.9491255961849916E-4</v>
      </c>
    </row>
    <row r="673" spans="2:8" x14ac:dyDescent="0.25">
      <c r="B673" s="60">
        <v>44771</v>
      </c>
      <c r="C673" s="5">
        <v>89.82</v>
      </c>
      <c r="D673" s="54">
        <f t="shared" si="22"/>
        <v>1.2741008005412002E-2</v>
      </c>
      <c r="F673" s="59" t="s">
        <v>836</v>
      </c>
      <c r="G673" s="5">
        <v>12.59</v>
      </c>
      <c r="H673" s="54">
        <f t="shared" si="23"/>
        <v>0</v>
      </c>
    </row>
    <row r="674" spans="2:8" x14ac:dyDescent="0.25">
      <c r="B674" s="60">
        <v>44774</v>
      </c>
      <c r="C674" s="5">
        <v>89.53</v>
      </c>
      <c r="D674" s="54">
        <f t="shared" si="22"/>
        <v>-3.2286795813849523E-3</v>
      </c>
      <c r="F674" s="59" t="s">
        <v>835</v>
      </c>
      <c r="G674" s="5">
        <v>12.67</v>
      </c>
      <c r="H674" s="54">
        <f t="shared" si="23"/>
        <v>6.3542494042891917E-3</v>
      </c>
    </row>
    <row r="675" spans="2:8" x14ac:dyDescent="0.25">
      <c r="B675" s="60">
        <v>44775</v>
      </c>
      <c r="C675" s="5">
        <v>88.83</v>
      </c>
      <c r="D675" s="54">
        <f t="shared" si="22"/>
        <v>-7.8186082877248486E-3</v>
      </c>
      <c r="F675" s="59" t="s">
        <v>834</v>
      </c>
      <c r="G675" s="5">
        <v>12.68</v>
      </c>
      <c r="H675" s="54">
        <f t="shared" si="23"/>
        <v>7.8926598263606706E-4</v>
      </c>
    </row>
    <row r="676" spans="2:8" x14ac:dyDescent="0.25">
      <c r="B676" s="60">
        <v>44776</v>
      </c>
      <c r="C676" s="5">
        <v>89.97</v>
      </c>
      <c r="D676" s="54">
        <f t="shared" si="22"/>
        <v>1.2833502195204405E-2</v>
      </c>
      <c r="F676" s="59" t="s">
        <v>833</v>
      </c>
      <c r="G676" s="5">
        <v>12.68</v>
      </c>
      <c r="H676" s="54">
        <f t="shared" si="23"/>
        <v>0</v>
      </c>
    </row>
    <row r="677" spans="2:8" x14ac:dyDescent="0.25">
      <c r="B677" s="60">
        <v>44777</v>
      </c>
      <c r="C677" s="5">
        <v>90.11</v>
      </c>
      <c r="D677" s="54">
        <f t="shared" si="22"/>
        <v>1.5560742469711286E-3</v>
      </c>
      <c r="F677" s="59" t="s">
        <v>832</v>
      </c>
      <c r="G677" s="5">
        <v>12.78</v>
      </c>
      <c r="H677" s="54">
        <f t="shared" si="23"/>
        <v>7.8864353312302349E-3</v>
      </c>
    </row>
    <row r="678" spans="2:8" x14ac:dyDescent="0.25">
      <c r="B678" s="60">
        <v>44778</v>
      </c>
      <c r="C678" s="5">
        <v>89.83</v>
      </c>
      <c r="D678" s="54">
        <f t="shared" si="22"/>
        <v>-3.1073132837643458E-3</v>
      </c>
      <c r="F678" s="59" t="s">
        <v>831</v>
      </c>
      <c r="G678" s="5">
        <v>12.81</v>
      </c>
      <c r="H678" s="54">
        <f t="shared" si="23"/>
        <v>2.3474178403757318E-3</v>
      </c>
    </row>
    <row r="679" spans="2:8" x14ac:dyDescent="0.25">
      <c r="B679" s="60">
        <v>44781</v>
      </c>
      <c r="C679" s="5">
        <v>89.87</v>
      </c>
      <c r="D679" s="54">
        <f t="shared" si="22"/>
        <v>4.4528553935219151E-4</v>
      </c>
      <c r="F679" s="59" t="s">
        <v>830</v>
      </c>
      <c r="G679" s="5">
        <v>12.69</v>
      </c>
      <c r="H679" s="54">
        <f t="shared" si="23"/>
        <v>-9.3676814988291612E-3</v>
      </c>
    </row>
    <row r="680" spans="2:8" x14ac:dyDescent="0.25">
      <c r="B680" s="60">
        <v>44782</v>
      </c>
      <c r="C680" s="5">
        <v>89.44</v>
      </c>
      <c r="D680" s="54">
        <f t="shared" si="22"/>
        <v>-4.784688995215336E-3</v>
      </c>
      <c r="F680" s="59" t="s">
        <v>829</v>
      </c>
      <c r="G680" s="5">
        <v>12.74</v>
      </c>
      <c r="H680" s="54">
        <f t="shared" si="23"/>
        <v>3.9401103230891632E-3</v>
      </c>
    </row>
    <row r="681" spans="2:8" x14ac:dyDescent="0.25">
      <c r="B681" s="60">
        <v>44783</v>
      </c>
      <c r="C681" s="5">
        <v>91.31</v>
      </c>
      <c r="D681" s="54">
        <f t="shared" si="22"/>
        <v>2.090787119856885E-2</v>
      </c>
      <c r="F681" s="59" t="s">
        <v>828</v>
      </c>
      <c r="G681" s="5">
        <v>12.66</v>
      </c>
      <c r="H681" s="54">
        <f t="shared" si="23"/>
        <v>-6.2794348508634634E-3</v>
      </c>
    </row>
    <row r="682" spans="2:8" x14ac:dyDescent="0.25">
      <c r="B682" s="60">
        <v>44784</v>
      </c>
      <c r="C682" s="5">
        <v>91.39</v>
      </c>
      <c r="D682" s="54">
        <f t="shared" si="22"/>
        <v>8.7613623918514349E-4</v>
      </c>
      <c r="F682" s="59" t="s">
        <v>827</v>
      </c>
      <c r="G682" s="5">
        <v>12.69</v>
      </c>
      <c r="H682" s="54">
        <f t="shared" si="23"/>
        <v>2.3696682464453556E-3</v>
      </c>
    </row>
    <row r="683" spans="2:8" x14ac:dyDescent="0.25">
      <c r="B683" s="60">
        <v>44785</v>
      </c>
      <c r="C683" s="5">
        <v>92.65</v>
      </c>
      <c r="D683" s="54">
        <f t="shared" si="22"/>
        <v>1.3787066418645466E-2</v>
      </c>
      <c r="F683" s="59" t="s">
        <v>826</v>
      </c>
      <c r="G683" s="5">
        <v>12.68</v>
      </c>
      <c r="H683" s="54">
        <f t="shared" si="23"/>
        <v>-7.8802206461781044E-4</v>
      </c>
    </row>
    <row r="684" spans="2:8" x14ac:dyDescent="0.25">
      <c r="B684" s="60">
        <v>44788</v>
      </c>
      <c r="C684" s="5">
        <v>92.63</v>
      </c>
      <c r="D684" s="54">
        <f t="shared" si="22"/>
        <v>-2.1586616297908368E-4</v>
      </c>
      <c r="F684" s="59" t="s">
        <v>825</v>
      </c>
      <c r="G684" s="5">
        <v>12.78</v>
      </c>
      <c r="H684" s="54">
        <f t="shared" si="23"/>
        <v>7.8864353312302349E-3</v>
      </c>
    </row>
    <row r="685" spans="2:8" x14ac:dyDescent="0.25">
      <c r="B685" s="60">
        <v>44789</v>
      </c>
      <c r="C685" s="5">
        <v>92.7</v>
      </c>
      <c r="D685" s="54">
        <f t="shared" si="22"/>
        <v>7.5569469934144706E-4</v>
      </c>
      <c r="F685" s="59" t="s">
        <v>824</v>
      </c>
      <c r="G685" s="5">
        <v>12.77</v>
      </c>
      <c r="H685" s="54">
        <f t="shared" si="23"/>
        <v>-7.8247261345854024E-4</v>
      </c>
    </row>
    <row r="686" spans="2:8" x14ac:dyDescent="0.25">
      <c r="B686" s="60">
        <v>44790</v>
      </c>
      <c r="C686" s="5">
        <v>92.03</v>
      </c>
      <c r="D686" s="54">
        <f t="shared" si="22"/>
        <v>-7.2276159654800498E-3</v>
      </c>
      <c r="F686" s="59" t="s">
        <v>823</v>
      </c>
      <c r="G686" s="5">
        <v>12.69</v>
      </c>
      <c r="H686" s="54">
        <f t="shared" si="23"/>
        <v>-6.2646828504306917E-3</v>
      </c>
    </row>
    <row r="687" spans="2:8" x14ac:dyDescent="0.25">
      <c r="B687" s="60">
        <v>44791</v>
      </c>
      <c r="C687" s="5">
        <v>92</v>
      </c>
      <c r="D687" s="54">
        <f t="shared" si="22"/>
        <v>-3.2598065848099544E-4</v>
      </c>
      <c r="F687" s="59" t="s">
        <v>822</v>
      </c>
      <c r="G687" s="5">
        <v>12.7</v>
      </c>
      <c r="H687" s="54">
        <f t="shared" si="23"/>
        <v>7.8802206461769941E-4</v>
      </c>
    </row>
    <row r="688" spans="2:8" x14ac:dyDescent="0.25">
      <c r="B688" s="60">
        <v>44792</v>
      </c>
      <c r="C688" s="5">
        <v>90.77</v>
      </c>
      <c r="D688" s="54">
        <f t="shared" si="22"/>
        <v>-1.3369565217391299E-2</v>
      </c>
      <c r="F688" s="59" t="s">
        <v>821</v>
      </c>
      <c r="G688" s="5">
        <v>12.64</v>
      </c>
      <c r="H688" s="54">
        <f t="shared" si="23"/>
        <v>-4.7244094488188004E-3</v>
      </c>
    </row>
    <row r="689" spans="2:8" x14ac:dyDescent="0.25">
      <c r="B689" s="60">
        <v>44795</v>
      </c>
      <c r="C689" s="5">
        <v>89.06</v>
      </c>
      <c r="D689" s="54">
        <f t="shared" si="22"/>
        <v>-1.8838823399801585E-2</v>
      </c>
      <c r="F689" s="59" t="s">
        <v>820</v>
      </c>
      <c r="G689" s="5">
        <v>12.6</v>
      </c>
      <c r="H689" s="54">
        <f t="shared" si="23"/>
        <v>-3.1645569620254443E-3</v>
      </c>
    </row>
    <row r="690" spans="2:8" x14ac:dyDescent="0.25">
      <c r="B690" s="60">
        <v>44796</v>
      </c>
      <c r="C690" s="5">
        <v>89.05</v>
      </c>
      <c r="D690" s="54">
        <f t="shared" si="22"/>
        <v>-1.1228385358186266E-4</v>
      </c>
      <c r="F690" s="59" t="s">
        <v>819</v>
      </c>
      <c r="G690" s="5">
        <v>12.58</v>
      </c>
      <c r="H690" s="54">
        <f t="shared" si="23"/>
        <v>-1.5873015873015817E-3</v>
      </c>
    </row>
    <row r="691" spans="2:8" x14ac:dyDescent="0.25">
      <c r="B691" s="60">
        <v>44797</v>
      </c>
      <c r="C691" s="5">
        <v>89.28</v>
      </c>
      <c r="D691" s="54">
        <f t="shared" si="22"/>
        <v>2.5828186412129028E-3</v>
      </c>
      <c r="F691" s="59" t="s">
        <v>818</v>
      </c>
      <c r="G691" s="5">
        <v>12.46</v>
      </c>
      <c r="H691" s="54">
        <f t="shared" si="23"/>
        <v>-9.5389507154212128E-3</v>
      </c>
    </row>
    <row r="692" spans="2:8" x14ac:dyDescent="0.25">
      <c r="B692" s="60">
        <v>44798</v>
      </c>
      <c r="C692" s="5">
        <v>90.6</v>
      </c>
      <c r="D692" s="54">
        <f t="shared" si="22"/>
        <v>1.4784946236559016E-2</v>
      </c>
      <c r="F692" s="59" t="s">
        <v>817</v>
      </c>
      <c r="G692" s="5">
        <v>12.37</v>
      </c>
      <c r="H692" s="54">
        <f t="shared" si="23"/>
        <v>-7.2231139646871112E-3</v>
      </c>
    </row>
    <row r="693" spans="2:8" x14ac:dyDescent="0.25">
      <c r="B693" s="60">
        <v>44799</v>
      </c>
      <c r="C693" s="5">
        <v>87.9</v>
      </c>
      <c r="D693" s="54">
        <f t="shared" si="22"/>
        <v>-2.9801324503311188E-2</v>
      </c>
      <c r="F693" s="59" t="s">
        <v>816</v>
      </c>
      <c r="G693" s="5">
        <v>12.36</v>
      </c>
      <c r="H693" s="54">
        <f t="shared" si="23"/>
        <v>-8.0840743734844622E-4</v>
      </c>
    </row>
    <row r="694" spans="2:8" x14ac:dyDescent="0.25">
      <c r="B694" s="60">
        <v>44802</v>
      </c>
      <c r="C694" s="5">
        <v>87.36</v>
      </c>
      <c r="D694" s="54">
        <f t="shared" si="22"/>
        <v>-6.1433447098976357E-3</v>
      </c>
      <c r="F694" s="59" t="s">
        <v>815</v>
      </c>
      <c r="G694" s="5">
        <v>12.3</v>
      </c>
      <c r="H694" s="54">
        <f t="shared" si="23"/>
        <v>-4.8543689320387218E-3</v>
      </c>
    </row>
    <row r="695" spans="2:8" x14ac:dyDescent="0.25">
      <c r="B695" s="60">
        <v>44803</v>
      </c>
      <c r="C695" s="5">
        <v>86.46</v>
      </c>
      <c r="D695" s="54">
        <f t="shared" si="22"/>
        <v>-1.0302197802197877E-2</v>
      </c>
      <c r="F695" s="59" t="s">
        <v>814</v>
      </c>
      <c r="G695" s="5">
        <v>12.31</v>
      </c>
      <c r="H695" s="54">
        <f t="shared" si="23"/>
        <v>8.1300813008122752E-4</v>
      </c>
    </row>
    <row r="696" spans="2:8" x14ac:dyDescent="0.25">
      <c r="B696" s="60">
        <v>44804</v>
      </c>
      <c r="C696" s="5">
        <v>85.9</v>
      </c>
      <c r="D696" s="54">
        <f t="shared" si="22"/>
        <v>-6.4769835762200634E-3</v>
      </c>
      <c r="F696" s="59" t="s">
        <v>813</v>
      </c>
      <c r="G696" s="5">
        <v>12.38</v>
      </c>
      <c r="H696" s="54">
        <f t="shared" si="23"/>
        <v>5.6864337936637366E-3</v>
      </c>
    </row>
    <row r="697" spans="2:8" x14ac:dyDescent="0.25">
      <c r="B697" s="60">
        <v>44805</v>
      </c>
      <c r="C697" s="5">
        <v>85.69</v>
      </c>
      <c r="D697" s="54">
        <f t="shared" si="22"/>
        <v>-2.4447031431898969E-3</v>
      </c>
      <c r="F697" s="59" t="s">
        <v>812</v>
      </c>
      <c r="G697" s="5">
        <v>12.29</v>
      </c>
      <c r="H697" s="54">
        <f t="shared" si="23"/>
        <v>-7.2697899838450875E-3</v>
      </c>
    </row>
    <row r="698" spans="2:8" x14ac:dyDescent="0.25">
      <c r="B698" s="60">
        <v>44806</v>
      </c>
      <c r="C698" s="5">
        <v>84.95</v>
      </c>
      <c r="D698" s="54">
        <f t="shared" si="22"/>
        <v>-8.6357801377056065E-3</v>
      </c>
      <c r="F698" s="59" t="s">
        <v>811</v>
      </c>
      <c r="G698" s="5">
        <v>12.3</v>
      </c>
      <c r="H698" s="54">
        <f t="shared" si="23"/>
        <v>8.1366965012219516E-4</v>
      </c>
    </row>
    <row r="699" spans="2:8" x14ac:dyDescent="0.25">
      <c r="B699" s="60">
        <v>44810</v>
      </c>
      <c r="C699" s="5">
        <v>84.48</v>
      </c>
      <c r="D699" s="54">
        <f t="shared" si="22"/>
        <v>-5.5326662742789523E-3</v>
      </c>
      <c r="F699" s="59" t="s">
        <v>810</v>
      </c>
      <c r="G699" s="5">
        <v>12.27</v>
      </c>
      <c r="H699" s="54">
        <f t="shared" si="23"/>
        <v>-2.4390243902440156E-3</v>
      </c>
    </row>
    <row r="700" spans="2:8" x14ac:dyDescent="0.25">
      <c r="B700" s="60">
        <v>44811</v>
      </c>
      <c r="C700" s="5">
        <v>85.74</v>
      </c>
      <c r="D700" s="54">
        <f t="shared" si="22"/>
        <v>1.4914772727272707E-2</v>
      </c>
      <c r="F700" s="59" t="s">
        <v>809</v>
      </c>
      <c r="G700" s="5">
        <v>12.2</v>
      </c>
      <c r="H700" s="54">
        <f t="shared" si="23"/>
        <v>-5.7049714751425951E-3</v>
      </c>
    </row>
    <row r="701" spans="2:8" x14ac:dyDescent="0.25">
      <c r="B701" s="60">
        <v>44812</v>
      </c>
      <c r="C701" s="5">
        <v>86.14</v>
      </c>
      <c r="D701" s="54">
        <f t="shared" si="22"/>
        <v>4.665267086540803E-3</v>
      </c>
      <c r="F701" s="59" t="s">
        <v>808</v>
      </c>
      <c r="G701" s="5">
        <v>12.2</v>
      </c>
      <c r="H701" s="54">
        <f t="shared" si="23"/>
        <v>0</v>
      </c>
    </row>
    <row r="702" spans="2:8" x14ac:dyDescent="0.25">
      <c r="B702" s="60">
        <v>44813</v>
      </c>
      <c r="C702" s="5">
        <v>87.73</v>
      </c>
      <c r="D702" s="54">
        <f t="shared" si="22"/>
        <v>1.8458323659159559E-2</v>
      </c>
      <c r="F702" s="59" t="s">
        <v>807</v>
      </c>
      <c r="G702" s="5">
        <v>12.08</v>
      </c>
      <c r="H702" s="54">
        <f t="shared" si="23"/>
        <v>-9.8360655737704805E-3</v>
      </c>
    </row>
    <row r="703" spans="2:8" x14ac:dyDescent="0.25">
      <c r="B703" s="60">
        <v>44816</v>
      </c>
      <c r="C703" s="5">
        <v>88.81</v>
      </c>
      <c r="D703" s="54">
        <f t="shared" si="22"/>
        <v>1.2310498119229463E-2</v>
      </c>
      <c r="F703" s="59" t="s">
        <v>806</v>
      </c>
      <c r="G703" s="5">
        <v>12.04</v>
      </c>
      <c r="H703" s="54">
        <f t="shared" si="23"/>
        <v>-3.3112582781458233E-3</v>
      </c>
    </row>
    <row r="704" spans="2:8" x14ac:dyDescent="0.25">
      <c r="B704" s="60">
        <v>44817</v>
      </c>
      <c r="C704" s="5">
        <v>85.3</v>
      </c>
      <c r="D704" s="54">
        <f t="shared" si="22"/>
        <v>-3.9522576286454281E-2</v>
      </c>
      <c r="F704" s="59" t="s">
        <v>805</v>
      </c>
      <c r="G704" s="5">
        <v>12.1</v>
      </c>
      <c r="H704" s="54">
        <f t="shared" si="23"/>
        <v>4.983388704318914E-3</v>
      </c>
    </row>
    <row r="705" spans="2:8" x14ac:dyDescent="0.25">
      <c r="B705" s="60">
        <v>44818</v>
      </c>
      <c r="C705" s="5">
        <v>85.64</v>
      </c>
      <c r="D705" s="54">
        <f t="shared" si="22"/>
        <v>3.9859320046893298E-3</v>
      </c>
      <c r="F705" s="59" t="s">
        <v>804</v>
      </c>
      <c r="G705" s="5">
        <v>12.12</v>
      </c>
      <c r="H705" s="54">
        <f t="shared" si="23"/>
        <v>1.6528925619834212E-3</v>
      </c>
    </row>
    <row r="706" spans="2:8" x14ac:dyDescent="0.25">
      <c r="B706" s="60">
        <v>44819</v>
      </c>
      <c r="C706" s="5">
        <v>84.75</v>
      </c>
      <c r="D706" s="54">
        <f t="shared" si="22"/>
        <v>-1.0392340028024249E-2</v>
      </c>
      <c r="F706" s="59" t="s">
        <v>803</v>
      </c>
      <c r="G706" s="5">
        <v>12.16</v>
      </c>
      <c r="H706" s="54">
        <f t="shared" si="23"/>
        <v>3.3003300330034513E-3</v>
      </c>
    </row>
    <row r="707" spans="2:8" x14ac:dyDescent="0.25">
      <c r="B707" s="60">
        <v>44820</v>
      </c>
      <c r="C707" s="5">
        <v>83.99</v>
      </c>
      <c r="D707" s="54">
        <f t="shared" si="22"/>
        <v>-8.9675516224189122E-3</v>
      </c>
      <c r="F707" s="59" t="s">
        <v>802</v>
      </c>
      <c r="G707" s="5">
        <v>12.07</v>
      </c>
      <c r="H707" s="54">
        <f t="shared" si="23"/>
        <v>-7.4013157894736725E-3</v>
      </c>
    </row>
    <row r="708" spans="2:8" x14ac:dyDescent="0.25">
      <c r="B708" s="60">
        <v>44823</v>
      </c>
      <c r="C708" s="5">
        <v>84.54</v>
      </c>
      <c r="D708" s="54">
        <f t="shared" si="22"/>
        <v>6.5483986188832333E-3</v>
      </c>
      <c r="F708" s="59" t="s">
        <v>801</v>
      </c>
      <c r="G708" s="5">
        <v>12.05</v>
      </c>
      <c r="H708" s="54">
        <f t="shared" si="23"/>
        <v>-1.657000828500399E-3</v>
      </c>
    </row>
    <row r="709" spans="2:8" x14ac:dyDescent="0.25">
      <c r="B709" s="60">
        <v>44824</v>
      </c>
      <c r="C709" s="5">
        <v>83.5</v>
      </c>
      <c r="D709" s="54">
        <f t="shared" si="22"/>
        <v>-1.2301868937780958E-2</v>
      </c>
      <c r="F709" s="59" t="s">
        <v>800</v>
      </c>
      <c r="G709" s="5">
        <v>12.04</v>
      </c>
      <c r="H709" s="54">
        <f t="shared" si="23"/>
        <v>-8.2987551867230724E-4</v>
      </c>
    </row>
    <row r="710" spans="2:8" x14ac:dyDescent="0.25">
      <c r="B710" s="60">
        <v>44825</v>
      </c>
      <c r="C710" s="5">
        <v>82.13</v>
      </c>
      <c r="D710" s="54">
        <f t="shared" si="22"/>
        <v>-1.6407185628742549E-2</v>
      </c>
      <c r="F710" s="59" t="s">
        <v>799</v>
      </c>
      <c r="G710" s="5">
        <v>12.01</v>
      </c>
      <c r="H710" s="54">
        <f t="shared" si="23"/>
        <v>-2.491694352159457E-3</v>
      </c>
    </row>
    <row r="711" spans="2:8" x14ac:dyDescent="0.25">
      <c r="B711" s="60">
        <v>44826</v>
      </c>
      <c r="C711" s="5">
        <v>81.52</v>
      </c>
      <c r="D711" s="54">
        <f t="shared" si="22"/>
        <v>-7.4272494825277091E-3</v>
      </c>
      <c r="F711" s="59" t="s">
        <v>798</v>
      </c>
      <c r="G711" s="5">
        <v>11.99</v>
      </c>
      <c r="H711" s="54">
        <f t="shared" si="23"/>
        <v>-1.6652789342214147E-3</v>
      </c>
    </row>
    <row r="712" spans="2:8" x14ac:dyDescent="0.25">
      <c r="B712" s="60">
        <v>44827</v>
      </c>
      <c r="C712" s="5">
        <v>79.81</v>
      </c>
      <c r="D712" s="54">
        <f t="shared" si="22"/>
        <v>-2.0976447497546569E-2</v>
      </c>
      <c r="F712" s="59" t="s">
        <v>797</v>
      </c>
      <c r="G712" s="5">
        <v>11.96</v>
      </c>
      <c r="H712" s="54">
        <f t="shared" si="23"/>
        <v>-2.5020850708923348E-3</v>
      </c>
    </row>
    <row r="713" spans="2:8" x14ac:dyDescent="0.25">
      <c r="B713" s="60">
        <v>44830</v>
      </c>
      <c r="C713" s="5">
        <v>78.86</v>
      </c>
      <c r="D713" s="54">
        <f t="shared" si="22"/>
        <v>-1.190327026688387E-2</v>
      </c>
      <c r="F713" s="59" t="s">
        <v>796</v>
      </c>
      <c r="G713" s="5">
        <v>11.94</v>
      </c>
      <c r="H713" s="54">
        <f t="shared" si="23"/>
        <v>-1.6722408026756952E-3</v>
      </c>
    </row>
    <row r="714" spans="2:8" x14ac:dyDescent="0.25">
      <c r="B714" s="60">
        <v>44831</v>
      </c>
      <c r="C714" s="5">
        <v>78.599999999999994</v>
      </c>
      <c r="D714" s="54">
        <f t="shared" si="22"/>
        <v>-3.2969819934061118E-3</v>
      </c>
      <c r="F714" s="59" t="s">
        <v>795</v>
      </c>
      <c r="G714" s="5">
        <v>11.91</v>
      </c>
      <c r="H714" s="54">
        <f t="shared" si="23"/>
        <v>-2.5125628140703071E-3</v>
      </c>
    </row>
    <row r="715" spans="2:8" x14ac:dyDescent="0.25">
      <c r="B715" s="60">
        <v>44832</v>
      </c>
      <c r="C715" s="5">
        <v>80.209999999999994</v>
      </c>
      <c r="D715" s="54">
        <f t="shared" si="22"/>
        <v>2.0483460559796329E-2</v>
      </c>
      <c r="F715" s="59" t="s">
        <v>794</v>
      </c>
      <c r="G715" s="5">
        <v>11.81</v>
      </c>
      <c r="H715" s="54">
        <f t="shared" si="23"/>
        <v>-8.3963056255247359E-3</v>
      </c>
    </row>
    <row r="716" spans="2:8" x14ac:dyDescent="0.25">
      <c r="B716" s="60">
        <v>44833</v>
      </c>
      <c r="C716" s="5">
        <v>78.7</v>
      </c>
      <c r="D716" s="54">
        <f t="shared" si="22"/>
        <v>-1.8825582845031663E-2</v>
      </c>
      <c r="F716" s="59" t="s">
        <v>793</v>
      </c>
      <c r="G716" s="5">
        <v>11.73</v>
      </c>
      <c r="H716" s="54">
        <f t="shared" si="23"/>
        <v>-6.7739204064352077E-3</v>
      </c>
    </row>
    <row r="717" spans="2:8" x14ac:dyDescent="0.25">
      <c r="B717" s="60">
        <v>44834</v>
      </c>
      <c r="C717" s="5">
        <v>77.83</v>
      </c>
      <c r="D717" s="54">
        <f t="shared" si="22"/>
        <v>-1.1054637865311356E-2</v>
      </c>
      <c r="F717" s="59" t="s">
        <v>792</v>
      </c>
      <c r="G717" s="5">
        <v>11.61</v>
      </c>
      <c r="H717" s="54">
        <f t="shared" si="23"/>
        <v>-1.0230179028133057E-2</v>
      </c>
    </row>
    <row r="718" spans="2:8" x14ac:dyDescent="0.25">
      <c r="B718" s="60">
        <v>44837</v>
      </c>
      <c r="C718" s="5">
        <v>79.680000000000007</v>
      </c>
      <c r="D718" s="54">
        <f t="shared" si="22"/>
        <v>2.3769754593344627E-2</v>
      </c>
      <c r="F718" s="59" t="s">
        <v>791</v>
      </c>
      <c r="G718" s="5">
        <v>11.57</v>
      </c>
      <c r="H718" s="54">
        <f t="shared" si="23"/>
        <v>-3.445305770887086E-3</v>
      </c>
    </row>
    <row r="719" spans="2:8" x14ac:dyDescent="0.25">
      <c r="B719" s="60">
        <v>44838</v>
      </c>
      <c r="C719" s="5">
        <v>82.4</v>
      </c>
      <c r="D719" s="54">
        <f t="shared" si="22"/>
        <v>3.4136546184738936E-2</v>
      </c>
      <c r="F719" s="59" t="s">
        <v>790</v>
      </c>
      <c r="G719" s="5">
        <v>11.65</v>
      </c>
      <c r="H719" s="54">
        <f t="shared" si="23"/>
        <v>6.9144338807261008E-3</v>
      </c>
    </row>
    <row r="720" spans="2:8" x14ac:dyDescent="0.25">
      <c r="B720" s="60">
        <v>44839</v>
      </c>
      <c r="C720" s="5">
        <v>82.03</v>
      </c>
      <c r="D720" s="54">
        <f t="shared" si="22"/>
        <v>-4.4902912621359592E-3</v>
      </c>
      <c r="F720" s="59" t="s">
        <v>789</v>
      </c>
      <c r="G720" s="5">
        <v>11.67</v>
      </c>
      <c r="H720" s="54">
        <f t="shared" si="23"/>
        <v>1.7167381974247942E-3</v>
      </c>
    </row>
    <row r="721" spans="2:8" x14ac:dyDescent="0.25">
      <c r="B721" s="60">
        <v>44840</v>
      </c>
      <c r="C721" s="5">
        <v>81.08</v>
      </c>
      <c r="D721" s="54">
        <f t="shared" si="22"/>
        <v>-1.1581128855296829E-2</v>
      </c>
      <c r="F721" s="59" t="s">
        <v>788</v>
      </c>
      <c r="G721" s="5">
        <v>11.66</v>
      </c>
      <c r="H721" s="54">
        <f t="shared" si="23"/>
        <v>-8.5689802913446744E-4</v>
      </c>
    </row>
    <row r="722" spans="2:8" x14ac:dyDescent="0.25">
      <c r="B722" s="60">
        <v>44841</v>
      </c>
      <c r="C722" s="5">
        <v>79.02</v>
      </c>
      <c r="D722" s="54">
        <f t="shared" si="22"/>
        <v>-2.5407005426739016E-2</v>
      </c>
      <c r="F722" s="59" t="s">
        <v>787</v>
      </c>
      <c r="G722" s="5">
        <v>11.77</v>
      </c>
      <c r="H722" s="54">
        <f t="shared" si="23"/>
        <v>9.4339622641508303E-3</v>
      </c>
    </row>
    <row r="723" spans="2:8" x14ac:dyDescent="0.25">
      <c r="B723" s="60">
        <v>44844</v>
      </c>
      <c r="C723" s="5">
        <v>78.39</v>
      </c>
      <c r="D723" s="54">
        <f t="shared" ref="D723:D780" si="24">C723/C722-1</f>
        <v>-7.9726651480637178E-3</v>
      </c>
      <c r="F723" s="59" t="s">
        <v>786</v>
      </c>
      <c r="G723" s="5">
        <v>11.74</v>
      </c>
      <c r="H723" s="54">
        <f t="shared" si="23"/>
        <v>-2.5488530161427159E-3</v>
      </c>
    </row>
    <row r="724" spans="2:8" x14ac:dyDescent="0.25">
      <c r="B724" s="60">
        <v>44845</v>
      </c>
      <c r="C724" s="5">
        <v>77.73</v>
      </c>
      <c r="D724" s="54">
        <f t="shared" si="24"/>
        <v>-8.4194412552620612E-3</v>
      </c>
      <c r="F724" s="59" t="s">
        <v>785</v>
      </c>
      <c r="G724" s="5">
        <v>11.67</v>
      </c>
      <c r="H724" s="54">
        <f t="shared" si="23"/>
        <v>-5.9625212947189699E-3</v>
      </c>
    </row>
    <row r="725" spans="2:8" x14ac:dyDescent="0.25">
      <c r="B725" s="60">
        <v>44846</v>
      </c>
      <c r="C725" s="5">
        <v>77.52</v>
      </c>
      <c r="D725" s="54">
        <f t="shared" si="24"/>
        <v>-2.7016595908916363E-3</v>
      </c>
      <c r="F725" s="59" t="s">
        <v>784</v>
      </c>
      <c r="G725" s="5">
        <v>11.6</v>
      </c>
      <c r="H725" s="54">
        <f t="shared" ref="H725:H782" si="25">G725/G724-1</f>
        <v>-5.9982862039417162E-3</v>
      </c>
    </row>
    <row r="726" spans="2:8" x14ac:dyDescent="0.25">
      <c r="B726" s="60">
        <v>44847</v>
      </c>
      <c r="C726" s="5">
        <v>79.27</v>
      </c>
      <c r="D726" s="54">
        <f t="shared" si="24"/>
        <v>2.257481940144479E-2</v>
      </c>
      <c r="F726" s="59" t="s">
        <v>783</v>
      </c>
      <c r="G726" s="5">
        <v>11.5</v>
      </c>
      <c r="H726" s="54">
        <f t="shared" si="25"/>
        <v>-8.6206896551723755E-3</v>
      </c>
    </row>
    <row r="727" spans="2:8" x14ac:dyDescent="0.25">
      <c r="B727" s="60">
        <v>44848</v>
      </c>
      <c r="C727" s="5">
        <v>77.59</v>
      </c>
      <c r="D727" s="54">
        <f t="shared" si="24"/>
        <v>-2.1193389680837504E-2</v>
      </c>
      <c r="F727" s="59" t="s">
        <v>782</v>
      </c>
      <c r="G727" s="5">
        <v>11.48</v>
      </c>
      <c r="H727" s="54">
        <f t="shared" si="25"/>
        <v>-1.7391304347825765E-3</v>
      </c>
    </row>
    <row r="728" spans="2:8" x14ac:dyDescent="0.25">
      <c r="B728" s="60">
        <v>44851</v>
      </c>
      <c r="C728" s="5">
        <v>79.599999999999994</v>
      </c>
      <c r="D728" s="54">
        <f t="shared" si="24"/>
        <v>2.5905400180435523E-2</v>
      </c>
      <c r="F728" s="59" t="s">
        <v>781</v>
      </c>
      <c r="G728" s="5">
        <v>11.45</v>
      </c>
      <c r="H728" s="54">
        <f t="shared" si="25"/>
        <v>-2.613240418118612E-3</v>
      </c>
    </row>
    <row r="729" spans="2:8" x14ac:dyDescent="0.25">
      <c r="B729" s="60">
        <v>44852</v>
      </c>
      <c r="C729" s="5">
        <v>80.349999999999994</v>
      </c>
      <c r="D729" s="54">
        <f t="shared" si="24"/>
        <v>9.4221105527638738E-3</v>
      </c>
      <c r="F729" s="59" t="s">
        <v>780</v>
      </c>
      <c r="G729" s="5">
        <v>11.46</v>
      </c>
      <c r="H729" s="54">
        <f t="shared" si="25"/>
        <v>8.7336244541491581E-4</v>
      </c>
    </row>
    <row r="730" spans="2:8" x14ac:dyDescent="0.25">
      <c r="B730" s="60">
        <v>44853</v>
      </c>
      <c r="C730" s="5">
        <v>79.53</v>
      </c>
      <c r="D730" s="54">
        <f t="shared" si="24"/>
        <v>-1.0205351586807687E-2</v>
      </c>
      <c r="F730" s="59" t="s">
        <v>779</v>
      </c>
      <c r="G730" s="5">
        <v>11.46</v>
      </c>
      <c r="H730" s="54">
        <f t="shared" si="25"/>
        <v>0</v>
      </c>
    </row>
    <row r="731" spans="2:8" x14ac:dyDescent="0.25">
      <c r="B731" s="60">
        <v>44854</v>
      </c>
      <c r="C731" s="5">
        <v>79.150000000000006</v>
      </c>
      <c r="D731" s="54">
        <f t="shared" si="24"/>
        <v>-4.7780711681125743E-3</v>
      </c>
      <c r="F731" s="59" t="s">
        <v>778</v>
      </c>
      <c r="G731" s="5">
        <v>11.49</v>
      </c>
      <c r="H731" s="54">
        <f t="shared" si="25"/>
        <v>2.6178010471202828E-3</v>
      </c>
    </row>
    <row r="732" spans="2:8" x14ac:dyDescent="0.25">
      <c r="B732" s="60">
        <v>44855</v>
      </c>
      <c r="C732" s="5">
        <v>80.83</v>
      </c>
      <c r="D732" s="54">
        <f t="shared" si="24"/>
        <v>2.122552116234977E-2</v>
      </c>
      <c r="F732" s="59" t="s">
        <v>777</v>
      </c>
      <c r="G732" s="5">
        <v>11.44</v>
      </c>
      <c r="H732" s="54">
        <f t="shared" si="25"/>
        <v>-4.3516100957354809E-3</v>
      </c>
    </row>
    <row r="733" spans="2:8" x14ac:dyDescent="0.25">
      <c r="B733" s="60">
        <v>44858</v>
      </c>
      <c r="C733" s="5">
        <v>81.069999999999993</v>
      </c>
      <c r="D733" s="54">
        <f t="shared" si="24"/>
        <v>2.9691946059631213E-3</v>
      </c>
      <c r="F733" s="59" t="s">
        <v>776</v>
      </c>
      <c r="G733" s="5">
        <v>11.39</v>
      </c>
      <c r="H733" s="54">
        <f t="shared" si="25"/>
        <v>-4.3706293706292643E-3</v>
      </c>
    </row>
    <row r="734" spans="2:8" x14ac:dyDescent="0.25">
      <c r="B734" s="60">
        <v>44859</v>
      </c>
      <c r="C734" s="5">
        <v>82.5</v>
      </c>
      <c r="D734" s="54">
        <f t="shared" si="24"/>
        <v>1.7639077340569909E-2</v>
      </c>
      <c r="F734" s="59" t="s">
        <v>775</v>
      </c>
      <c r="G734" s="5">
        <v>11.32</v>
      </c>
      <c r="H734" s="54">
        <f t="shared" si="25"/>
        <v>-6.1457418788410934E-3</v>
      </c>
    </row>
    <row r="735" spans="2:8" x14ac:dyDescent="0.25">
      <c r="B735" s="60">
        <v>44860</v>
      </c>
      <c r="C735" s="5">
        <v>82.51</v>
      </c>
      <c r="D735" s="54">
        <f t="shared" si="24"/>
        <v>1.2121212121218861E-4</v>
      </c>
      <c r="F735" s="59" t="s">
        <v>774</v>
      </c>
      <c r="G735" s="5">
        <v>11.36</v>
      </c>
      <c r="H735" s="54">
        <f t="shared" si="25"/>
        <v>3.5335689045936647E-3</v>
      </c>
    </row>
    <row r="736" spans="2:8" x14ac:dyDescent="0.25">
      <c r="B736" s="60">
        <v>44861</v>
      </c>
      <c r="C736" s="5">
        <v>82.01</v>
      </c>
      <c r="D736" s="54">
        <f t="shared" si="24"/>
        <v>-6.0598715307235151E-3</v>
      </c>
      <c r="F736" s="59" t="s">
        <v>773</v>
      </c>
      <c r="G736" s="5">
        <v>11.45</v>
      </c>
      <c r="H736" s="54">
        <f t="shared" si="25"/>
        <v>7.9225352112675118E-3</v>
      </c>
    </row>
    <row r="737" spans="2:8" x14ac:dyDescent="0.25">
      <c r="B737" s="60">
        <v>44862</v>
      </c>
      <c r="C737" s="5">
        <v>83.32</v>
      </c>
      <c r="D737" s="54">
        <f t="shared" si="24"/>
        <v>1.597366174856707E-2</v>
      </c>
      <c r="F737" s="59" t="s">
        <v>772</v>
      </c>
      <c r="G737" s="5">
        <v>11.56</v>
      </c>
      <c r="H737" s="54">
        <f t="shared" si="25"/>
        <v>9.6069868995634078E-3</v>
      </c>
    </row>
    <row r="738" spans="2:8" x14ac:dyDescent="0.25">
      <c r="B738" s="60">
        <v>44865</v>
      </c>
      <c r="C738" s="5">
        <v>82.77</v>
      </c>
      <c r="D738" s="54">
        <f t="shared" si="24"/>
        <v>-6.6010561689869851E-3</v>
      </c>
      <c r="F738" s="59" t="s">
        <v>771</v>
      </c>
      <c r="G738" s="5">
        <v>11.6</v>
      </c>
      <c r="H738" s="54">
        <f t="shared" si="25"/>
        <v>3.4602076124565784E-3</v>
      </c>
    </row>
    <row r="739" spans="2:8" x14ac:dyDescent="0.25">
      <c r="B739" s="60">
        <v>44866</v>
      </c>
      <c r="C739" s="5">
        <v>82.85</v>
      </c>
      <c r="D739" s="54">
        <f t="shared" si="24"/>
        <v>9.6653376827360304E-4</v>
      </c>
      <c r="F739" s="59" t="s">
        <v>770</v>
      </c>
      <c r="G739" s="5">
        <v>11.61</v>
      </c>
      <c r="H739" s="54">
        <f t="shared" si="25"/>
        <v>8.6206896551721535E-4</v>
      </c>
    </row>
    <row r="740" spans="2:8" x14ac:dyDescent="0.25">
      <c r="B740" s="60">
        <v>44867</v>
      </c>
      <c r="C740" s="5">
        <v>81.150000000000006</v>
      </c>
      <c r="D740" s="54">
        <f t="shared" si="24"/>
        <v>-2.0519010259504977E-2</v>
      </c>
      <c r="F740" s="59" t="s">
        <v>769</v>
      </c>
      <c r="G740" s="5">
        <v>11.54</v>
      </c>
      <c r="H740" s="54">
        <f t="shared" si="25"/>
        <v>-6.0292850990525393E-3</v>
      </c>
    </row>
    <row r="741" spans="2:8" x14ac:dyDescent="0.25">
      <c r="B741" s="60">
        <v>44868</v>
      </c>
      <c r="C741" s="5">
        <v>80.44</v>
      </c>
      <c r="D741" s="54">
        <f t="shared" si="24"/>
        <v>-8.7492298213186492E-3</v>
      </c>
      <c r="F741" s="59" t="s">
        <v>768</v>
      </c>
      <c r="G741" s="5">
        <v>11.51</v>
      </c>
      <c r="H741" s="54">
        <f t="shared" si="25"/>
        <v>-2.5996533795493715E-3</v>
      </c>
    </row>
    <row r="742" spans="2:8" x14ac:dyDescent="0.25">
      <c r="B742" s="60">
        <v>44869</v>
      </c>
      <c r="C742" s="5">
        <v>82.33</v>
      </c>
      <c r="D742" s="54">
        <f t="shared" si="24"/>
        <v>2.3495773247140805E-2</v>
      </c>
      <c r="F742" s="59" t="s">
        <v>767</v>
      </c>
      <c r="G742" s="5">
        <v>11.54</v>
      </c>
      <c r="H742" s="54">
        <f t="shared" si="25"/>
        <v>2.6064291920069316E-3</v>
      </c>
    </row>
    <row r="743" spans="2:8" x14ac:dyDescent="0.25">
      <c r="B743" s="60">
        <v>44872</v>
      </c>
      <c r="C743" s="5">
        <v>82.85</v>
      </c>
      <c r="D743" s="54">
        <f t="shared" si="24"/>
        <v>6.3160451840154064E-3</v>
      </c>
      <c r="F743" s="59" t="s">
        <v>766</v>
      </c>
      <c r="G743" s="5">
        <v>11.46</v>
      </c>
      <c r="H743" s="54">
        <f t="shared" si="25"/>
        <v>-6.9324090121315463E-3</v>
      </c>
    </row>
    <row r="744" spans="2:8" x14ac:dyDescent="0.25">
      <c r="B744" s="60">
        <v>44873</v>
      </c>
      <c r="C744" s="5">
        <v>83.43</v>
      </c>
      <c r="D744" s="54">
        <f t="shared" si="24"/>
        <v>7.0006035003018496E-3</v>
      </c>
      <c r="F744" s="59" t="s">
        <v>765</v>
      </c>
      <c r="G744" s="5">
        <v>11.52</v>
      </c>
      <c r="H744" s="54">
        <f t="shared" si="25"/>
        <v>5.2356020942407877E-3</v>
      </c>
    </row>
    <row r="745" spans="2:8" x14ac:dyDescent="0.25">
      <c r="B745" s="60">
        <v>44874</v>
      </c>
      <c r="C745" s="5">
        <v>81.89</v>
      </c>
      <c r="D745" s="54">
        <f t="shared" si="24"/>
        <v>-1.8458588037876145E-2</v>
      </c>
      <c r="F745" s="59" t="s">
        <v>764</v>
      </c>
      <c r="G745" s="5">
        <v>11.52</v>
      </c>
      <c r="H745" s="54">
        <f t="shared" si="25"/>
        <v>0</v>
      </c>
    </row>
    <row r="746" spans="2:8" x14ac:dyDescent="0.25">
      <c r="B746" s="60">
        <v>44875</v>
      </c>
      <c r="C746" s="5">
        <v>86.28</v>
      </c>
      <c r="D746" s="54">
        <f t="shared" si="24"/>
        <v>5.3608499206252214E-2</v>
      </c>
      <c r="F746" s="59" t="s">
        <v>763</v>
      </c>
      <c r="G746" s="5">
        <v>11.53</v>
      </c>
      <c r="H746" s="54">
        <f t="shared" si="25"/>
        <v>8.6805555555558023E-4</v>
      </c>
    </row>
    <row r="747" spans="2:8" x14ac:dyDescent="0.25">
      <c r="B747" s="60">
        <v>44876</v>
      </c>
      <c r="C747" s="5">
        <v>87.59</v>
      </c>
      <c r="D747" s="54">
        <f t="shared" si="24"/>
        <v>1.5183124710245632E-2</v>
      </c>
      <c r="F747" s="59" t="s">
        <v>762</v>
      </c>
      <c r="G747" s="5">
        <v>11.56</v>
      </c>
      <c r="H747" s="54">
        <f t="shared" si="25"/>
        <v>2.6019080659152038E-3</v>
      </c>
    </row>
    <row r="748" spans="2:8" x14ac:dyDescent="0.25">
      <c r="B748" s="60">
        <v>44879</v>
      </c>
      <c r="C748" s="5">
        <v>86.8</v>
      </c>
      <c r="D748" s="54">
        <f t="shared" si="24"/>
        <v>-9.0192944400045993E-3</v>
      </c>
      <c r="F748" s="59" t="s">
        <v>761</v>
      </c>
      <c r="G748" s="5">
        <v>11.75</v>
      </c>
      <c r="H748" s="54">
        <f t="shared" si="25"/>
        <v>1.6435986159169413E-2</v>
      </c>
    </row>
    <row r="749" spans="2:8" x14ac:dyDescent="0.25">
      <c r="B749" s="60">
        <v>44880</v>
      </c>
      <c r="C749" s="5">
        <v>87.64</v>
      </c>
      <c r="D749" s="54">
        <f t="shared" si="24"/>
        <v>9.6774193548387899E-3</v>
      </c>
      <c r="F749" s="59" t="s">
        <v>760</v>
      </c>
      <c r="G749" s="5">
        <v>11.91</v>
      </c>
      <c r="H749" s="54">
        <f t="shared" si="25"/>
        <v>1.3617021276595809E-2</v>
      </c>
    </row>
    <row r="750" spans="2:8" x14ac:dyDescent="0.25">
      <c r="B750" s="60">
        <v>44881</v>
      </c>
      <c r="C750" s="5">
        <v>86.98</v>
      </c>
      <c r="D750" s="54">
        <f t="shared" si="24"/>
        <v>-7.5308078502965836E-3</v>
      </c>
      <c r="F750" s="59" t="s">
        <v>759</v>
      </c>
      <c r="G750" s="5">
        <v>11.96</v>
      </c>
      <c r="H750" s="54">
        <f t="shared" si="25"/>
        <v>4.198152812762368E-3</v>
      </c>
    </row>
    <row r="751" spans="2:8" x14ac:dyDescent="0.25">
      <c r="B751" s="60">
        <v>44882</v>
      </c>
      <c r="C751" s="5">
        <v>86.77</v>
      </c>
      <c r="D751" s="54">
        <f t="shared" si="24"/>
        <v>-2.4143481260060495E-3</v>
      </c>
      <c r="F751" s="59" t="s">
        <v>758</v>
      </c>
      <c r="G751" s="5">
        <v>11.98</v>
      </c>
      <c r="H751" s="54">
        <f t="shared" si="25"/>
        <v>1.6722408026754731E-3</v>
      </c>
    </row>
    <row r="752" spans="2:8" x14ac:dyDescent="0.25">
      <c r="B752" s="60">
        <v>44883</v>
      </c>
      <c r="C752" s="5">
        <v>86.94</v>
      </c>
      <c r="D752" s="54">
        <f t="shared" si="24"/>
        <v>1.9592024893395621E-3</v>
      </c>
      <c r="F752" s="59" t="s">
        <v>757</v>
      </c>
      <c r="G752" s="5">
        <v>11.94</v>
      </c>
      <c r="H752" s="54">
        <f t="shared" si="25"/>
        <v>-3.3388981636061077E-3</v>
      </c>
    </row>
    <row r="753" spans="2:8" x14ac:dyDescent="0.25">
      <c r="B753" s="60">
        <v>44886</v>
      </c>
      <c r="C753" s="5">
        <v>86.46</v>
      </c>
      <c r="D753" s="54">
        <f t="shared" si="24"/>
        <v>-5.521048999309941E-3</v>
      </c>
      <c r="F753" s="59" t="s">
        <v>756</v>
      </c>
      <c r="G753" s="5">
        <v>11.96</v>
      </c>
      <c r="H753" s="54">
        <f t="shared" si="25"/>
        <v>1.6750418760469454E-3</v>
      </c>
    </row>
    <row r="754" spans="2:8" x14ac:dyDescent="0.25">
      <c r="B754" s="60">
        <v>44887</v>
      </c>
      <c r="C754" s="5">
        <v>87.54</v>
      </c>
      <c r="D754" s="54">
        <f t="shared" si="24"/>
        <v>1.2491325468424908E-2</v>
      </c>
      <c r="F754" s="59" t="s">
        <v>755</v>
      </c>
      <c r="G754" s="5">
        <v>11.91</v>
      </c>
      <c r="H754" s="54">
        <f t="shared" si="25"/>
        <v>-4.1806020066890159E-3</v>
      </c>
    </row>
    <row r="755" spans="2:8" x14ac:dyDescent="0.25">
      <c r="B755" s="60">
        <v>44888</v>
      </c>
      <c r="C755" s="5">
        <v>88.22</v>
      </c>
      <c r="D755" s="54">
        <f t="shared" si="24"/>
        <v>7.7678775416951673E-3</v>
      </c>
      <c r="F755" s="59" t="s">
        <v>754</v>
      </c>
      <c r="G755" s="5">
        <v>11.93</v>
      </c>
      <c r="H755" s="54">
        <f t="shared" si="25"/>
        <v>1.6792611251048584E-3</v>
      </c>
    </row>
    <row r="756" spans="2:8" x14ac:dyDescent="0.25">
      <c r="B756" s="60">
        <v>44890</v>
      </c>
      <c r="C756" s="5">
        <v>88.29</v>
      </c>
      <c r="D756" s="54">
        <f t="shared" si="24"/>
        <v>7.9347086828396307E-4</v>
      </c>
      <c r="F756" s="59" t="s">
        <v>753</v>
      </c>
      <c r="G756" s="5">
        <v>12.03</v>
      </c>
      <c r="H756" s="54">
        <f t="shared" si="25"/>
        <v>8.3822296730931001E-3</v>
      </c>
    </row>
    <row r="757" spans="2:8" x14ac:dyDescent="0.25">
      <c r="B757" s="60">
        <v>44893</v>
      </c>
      <c r="C757" s="5">
        <v>87.01</v>
      </c>
      <c r="D757" s="54">
        <f t="shared" si="24"/>
        <v>-1.4497678106240808E-2</v>
      </c>
      <c r="F757" s="59" t="s">
        <v>752</v>
      </c>
      <c r="G757" s="5">
        <v>12.08</v>
      </c>
      <c r="H757" s="54">
        <f t="shared" si="25"/>
        <v>4.1562759767248547E-3</v>
      </c>
    </row>
    <row r="758" spans="2:8" x14ac:dyDescent="0.25">
      <c r="B758" s="60">
        <v>44894</v>
      </c>
      <c r="C758" s="5">
        <v>87.19</v>
      </c>
      <c r="D758" s="54">
        <f t="shared" si="24"/>
        <v>2.0687277324444864E-3</v>
      </c>
      <c r="F758" s="59" t="s">
        <v>751</v>
      </c>
      <c r="G758" s="5">
        <v>12.08</v>
      </c>
      <c r="H758" s="54">
        <f t="shared" si="25"/>
        <v>0</v>
      </c>
    </row>
    <row r="759" spans="2:8" x14ac:dyDescent="0.25">
      <c r="B759" s="60">
        <v>44895</v>
      </c>
      <c r="C759" s="5">
        <v>89.67</v>
      </c>
      <c r="D759" s="54">
        <f t="shared" si="24"/>
        <v>2.8443628856520187E-2</v>
      </c>
      <c r="F759" s="59" t="s">
        <v>750</v>
      </c>
      <c r="G759" s="5">
        <v>12.05</v>
      </c>
      <c r="H759" s="54">
        <f t="shared" si="25"/>
        <v>-2.4834437086092009E-3</v>
      </c>
    </row>
    <row r="760" spans="2:8" x14ac:dyDescent="0.25">
      <c r="B760" s="60">
        <v>44896</v>
      </c>
      <c r="C760" s="5">
        <v>89.8</v>
      </c>
      <c r="D760" s="54">
        <f t="shared" si="24"/>
        <v>1.4497602319616387E-3</v>
      </c>
      <c r="F760" s="59" t="s">
        <v>749</v>
      </c>
      <c r="G760" s="5">
        <v>12.07</v>
      </c>
      <c r="H760" s="54">
        <f t="shared" si="25"/>
        <v>1.6597510373443924E-3</v>
      </c>
    </row>
    <row r="761" spans="2:8" x14ac:dyDescent="0.25">
      <c r="B761" s="60">
        <v>44897</v>
      </c>
      <c r="C761" s="5">
        <v>89.72</v>
      </c>
      <c r="D761" s="54">
        <f t="shared" si="24"/>
        <v>-8.9086859688192188E-4</v>
      </c>
      <c r="F761" s="59" t="s">
        <v>748</v>
      </c>
      <c r="G761" s="5">
        <v>12.22</v>
      </c>
      <c r="H761" s="54">
        <f t="shared" si="25"/>
        <v>1.2427506213753103E-2</v>
      </c>
    </row>
    <row r="762" spans="2:8" x14ac:dyDescent="0.25">
      <c r="B762" s="60">
        <v>44900</v>
      </c>
      <c r="C762" s="5">
        <v>88.19</v>
      </c>
      <c r="D762" s="54">
        <f t="shared" si="24"/>
        <v>-1.7053053945608521E-2</v>
      </c>
      <c r="F762" s="59" t="s">
        <v>747</v>
      </c>
      <c r="G762" s="5">
        <v>12.25</v>
      </c>
      <c r="H762" s="54">
        <f t="shared" si="25"/>
        <v>2.4549918166938411E-3</v>
      </c>
    </row>
    <row r="763" spans="2:8" x14ac:dyDescent="0.25">
      <c r="B763" s="60">
        <v>44901</v>
      </c>
      <c r="C763" s="5">
        <v>87.25</v>
      </c>
      <c r="D763" s="54">
        <f t="shared" si="24"/>
        <v>-1.0658804853157955E-2</v>
      </c>
      <c r="F763" s="59" t="s">
        <v>746</v>
      </c>
      <c r="G763" s="5">
        <v>12.3</v>
      </c>
      <c r="H763" s="54">
        <f t="shared" si="25"/>
        <v>4.0816326530612734E-3</v>
      </c>
    </row>
    <row r="764" spans="2:8" x14ac:dyDescent="0.25">
      <c r="B764" s="60">
        <v>44902</v>
      </c>
      <c r="C764" s="5">
        <v>87.09</v>
      </c>
      <c r="D764" s="54">
        <f t="shared" si="24"/>
        <v>-1.8338108882520743E-3</v>
      </c>
      <c r="F764" s="59" t="s">
        <v>745</v>
      </c>
      <c r="G764" s="5">
        <v>12.24</v>
      </c>
      <c r="H764" s="54">
        <f t="shared" si="25"/>
        <v>-4.8780487804878092E-3</v>
      </c>
    </row>
    <row r="765" spans="2:8" x14ac:dyDescent="0.25">
      <c r="B765" s="60">
        <v>44903</v>
      </c>
      <c r="C765" s="5">
        <v>87.76</v>
      </c>
      <c r="D765" s="54">
        <f t="shared" si="24"/>
        <v>7.6931909518889174E-3</v>
      </c>
      <c r="F765" s="59" t="s">
        <v>744</v>
      </c>
      <c r="G765" s="5">
        <v>12.28</v>
      </c>
      <c r="H765" s="54">
        <f t="shared" si="25"/>
        <v>3.2679738562091387E-3</v>
      </c>
    </row>
    <row r="766" spans="2:8" x14ac:dyDescent="0.25">
      <c r="B766" s="60">
        <v>44904</v>
      </c>
      <c r="C766" s="5">
        <v>87.34</v>
      </c>
      <c r="D766" s="54">
        <f t="shared" si="24"/>
        <v>-4.7857793983592245E-3</v>
      </c>
      <c r="F766" s="59" t="s">
        <v>743</v>
      </c>
      <c r="G766" s="5">
        <v>12.3</v>
      </c>
      <c r="H766" s="54">
        <f t="shared" si="25"/>
        <v>1.6286644951140072E-3</v>
      </c>
    </row>
    <row r="767" spans="2:8" x14ac:dyDescent="0.25">
      <c r="B767" s="60">
        <v>44907</v>
      </c>
      <c r="C767" s="5">
        <v>88.12</v>
      </c>
      <c r="D767" s="54">
        <f t="shared" si="24"/>
        <v>8.9306159835127463E-3</v>
      </c>
      <c r="F767" s="59" t="s">
        <v>742</v>
      </c>
      <c r="G767" s="5">
        <v>12.3</v>
      </c>
      <c r="H767" s="54">
        <f t="shared" si="25"/>
        <v>0</v>
      </c>
    </row>
    <row r="768" spans="2:8" x14ac:dyDescent="0.25">
      <c r="B768" s="60">
        <v>44908</v>
      </c>
      <c r="C768" s="5">
        <v>88.25</v>
      </c>
      <c r="D768" s="54">
        <f t="shared" si="24"/>
        <v>1.4752610077166661E-3</v>
      </c>
      <c r="F768" s="59" t="s">
        <v>741</v>
      </c>
      <c r="G768" s="5">
        <v>12.27</v>
      </c>
      <c r="H768" s="54">
        <f t="shared" si="25"/>
        <v>-2.4390243902440156E-3</v>
      </c>
    </row>
    <row r="769" spans="2:8" x14ac:dyDescent="0.25">
      <c r="B769" s="60">
        <v>44909</v>
      </c>
      <c r="C769" s="5">
        <v>87.91</v>
      </c>
      <c r="D769" s="54">
        <f t="shared" si="24"/>
        <v>-3.8526912181303663E-3</v>
      </c>
      <c r="F769" s="59" t="s">
        <v>740</v>
      </c>
      <c r="G769" s="5">
        <v>12.37</v>
      </c>
      <c r="H769" s="54">
        <f t="shared" si="25"/>
        <v>8.1499592502036755E-3</v>
      </c>
    </row>
    <row r="770" spans="2:8" x14ac:dyDescent="0.25">
      <c r="B770" s="60">
        <v>44910</v>
      </c>
      <c r="C770" s="5">
        <v>85.75</v>
      </c>
      <c r="D770" s="54">
        <f t="shared" si="24"/>
        <v>-2.4570583551359326E-2</v>
      </c>
      <c r="F770" s="59" t="s">
        <v>739</v>
      </c>
      <c r="G770" s="5">
        <v>12.37</v>
      </c>
      <c r="H770" s="54">
        <f t="shared" si="25"/>
        <v>0</v>
      </c>
    </row>
    <row r="771" spans="2:8" x14ac:dyDescent="0.25">
      <c r="B771" s="60">
        <v>44911</v>
      </c>
      <c r="C771" s="5">
        <v>84.92</v>
      </c>
      <c r="D771" s="54">
        <f t="shared" si="24"/>
        <v>-9.6793002915451787E-3</v>
      </c>
      <c r="F771" s="59" t="s">
        <v>738</v>
      </c>
      <c r="G771" s="5">
        <v>12.36</v>
      </c>
      <c r="H771" s="54">
        <f t="shared" si="25"/>
        <v>-8.0840743734844622E-4</v>
      </c>
    </row>
    <row r="772" spans="2:8" x14ac:dyDescent="0.25">
      <c r="B772" s="60">
        <v>44914</v>
      </c>
      <c r="C772" s="5">
        <v>84.4</v>
      </c>
      <c r="D772" s="54">
        <f t="shared" si="24"/>
        <v>-6.1234102684879499E-3</v>
      </c>
      <c r="F772" s="59" t="s">
        <v>737</v>
      </c>
      <c r="G772" s="5">
        <v>12.31</v>
      </c>
      <c r="H772" s="54">
        <f t="shared" si="25"/>
        <v>-4.04530744336562E-3</v>
      </c>
    </row>
    <row r="773" spans="2:8" x14ac:dyDescent="0.25">
      <c r="B773" s="60">
        <v>44915</v>
      </c>
      <c r="C773" s="5">
        <v>84.59</v>
      </c>
      <c r="D773" s="54">
        <f t="shared" si="24"/>
        <v>2.2511848341231211E-3</v>
      </c>
      <c r="F773" s="59" t="s">
        <v>736</v>
      </c>
      <c r="G773" s="5">
        <v>12.27</v>
      </c>
      <c r="H773" s="54">
        <f t="shared" si="25"/>
        <v>-3.2493907392364685E-3</v>
      </c>
    </row>
    <row r="774" spans="2:8" x14ac:dyDescent="0.25">
      <c r="B774" s="60">
        <v>44916</v>
      </c>
      <c r="C774" s="5">
        <v>85.7</v>
      </c>
      <c r="D774" s="54">
        <f t="shared" si="24"/>
        <v>1.3122118453718024E-2</v>
      </c>
      <c r="F774" s="59" t="s">
        <v>735</v>
      </c>
      <c r="G774" s="5">
        <v>12.27</v>
      </c>
      <c r="H774" s="54">
        <f t="shared" si="25"/>
        <v>0</v>
      </c>
    </row>
    <row r="775" spans="2:8" x14ac:dyDescent="0.25">
      <c r="B775" s="60">
        <v>44917</v>
      </c>
      <c r="C775" s="5">
        <v>84.67</v>
      </c>
      <c r="D775" s="54">
        <f t="shared" si="24"/>
        <v>-1.2018669778296354E-2</v>
      </c>
      <c r="F775" s="59" t="s">
        <v>734</v>
      </c>
      <c r="G775" s="5">
        <v>12.24</v>
      </c>
      <c r="H775" s="54">
        <f t="shared" si="25"/>
        <v>-2.4449877750610804E-3</v>
      </c>
    </row>
    <row r="776" spans="2:8" x14ac:dyDescent="0.25">
      <c r="B776" s="60">
        <v>44918</v>
      </c>
      <c r="C776" s="5">
        <v>85.06</v>
      </c>
      <c r="D776" s="54">
        <f t="shared" si="24"/>
        <v>4.6061178693752591E-3</v>
      </c>
      <c r="F776" s="59" t="s">
        <v>733</v>
      </c>
      <c r="G776" s="5">
        <v>12.22</v>
      </c>
      <c r="H776" s="54">
        <f t="shared" si="25"/>
        <v>-1.6339869281045694E-3</v>
      </c>
    </row>
    <row r="777" spans="2:8" x14ac:dyDescent="0.25">
      <c r="B777" s="60">
        <v>44922</v>
      </c>
      <c r="C777" s="5">
        <v>85.03</v>
      </c>
      <c r="D777" s="54">
        <f t="shared" si="24"/>
        <v>-3.5269221725842126E-4</v>
      </c>
      <c r="F777" s="59" t="s">
        <v>732</v>
      </c>
      <c r="G777" s="5">
        <v>12.21</v>
      </c>
      <c r="H777" s="54">
        <f t="shared" si="25"/>
        <v>-8.1833060556457671E-4</v>
      </c>
    </row>
    <row r="778" spans="2:8" x14ac:dyDescent="0.25">
      <c r="B778" s="60">
        <v>44923</v>
      </c>
      <c r="C778" s="5">
        <v>83.93</v>
      </c>
      <c r="D778" s="54">
        <f t="shared" si="24"/>
        <v>-1.2936610608020649E-2</v>
      </c>
      <c r="F778" s="59" t="s">
        <v>731</v>
      </c>
      <c r="G778" s="5">
        <v>12.18</v>
      </c>
      <c r="H778" s="54">
        <f t="shared" si="25"/>
        <v>-2.4570024570025328E-3</v>
      </c>
    </row>
    <row r="779" spans="2:8" x14ac:dyDescent="0.25">
      <c r="B779" s="60">
        <v>44924</v>
      </c>
      <c r="C779" s="5">
        <v>85.39</v>
      </c>
      <c r="D779" s="54">
        <f t="shared" si="24"/>
        <v>1.7395448588109153E-2</v>
      </c>
      <c r="F779" s="59" t="s">
        <v>730</v>
      </c>
      <c r="G779" s="5">
        <v>12.15</v>
      </c>
      <c r="H779" s="54">
        <f t="shared" si="25"/>
        <v>-2.4630541871920597E-3</v>
      </c>
    </row>
    <row r="780" spans="2:8" x14ac:dyDescent="0.25">
      <c r="B780" s="60">
        <v>44925</v>
      </c>
      <c r="C780" s="5">
        <v>84.88</v>
      </c>
      <c r="D780" s="54">
        <f t="shared" si="24"/>
        <v>-5.9725963227544865E-3</v>
      </c>
      <c r="F780" s="59" t="s">
        <v>729</v>
      </c>
      <c r="G780" s="5">
        <v>12.14</v>
      </c>
      <c r="H780" s="54">
        <f t="shared" si="25"/>
        <v>-8.2304526748966378E-4</v>
      </c>
    </row>
    <row r="781" spans="2:8" x14ac:dyDescent="0.25">
      <c r="B781" s="60"/>
      <c r="C781" s="5"/>
      <c r="D781" s="54"/>
      <c r="F781" s="59" t="s">
        <v>728</v>
      </c>
      <c r="G781" s="5">
        <v>12.19</v>
      </c>
      <c r="H781" s="54">
        <f t="shared" si="25"/>
        <v>4.1186161449751069E-3</v>
      </c>
    </row>
    <row r="782" spans="2:8" x14ac:dyDescent="0.25">
      <c r="B782" s="60">
        <v>44929</v>
      </c>
      <c r="C782" s="5">
        <v>84.9</v>
      </c>
      <c r="D782" s="54">
        <f>C782/C780-1</f>
        <v>2.3562676720079168E-4</v>
      </c>
      <c r="F782" s="59" t="s">
        <v>727</v>
      </c>
      <c r="G782" s="5">
        <v>12.19</v>
      </c>
      <c r="H782" s="54">
        <f t="shared" si="25"/>
        <v>0</v>
      </c>
    </row>
    <row r="783" spans="2:8" x14ac:dyDescent="0.25">
      <c r="B783" s="60">
        <v>44930</v>
      </c>
      <c r="C783" s="5">
        <v>85.98</v>
      </c>
      <c r="D783" s="54">
        <f t="shared" ref="D783:D846" si="26">C783/C782-1</f>
        <v>1.272084805653706E-2</v>
      </c>
      <c r="F783" s="59"/>
      <c r="G783" s="5"/>
      <c r="H783" s="54"/>
    </row>
    <row r="784" spans="2:8" x14ac:dyDescent="0.25">
      <c r="B784" s="60">
        <v>44931</v>
      </c>
      <c r="C784" s="5">
        <v>85.1</v>
      </c>
      <c r="D784" s="54">
        <f t="shared" si="26"/>
        <v>-1.0234938357757684E-2</v>
      </c>
      <c r="F784" s="59" t="s">
        <v>726</v>
      </c>
      <c r="G784" s="5">
        <v>12.21</v>
      </c>
      <c r="H784" s="54">
        <f>G784/G782-1</f>
        <v>1.6406890894176129E-3</v>
      </c>
    </row>
    <row r="785" spans="2:8" x14ac:dyDescent="0.25">
      <c r="B785" s="60">
        <v>44932</v>
      </c>
      <c r="C785" s="5">
        <v>87.07</v>
      </c>
      <c r="D785" s="54">
        <f t="shared" si="26"/>
        <v>2.3149236192714362E-2</v>
      </c>
      <c r="F785" s="59" t="s">
        <v>725</v>
      </c>
      <c r="G785" s="5">
        <v>12.25</v>
      </c>
      <c r="H785" s="54">
        <f t="shared" ref="H785:H848" si="27">G785/G784-1</f>
        <v>3.2760032760033031E-3</v>
      </c>
    </row>
    <row r="786" spans="2:8" x14ac:dyDescent="0.25">
      <c r="B786" s="60">
        <v>44935</v>
      </c>
      <c r="C786" s="5">
        <v>87.26</v>
      </c>
      <c r="D786" s="54">
        <f t="shared" si="26"/>
        <v>2.1821522912599534E-3</v>
      </c>
      <c r="F786" s="59" t="s">
        <v>724</v>
      </c>
      <c r="G786" s="5">
        <v>12.18</v>
      </c>
      <c r="H786" s="54">
        <f t="shared" si="27"/>
        <v>-5.7142857142857828E-3</v>
      </c>
    </row>
    <row r="787" spans="2:8" x14ac:dyDescent="0.25">
      <c r="B787" s="60">
        <v>44936</v>
      </c>
      <c r="C787" s="5">
        <v>87.75</v>
      </c>
      <c r="D787" s="54">
        <f t="shared" si="26"/>
        <v>5.61540224616075E-3</v>
      </c>
      <c r="F787" s="59" t="s">
        <v>723</v>
      </c>
      <c r="G787" s="5">
        <v>12.19</v>
      </c>
      <c r="H787" s="54">
        <f t="shared" si="27"/>
        <v>8.2101806239731623E-4</v>
      </c>
    </row>
    <row r="788" spans="2:8" x14ac:dyDescent="0.25">
      <c r="B788" s="60">
        <v>44937</v>
      </c>
      <c r="C788" s="5">
        <v>88.67</v>
      </c>
      <c r="D788" s="54">
        <f t="shared" si="26"/>
        <v>1.0484330484330506E-2</v>
      </c>
      <c r="F788" s="59" t="s">
        <v>722</v>
      </c>
      <c r="G788" s="5">
        <v>12.41</v>
      </c>
      <c r="H788" s="54">
        <f t="shared" si="27"/>
        <v>1.8047579983593076E-2</v>
      </c>
    </row>
    <row r="789" spans="2:8" x14ac:dyDescent="0.25">
      <c r="B789" s="60">
        <v>44938</v>
      </c>
      <c r="C789" s="5">
        <v>89.29</v>
      </c>
      <c r="D789" s="54">
        <f t="shared" si="26"/>
        <v>6.9922183376565084E-3</v>
      </c>
      <c r="F789" s="59" t="s">
        <v>721</v>
      </c>
      <c r="G789" s="5">
        <v>12.41</v>
      </c>
      <c r="H789" s="54">
        <f t="shared" si="27"/>
        <v>0</v>
      </c>
    </row>
    <row r="790" spans="2:8" x14ac:dyDescent="0.25">
      <c r="B790" s="60">
        <v>44939</v>
      </c>
      <c r="C790" s="5">
        <v>89.69</v>
      </c>
      <c r="D790" s="54">
        <f t="shared" si="26"/>
        <v>4.47978497032131E-3</v>
      </c>
      <c r="F790" s="59" t="s">
        <v>720</v>
      </c>
      <c r="G790" s="5">
        <v>12.42</v>
      </c>
      <c r="H790" s="54">
        <f t="shared" si="27"/>
        <v>8.058017727639033E-4</v>
      </c>
    </row>
    <row r="791" spans="2:8" x14ac:dyDescent="0.25">
      <c r="B791" s="60">
        <v>44943</v>
      </c>
      <c r="C791" s="5">
        <v>89.63</v>
      </c>
      <c r="D791" s="54">
        <f t="shared" si="26"/>
        <v>-6.6897089976591939E-4</v>
      </c>
      <c r="F791" s="59" t="s">
        <v>719</v>
      </c>
      <c r="G791" s="5">
        <v>12.49</v>
      </c>
      <c r="H791" s="54">
        <f t="shared" si="27"/>
        <v>5.6360708534621828E-3</v>
      </c>
    </row>
    <row r="792" spans="2:8" x14ac:dyDescent="0.25">
      <c r="B792" s="60">
        <v>44944</v>
      </c>
      <c r="C792" s="5">
        <v>88.65</v>
      </c>
      <c r="D792" s="54">
        <f t="shared" si="26"/>
        <v>-1.0933839116367139E-2</v>
      </c>
      <c r="F792" s="59" t="s">
        <v>718</v>
      </c>
      <c r="G792" s="5">
        <v>12.65</v>
      </c>
      <c r="H792" s="54">
        <f t="shared" si="27"/>
        <v>1.2810248198558805E-2</v>
      </c>
    </row>
    <row r="793" spans="2:8" x14ac:dyDescent="0.25">
      <c r="B793" s="60">
        <v>44945</v>
      </c>
      <c r="C793" s="5">
        <v>88.3</v>
      </c>
      <c r="D793" s="54">
        <f t="shared" si="26"/>
        <v>-3.9481105470954292E-3</v>
      </c>
      <c r="F793" s="59" t="s">
        <v>717</v>
      </c>
      <c r="G793" s="5">
        <v>12.6</v>
      </c>
      <c r="H793" s="54">
        <f t="shared" si="27"/>
        <v>-3.9525691699605625E-3</v>
      </c>
    </row>
    <row r="794" spans="2:8" x14ac:dyDescent="0.25">
      <c r="B794" s="60">
        <v>44946</v>
      </c>
      <c r="C794" s="5">
        <v>89.67</v>
      </c>
      <c r="D794" s="54">
        <f t="shared" si="26"/>
        <v>1.5515288788221948E-2</v>
      </c>
      <c r="F794" s="59" t="s">
        <v>716</v>
      </c>
      <c r="G794" s="5">
        <v>12.69</v>
      </c>
      <c r="H794" s="54">
        <f t="shared" si="27"/>
        <v>7.1428571428571175E-3</v>
      </c>
    </row>
    <row r="795" spans="2:8" x14ac:dyDescent="0.25">
      <c r="B795" s="60">
        <v>44949</v>
      </c>
      <c r="C795" s="5">
        <v>90.46</v>
      </c>
      <c r="D795" s="54">
        <f t="shared" si="26"/>
        <v>8.8100814096130353E-3</v>
      </c>
      <c r="F795" s="59" t="s">
        <v>715</v>
      </c>
      <c r="G795" s="5">
        <v>12.67</v>
      </c>
      <c r="H795" s="54">
        <f t="shared" si="27"/>
        <v>-1.5760441292356209E-3</v>
      </c>
    </row>
    <row r="796" spans="2:8" x14ac:dyDescent="0.25">
      <c r="B796" s="60">
        <v>44950</v>
      </c>
      <c r="C796" s="5">
        <v>90.34</v>
      </c>
      <c r="D796" s="54">
        <f t="shared" si="26"/>
        <v>-1.3265531726729396E-3</v>
      </c>
      <c r="F796" s="59" t="s">
        <v>714</v>
      </c>
      <c r="G796" s="5">
        <v>12.62</v>
      </c>
      <c r="H796" s="54">
        <f t="shared" si="27"/>
        <v>-3.9463299131807794E-3</v>
      </c>
    </row>
    <row r="797" spans="2:8" x14ac:dyDescent="0.25">
      <c r="B797" s="60">
        <v>44951</v>
      </c>
      <c r="C797" s="5">
        <v>90.55</v>
      </c>
      <c r="D797" s="54">
        <f t="shared" si="26"/>
        <v>2.3245516936019062E-3</v>
      </c>
      <c r="F797" s="59" t="s">
        <v>713</v>
      </c>
      <c r="G797" s="5">
        <v>12.59</v>
      </c>
      <c r="H797" s="54">
        <f t="shared" si="27"/>
        <v>-2.3771790808240212E-3</v>
      </c>
    </row>
    <row r="798" spans="2:8" x14ac:dyDescent="0.25">
      <c r="B798" s="60">
        <v>44952</v>
      </c>
      <c r="C798" s="5">
        <v>91.32</v>
      </c>
      <c r="D798" s="54">
        <f t="shared" si="26"/>
        <v>8.5035891772500261E-3</v>
      </c>
      <c r="F798" s="59" t="s">
        <v>712</v>
      </c>
      <c r="G798" s="5">
        <v>12.56</v>
      </c>
      <c r="H798" s="54">
        <f t="shared" si="27"/>
        <v>-2.3828435266083359E-3</v>
      </c>
    </row>
    <row r="799" spans="2:8" x14ac:dyDescent="0.25">
      <c r="B799" s="60">
        <v>44953</v>
      </c>
      <c r="C799" s="5">
        <v>91.37</v>
      </c>
      <c r="D799" s="54">
        <f t="shared" si="26"/>
        <v>5.4752518615863721E-4</v>
      </c>
      <c r="F799" s="59" t="s">
        <v>711</v>
      </c>
      <c r="G799" s="5">
        <v>12.64</v>
      </c>
      <c r="H799" s="54">
        <f t="shared" si="27"/>
        <v>6.3694267515923553E-3</v>
      </c>
    </row>
    <row r="800" spans="2:8" x14ac:dyDescent="0.25">
      <c r="B800" s="60">
        <v>44956</v>
      </c>
      <c r="C800" s="5">
        <v>90.27</v>
      </c>
      <c r="D800" s="54">
        <f t="shared" si="26"/>
        <v>-1.2038962460326208E-2</v>
      </c>
      <c r="F800" s="59" t="s">
        <v>710</v>
      </c>
      <c r="G800" s="5">
        <v>12.64</v>
      </c>
      <c r="H800" s="54">
        <f t="shared" si="27"/>
        <v>0</v>
      </c>
    </row>
    <row r="801" spans="2:8" x14ac:dyDescent="0.25">
      <c r="B801" s="60">
        <v>44957</v>
      </c>
      <c r="C801" s="5">
        <v>91.25</v>
      </c>
      <c r="D801" s="54">
        <f t="shared" si="26"/>
        <v>1.0856319929101632E-2</v>
      </c>
      <c r="F801" s="59" t="s">
        <v>709</v>
      </c>
      <c r="G801" s="5">
        <v>12.61</v>
      </c>
      <c r="H801" s="54">
        <f t="shared" si="27"/>
        <v>-2.373417721519111E-3</v>
      </c>
    </row>
    <row r="802" spans="2:8" x14ac:dyDescent="0.25">
      <c r="B802" s="60">
        <v>44958</v>
      </c>
      <c r="C802" s="5">
        <v>92.18</v>
      </c>
      <c r="D802" s="54">
        <f t="shared" si="26"/>
        <v>1.0191780821917851E-2</v>
      </c>
      <c r="F802" s="59" t="s">
        <v>708</v>
      </c>
      <c r="G802" s="5">
        <v>12.61</v>
      </c>
      <c r="H802" s="54">
        <f t="shared" si="27"/>
        <v>0</v>
      </c>
    </row>
    <row r="803" spans="2:8" x14ac:dyDescent="0.25">
      <c r="B803" s="60">
        <v>44959</v>
      </c>
      <c r="C803" s="5">
        <v>92.93</v>
      </c>
      <c r="D803" s="54">
        <f t="shared" si="26"/>
        <v>8.136255152961569E-3</v>
      </c>
      <c r="F803" s="59" t="s">
        <v>707</v>
      </c>
      <c r="G803" s="5">
        <v>12.58</v>
      </c>
      <c r="H803" s="54">
        <f t="shared" si="27"/>
        <v>-2.3790642347343294E-3</v>
      </c>
    </row>
    <row r="804" spans="2:8" x14ac:dyDescent="0.25">
      <c r="B804" s="60">
        <v>44960</v>
      </c>
      <c r="C804" s="5">
        <v>91.86</v>
      </c>
      <c r="D804" s="54">
        <f t="shared" si="26"/>
        <v>-1.1514042827935111E-2</v>
      </c>
      <c r="F804" s="59" t="s">
        <v>706</v>
      </c>
      <c r="G804" s="5">
        <v>12.64</v>
      </c>
      <c r="H804" s="54">
        <f t="shared" si="27"/>
        <v>4.7694753577107729E-3</v>
      </c>
    </row>
    <row r="805" spans="2:8" x14ac:dyDescent="0.25">
      <c r="B805" s="60">
        <v>44963</v>
      </c>
      <c r="C805" s="5">
        <v>91.1</v>
      </c>
      <c r="D805" s="54">
        <f t="shared" si="26"/>
        <v>-8.2734596124537374E-3</v>
      </c>
      <c r="F805" s="59" t="s">
        <v>705</v>
      </c>
      <c r="G805" s="5">
        <v>12.74</v>
      </c>
      <c r="H805" s="54">
        <f t="shared" si="27"/>
        <v>7.9113924050633333E-3</v>
      </c>
    </row>
    <row r="806" spans="2:8" x14ac:dyDescent="0.25">
      <c r="B806" s="60">
        <v>44964</v>
      </c>
      <c r="C806" s="5">
        <v>92.07</v>
      </c>
      <c r="D806" s="54">
        <f t="shared" si="26"/>
        <v>1.0647639956092192E-2</v>
      </c>
      <c r="F806" s="59" t="s">
        <v>704</v>
      </c>
      <c r="G806" s="5">
        <v>12.65</v>
      </c>
      <c r="H806" s="54">
        <f t="shared" si="27"/>
        <v>-7.0643642072213408E-3</v>
      </c>
    </row>
    <row r="807" spans="2:8" x14ac:dyDescent="0.25">
      <c r="B807" s="60">
        <v>44965</v>
      </c>
      <c r="C807" s="5">
        <v>91.28</v>
      </c>
      <c r="D807" s="54">
        <f t="shared" si="26"/>
        <v>-8.580427935266588E-3</v>
      </c>
      <c r="F807" s="59" t="s">
        <v>703</v>
      </c>
      <c r="G807" s="5">
        <v>12.5</v>
      </c>
      <c r="H807" s="54">
        <f t="shared" si="27"/>
        <v>-1.1857707509881465E-2</v>
      </c>
    </row>
    <row r="808" spans="2:8" x14ac:dyDescent="0.25">
      <c r="B808" s="60">
        <v>44966</v>
      </c>
      <c r="C808" s="5">
        <v>90.88</v>
      </c>
      <c r="D808" s="54">
        <f t="shared" si="26"/>
        <v>-4.382120946538226E-3</v>
      </c>
      <c r="F808" s="59" t="s">
        <v>702</v>
      </c>
      <c r="G808" s="5">
        <v>12.45</v>
      </c>
      <c r="H808" s="54">
        <f t="shared" si="27"/>
        <v>-4.0000000000000036E-3</v>
      </c>
    </row>
    <row r="809" spans="2:8" x14ac:dyDescent="0.25">
      <c r="B809" s="60">
        <v>44967</v>
      </c>
      <c r="C809" s="5">
        <v>90.8</v>
      </c>
      <c r="D809" s="54">
        <f t="shared" si="26"/>
        <v>-8.8028169014087165E-4</v>
      </c>
      <c r="F809" s="59" t="s">
        <v>701</v>
      </c>
      <c r="G809" s="5">
        <v>12.46</v>
      </c>
      <c r="H809" s="54">
        <f t="shared" si="27"/>
        <v>8.032128514057213E-4</v>
      </c>
    </row>
    <row r="810" spans="2:8" x14ac:dyDescent="0.25">
      <c r="B810" s="60">
        <v>44970</v>
      </c>
      <c r="C810" s="5">
        <v>91.76</v>
      </c>
      <c r="D810" s="54">
        <f t="shared" si="26"/>
        <v>1.0572687224669641E-2</v>
      </c>
      <c r="F810" s="59" t="s">
        <v>700</v>
      </c>
      <c r="G810" s="5">
        <v>12.52</v>
      </c>
      <c r="H810" s="54">
        <f t="shared" si="27"/>
        <v>4.8154093097911854E-3</v>
      </c>
    </row>
    <row r="811" spans="2:8" x14ac:dyDescent="0.25">
      <c r="B811" s="60">
        <v>44971</v>
      </c>
      <c r="C811" s="5">
        <v>91.81</v>
      </c>
      <c r="D811" s="54">
        <f t="shared" si="26"/>
        <v>5.4489973844806805E-4</v>
      </c>
      <c r="F811" s="59" t="s">
        <v>699</v>
      </c>
      <c r="G811" s="5">
        <v>12.44</v>
      </c>
      <c r="H811" s="54">
        <f t="shared" si="27"/>
        <v>-6.389776357827448E-3</v>
      </c>
    </row>
    <row r="812" spans="2:8" x14ac:dyDescent="0.25">
      <c r="B812" s="60">
        <v>44972</v>
      </c>
      <c r="C812" s="5">
        <v>91.87</v>
      </c>
      <c r="D812" s="54">
        <f t="shared" si="26"/>
        <v>6.5352358130921218E-4</v>
      </c>
      <c r="F812" s="59" t="s">
        <v>698</v>
      </c>
      <c r="G812" s="5">
        <v>12.41</v>
      </c>
      <c r="H812" s="54">
        <f t="shared" si="27"/>
        <v>-2.411575562700885E-3</v>
      </c>
    </row>
    <row r="813" spans="2:8" x14ac:dyDescent="0.25">
      <c r="B813" s="60">
        <v>44973</v>
      </c>
      <c r="C813" s="5">
        <v>90.94</v>
      </c>
      <c r="D813" s="54">
        <f t="shared" si="26"/>
        <v>-1.0122999891150619E-2</v>
      </c>
      <c r="F813" s="59" t="s">
        <v>697</v>
      </c>
      <c r="G813" s="5">
        <v>12.43</v>
      </c>
      <c r="H813" s="54">
        <f t="shared" si="27"/>
        <v>1.6116035455278066E-3</v>
      </c>
    </row>
    <row r="814" spans="2:8" x14ac:dyDescent="0.25">
      <c r="B814" s="60">
        <v>44974</v>
      </c>
      <c r="C814" s="5">
        <v>90.71</v>
      </c>
      <c r="D814" s="54">
        <f t="shared" si="26"/>
        <v>-2.529140092368598E-3</v>
      </c>
      <c r="F814" s="59" t="s">
        <v>696</v>
      </c>
      <c r="G814" s="5">
        <v>12.33</v>
      </c>
      <c r="H814" s="54">
        <f t="shared" si="27"/>
        <v>-8.045052292839916E-3</v>
      </c>
    </row>
    <row r="815" spans="2:8" x14ac:dyDescent="0.25">
      <c r="B815" s="60">
        <v>44978</v>
      </c>
      <c r="C815" s="5">
        <v>89.16</v>
      </c>
      <c r="D815" s="54">
        <f t="shared" si="26"/>
        <v>-1.7087421452982032E-2</v>
      </c>
      <c r="F815" s="59" t="s">
        <v>695</v>
      </c>
      <c r="G815" s="5">
        <v>12.28</v>
      </c>
      <c r="H815" s="54">
        <f t="shared" si="27"/>
        <v>-4.0551500405515695E-3</v>
      </c>
    </row>
    <row r="816" spans="2:8" x14ac:dyDescent="0.25">
      <c r="B816" s="60">
        <v>44979</v>
      </c>
      <c r="C816" s="5">
        <v>88.92</v>
      </c>
      <c r="D816" s="54">
        <f t="shared" si="26"/>
        <v>-2.6917900403767847E-3</v>
      </c>
      <c r="F816" s="59" t="s">
        <v>694</v>
      </c>
      <c r="G816" s="5">
        <v>12.26</v>
      </c>
      <c r="H816" s="54">
        <f t="shared" si="27"/>
        <v>-1.6286644951140072E-3</v>
      </c>
    </row>
    <row r="817" spans="2:8" x14ac:dyDescent="0.25">
      <c r="B817" s="60">
        <v>44980</v>
      </c>
      <c r="C817" s="5">
        <v>89.35</v>
      </c>
      <c r="D817" s="54">
        <f t="shared" si="26"/>
        <v>4.8358074673864326E-3</v>
      </c>
      <c r="F817" s="59" t="s">
        <v>693</v>
      </c>
      <c r="G817" s="5">
        <v>12.22</v>
      </c>
      <c r="H817" s="54">
        <f t="shared" si="27"/>
        <v>-3.2626427406198255E-3</v>
      </c>
    </row>
    <row r="818" spans="2:8" x14ac:dyDescent="0.25">
      <c r="B818" s="60">
        <v>44981</v>
      </c>
      <c r="C818" s="5">
        <v>88.16</v>
      </c>
      <c r="D818" s="54">
        <f t="shared" si="26"/>
        <v>-1.3318410744264098E-2</v>
      </c>
      <c r="F818" s="59" t="s">
        <v>692</v>
      </c>
      <c r="G818" s="5">
        <v>12.21</v>
      </c>
      <c r="H818" s="54">
        <f t="shared" si="27"/>
        <v>-8.1833060556457671E-4</v>
      </c>
    </row>
    <row r="819" spans="2:8" x14ac:dyDescent="0.25">
      <c r="B819" s="60">
        <v>44984</v>
      </c>
      <c r="C819" s="5">
        <v>88.68</v>
      </c>
      <c r="D819" s="54">
        <f t="shared" si="26"/>
        <v>5.898366606170713E-3</v>
      </c>
      <c r="F819" s="59" t="s">
        <v>691</v>
      </c>
      <c r="G819" s="5">
        <v>12.21</v>
      </c>
      <c r="H819" s="54">
        <f t="shared" si="27"/>
        <v>0</v>
      </c>
    </row>
    <row r="820" spans="2:8" x14ac:dyDescent="0.25">
      <c r="B820" s="60">
        <v>44985</v>
      </c>
      <c r="C820" s="5">
        <v>88.22</v>
      </c>
      <c r="D820" s="54">
        <f t="shared" si="26"/>
        <v>-5.1871898962563279E-3</v>
      </c>
      <c r="F820" s="59" t="s">
        <v>690</v>
      </c>
      <c r="G820" s="5">
        <v>12.15</v>
      </c>
      <c r="H820" s="54">
        <f t="shared" si="27"/>
        <v>-4.9140049140049546E-3</v>
      </c>
    </row>
    <row r="821" spans="2:8" x14ac:dyDescent="0.25">
      <c r="B821" s="60">
        <v>44986</v>
      </c>
      <c r="C821" s="5">
        <v>88.41</v>
      </c>
      <c r="D821" s="54">
        <f t="shared" si="26"/>
        <v>2.1537066424845985E-3</v>
      </c>
      <c r="F821" s="59" t="s">
        <v>689</v>
      </c>
      <c r="G821" s="5">
        <v>12.18</v>
      </c>
      <c r="H821" s="54">
        <f t="shared" si="27"/>
        <v>2.4691358024691024E-3</v>
      </c>
    </row>
    <row r="822" spans="2:8" x14ac:dyDescent="0.25">
      <c r="B822" s="60">
        <v>44987</v>
      </c>
      <c r="C822" s="5">
        <v>88.89</v>
      </c>
      <c r="D822" s="54">
        <f t="shared" si="26"/>
        <v>5.4292500848320824E-3</v>
      </c>
      <c r="F822" s="59" t="s">
        <v>688</v>
      </c>
      <c r="G822" s="5">
        <v>12.14</v>
      </c>
      <c r="H822" s="54">
        <f t="shared" si="27"/>
        <v>-3.2840722495893759E-3</v>
      </c>
    </row>
    <row r="823" spans="2:8" x14ac:dyDescent="0.25">
      <c r="B823" s="60">
        <v>44988</v>
      </c>
      <c r="C823" s="5">
        <v>90.23</v>
      </c>
      <c r="D823" s="54">
        <f t="shared" si="26"/>
        <v>1.5074811564855572E-2</v>
      </c>
      <c r="F823" s="59" t="s">
        <v>687</v>
      </c>
      <c r="G823" s="5">
        <v>12.18</v>
      </c>
      <c r="H823" s="54">
        <f t="shared" si="27"/>
        <v>3.2948929159801743E-3</v>
      </c>
    </row>
    <row r="824" spans="2:8" x14ac:dyDescent="0.25">
      <c r="B824" s="60">
        <v>44991</v>
      </c>
      <c r="C824" s="5">
        <v>90.17</v>
      </c>
      <c r="D824" s="54">
        <f t="shared" si="26"/>
        <v>-6.6496730577414453E-4</v>
      </c>
      <c r="F824" s="59" t="s">
        <v>686</v>
      </c>
      <c r="G824" s="5">
        <v>12.09</v>
      </c>
      <c r="H824" s="54">
        <f t="shared" si="27"/>
        <v>-7.3891625615762901E-3</v>
      </c>
    </row>
    <row r="825" spans="2:8" x14ac:dyDescent="0.25">
      <c r="B825" s="60">
        <v>44992</v>
      </c>
      <c r="C825" s="5">
        <v>88.75</v>
      </c>
      <c r="D825" s="54">
        <f t="shared" si="26"/>
        <v>-1.5748031496062964E-2</v>
      </c>
      <c r="F825" s="59" t="s">
        <v>685</v>
      </c>
      <c r="G825" s="5">
        <v>12.11</v>
      </c>
      <c r="H825" s="54">
        <f t="shared" si="27"/>
        <v>1.6542597187758634E-3</v>
      </c>
    </row>
    <row r="826" spans="2:8" x14ac:dyDescent="0.25">
      <c r="B826" s="60">
        <v>44993</v>
      </c>
      <c r="C826" s="5">
        <v>88.94</v>
      </c>
      <c r="D826" s="54">
        <f t="shared" si="26"/>
        <v>2.140845070422559E-3</v>
      </c>
      <c r="F826" s="59" t="s">
        <v>684</v>
      </c>
      <c r="G826" s="5">
        <v>12.17</v>
      </c>
      <c r="H826" s="54">
        <f t="shared" si="27"/>
        <v>4.9545829892652105E-3</v>
      </c>
    </row>
    <row r="827" spans="2:8" x14ac:dyDescent="0.25">
      <c r="B827" s="60">
        <v>44994</v>
      </c>
      <c r="C827" s="5">
        <v>87.51</v>
      </c>
      <c r="D827" s="54">
        <f t="shared" si="26"/>
        <v>-1.607825500337301E-2</v>
      </c>
      <c r="F827" s="59" t="s">
        <v>683</v>
      </c>
      <c r="G827" s="5">
        <v>12.17</v>
      </c>
      <c r="H827" s="54">
        <f t="shared" si="27"/>
        <v>0</v>
      </c>
    </row>
    <row r="828" spans="2:8" x14ac:dyDescent="0.25">
      <c r="B828" s="60">
        <v>44995</v>
      </c>
      <c r="C828" s="5">
        <v>86.36</v>
      </c>
      <c r="D828" s="54">
        <f t="shared" si="26"/>
        <v>-1.3141355273683097E-2</v>
      </c>
      <c r="F828" s="59" t="s">
        <v>682</v>
      </c>
      <c r="G828" s="5">
        <v>12.12</v>
      </c>
      <c r="H828" s="54">
        <f t="shared" si="27"/>
        <v>-4.1084634346755244E-3</v>
      </c>
    </row>
    <row r="829" spans="2:8" x14ac:dyDescent="0.25">
      <c r="B829" s="60">
        <v>44998</v>
      </c>
      <c r="C829" s="5">
        <v>86.14</v>
      </c>
      <c r="D829" s="54">
        <f t="shared" si="26"/>
        <v>-2.5474756831866952E-3</v>
      </c>
      <c r="F829" s="59" t="s">
        <v>681</v>
      </c>
      <c r="G829" s="5">
        <v>12.12</v>
      </c>
      <c r="H829" s="54">
        <f t="shared" si="27"/>
        <v>0</v>
      </c>
    </row>
    <row r="830" spans="2:8" x14ac:dyDescent="0.25">
      <c r="B830" s="60">
        <v>44999</v>
      </c>
      <c r="C830" s="5">
        <v>87.33</v>
      </c>
      <c r="D830" s="54">
        <f t="shared" si="26"/>
        <v>1.3814720222892873E-2</v>
      </c>
      <c r="F830" s="59" t="s">
        <v>680</v>
      </c>
      <c r="G830" s="5">
        <v>12.26</v>
      </c>
      <c r="H830" s="54">
        <f t="shared" si="27"/>
        <v>1.1551155115511635E-2</v>
      </c>
    </row>
    <row r="831" spans="2:8" x14ac:dyDescent="0.25">
      <c r="B831" s="60">
        <v>45000</v>
      </c>
      <c r="C831" s="5">
        <v>86.12</v>
      </c>
      <c r="D831" s="54">
        <f t="shared" si="26"/>
        <v>-1.3855490667582626E-2</v>
      </c>
      <c r="F831" s="59" t="s">
        <v>679</v>
      </c>
      <c r="G831" s="5">
        <v>12.42</v>
      </c>
      <c r="H831" s="54">
        <f t="shared" si="27"/>
        <v>1.3050570962479524E-2</v>
      </c>
    </row>
    <row r="832" spans="2:8" x14ac:dyDescent="0.25">
      <c r="B832" s="60">
        <v>45001</v>
      </c>
      <c r="C832" s="5">
        <v>87.52</v>
      </c>
      <c r="D832" s="54">
        <f t="shared" si="26"/>
        <v>1.6256386437528914E-2</v>
      </c>
      <c r="F832" s="59" t="s">
        <v>678</v>
      </c>
      <c r="G832" s="5">
        <v>12.34</v>
      </c>
      <c r="H832" s="54">
        <f t="shared" si="27"/>
        <v>-6.441223832528209E-3</v>
      </c>
    </row>
    <row r="833" spans="2:8" x14ac:dyDescent="0.25">
      <c r="B833" s="60">
        <v>45002</v>
      </c>
      <c r="C833" s="5">
        <v>86.57</v>
      </c>
      <c r="D833" s="54">
        <f t="shared" si="26"/>
        <v>-1.0854661791590559E-2</v>
      </c>
      <c r="F833" s="59" t="s">
        <v>677</v>
      </c>
      <c r="G833" s="5">
        <v>12.33</v>
      </c>
      <c r="H833" s="54">
        <f t="shared" si="27"/>
        <v>-8.1037277147488762E-4</v>
      </c>
    </row>
    <row r="834" spans="2:8" x14ac:dyDescent="0.25">
      <c r="B834" s="60">
        <v>45005</v>
      </c>
      <c r="C834" s="5">
        <v>87.41</v>
      </c>
      <c r="D834" s="54">
        <f t="shared" si="26"/>
        <v>9.703130414693284E-3</v>
      </c>
      <c r="F834" s="59" t="s">
        <v>676</v>
      </c>
      <c r="G834" s="5">
        <v>12.36</v>
      </c>
      <c r="H834" s="54">
        <f t="shared" si="27"/>
        <v>2.4330900243307862E-3</v>
      </c>
    </row>
    <row r="835" spans="2:8" x14ac:dyDescent="0.25">
      <c r="B835" s="60">
        <v>45006</v>
      </c>
      <c r="C835" s="5">
        <v>88.57</v>
      </c>
      <c r="D835" s="54">
        <f t="shared" si="26"/>
        <v>1.3270792815467392E-2</v>
      </c>
      <c r="F835" s="59" t="s">
        <v>675</v>
      </c>
      <c r="G835" s="5">
        <v>12.4</v>
      </c>
      <c r="H835" s="54">
        <f t="shared" si="27"/>
        <v>3.2362459546926292E-3</v>
      </c>
    </row>
    <row r="836" spans="2:8" x14ac:dyDescent="0.25">
      <c r="B836" s="60">
        <v>45007</v>
      </c>
      <c r="C836" s="5">
        <v>87.62</v>
      </c>
      <c r="D836" s="54">
        <f t="shared" si="26"/>
        <v>-1.0725979451281398E-2</v>
      </c>
      <c r="F836" s="59" t="s">
        <v>674</v>
      </c>
      <c r="G836" s="5">
        <v>12.46</v>
      </c>
      <c r="H836" s="54">
        <f t="shared" si="27"/>
        <v>4.8387096774193949E-3</v>
      </c>
    </row>
    <row r="837" spans="2:8" x14ac:dyDescent="0.25">
      <c r="B837" s="60">
        <v>45008</v>
      </c>
      <c r="C837" s="5">
        <v>87.85</v>
      </c>
      <c r="D837" s="54">
        <f t="shared" si="26"/>
        <v>2.6249714677013536E-3</v>
      </c>
      <c r="F837" s="59" t="s">
        <v>673</v>
      </c>
      <c r="G837" s="5">
        <v>12.42</v>
      </c>
      <c r="H837" s="54">
        <f t="shared" si="27"/>
        <v>-3.2102728731943087E-3</v>
      </c>
    </row>
    <row r="838" spans="2:8" x14ac:dyDescent="0.25">
      <c r="B838" s="60">
        <v>45009</v>
      </c>
      <c r="C838" s="5">
        <v>88.06</v>
      </c>
      <c r="D838" s="54">
        <f t="shared" si="26"/>
        <v>2.3904382470121277E-3</v>
      </c>
      <c r="F838" s="59" t="s">
        <v>672</v>
      </c>
      <c r="G838" s="5">
        <v>12.37</v>
      </c>
      <c r="H838" s="54">
        <f t="shared" si="27"/>
        <v>-4.0257648953301306E-3</v>
      </c>
    </row>
    <row r="839" spans="2:8" x14ac:dyDescent="0.25">
      <c r="B839" s="60">
        <v>45012</v>
      </c>
      <c r="C839" s="5">
        <v>88.37</v>
      </c>
      <c r="D839" s="54">
        <f t="shared" si="26"/>
        <v>3.5203270497388139E-3</v>
      </c>
      <c r="F839" s="59" t="s">
        <v>671</v>
      </c>
      <c r="G839" s="5">
        <v>12.5</v>
      </c>
      <c r="H839" s="54">
        <f t="shared" si="27"/>
        <v>1.0509296685529579E-2</v>
      </c>
    </row>
    <row r="840" spans="2:8" x14ac:dyDescent="0.25">
      <c r="B840" s="60">
        <v>45013</v>
      </c>
      <c r="C840" s="5">
        <v>88.45</v>
      </c>
      <c r="D840" s="54">
        <f t="shared" si="26"/>
        <v>9.0528459884575696E-4</v>
      </c>
      <c r="F840" s="59" t="s">
        <v>670</v>
      </c>
      <c r="G840" s="5">
        <v>12.5</v>
      </c>
      <c r="H840" s="54">
        <f t="shared" si="27"/>
        <v>0</v>
      </c>
    </row>
    <row r="841" spans="2:8" x14ac:dyDescent="0.25">
      <c r="B841" s="60">
        <v>45014</v>
      </c>
      <c r="C841" s="5">
        <v>89.53</v>
      </c>
      <c r="D841" s="54">
        <f t="shared" si="26"/>
        <v>1.2210288298473593E-2</v>
      </c>
      <c r="F841" s="59" t="s">
        <v>669</v>
      </c>
      <c r="G841" s="5">
        <v>12.44</v>
      </c>
      <c r="H841" s="54">
        <f t="shared" si="27"/>
        <v>-4.8000000000000265E-3</v>
      </c>
    </row>
    <row r="842" spans="2:8" x14ac:dyDescent="0.25">
      <c r="B842" s="60">
        <v>45015</v>
      </c>
      <c r="C842" s="5">
        <v>90.26</v>
      </c>
      <c r="D842" s="54">
        <f t="shared" si="26"/>
        <v>8.1536915000559596E-3</v>
      </c>
      <c r="F842" s="59" t="s">
        <v>668</v>
      </c>
      <c r="G842" s="5">
        <v>12.46</v>
      </c>
      <c r="H842" s="54">
        <f t="shared" si="27"/>
        <v>1.607717041800738E-3</v>
      </c>
    </row>
    <row r="843" spans="2:8" x14ac:dyDescent="0.25">
      <c r="B843" s="60">
        <v>45016</v>
      </c>
      <c r="C843" s="5">
        <v>91.16</v>
      </c>
      <c r="D843" s="54">
        <f t="shared" si="26"/>
        <v>9.9711943274982673E-3</v>
      </c>
      <c r="F843" s="59" t="s">
        <v>667</v>
      </c>
      <c r="G843" s="5">
        <v>12.4</v>
      </c>
      <c r="H843" s="54">
        <f t="shared" si="27"/>
        <v>-4.8154093097914075E-3</v>
      </c>
    </row>
    <row r="844" spans="2:8" x14ac:dyDescent="0.25">
      <c r="B844" s="60">
        <v>45019</v>
      </c>
      <c r="C844" s="5">
        <v>91.69</v>
      </c>
      <c r="D844" s="54">
        <f t="shared" si="26"/>
        <v>5.8139534883721034E-3</v>
      </c>
      <c r="F844" s="59" t="s">
        <v>666</v>
      </c>
      <c r="G844" s="5">
        <v>12.42</v>
      </c>
      <c r="H844" s="54">
        <f t="shared" si="27"/>
        <v>1.612903225806317E-3</v>
      </c>
    </row>
    <row r="845" spans="2:8" x14ac:dyDescent="0.25">
      <c r="B845" s="60">
        <v>45020</v>
      </c>
      <c r="C845" s="5">
        <v>91.37</v>
      </c>
      <c r="D845" s="54">
        <f t="shared" si="26"/>
        <v>-3.4900207219979995E-3</v>
      </c>
      <c r="F845" s="59" t="s">
        <v>665</v>
      </c>
      <c r="G845" s="5">
        <v>12.43</v>
      </c>
      <c r="H845" s="54">
        <f t="shared" si="27"/>
        <v>8.0515297906602612E-4</v>
      </c>
    </row>
    <row r="846" spans="2:8" x14ac:dyDescent="0.25">
      <c r="B846" s="60">
        <v>45021</v>
      </c>
      <c r="C846" s="5">
        <v>90.9</v>
      </c>
      <c r="D846" s="54">
        <f t="shared" si="26"/>
        <v>-5.143920323957496E-3</v>
      </c>
      <c r="F846" s="59" t="s">
        <v>664</v>
      </c>
      <c r="G846" s="5">
        <v>12.47</v>
      </c>
      <c r="H846" s="54">
        <f t="shared" si="27"/>
        <v>3.2180209171359664E-3</v>
      </c>
    </row>
    <row r="847" spans="2:8" x14ac:dyDescent="0.25">
      <c r="B847" s="60">
        <v>45022</v>
      </c>
      <c r="C847" s="5">
        <v>91.26</v>
      </c>
      <c r="D847" s="54">
        <f t="shared" ref="D847:D910" si="28">C847/C846-1</f>
        <v>3.9603960396039639E-3</v>
      </c>
      <c r="F847" s="59" t="s">
        <v>663</v>
      </c>
      <c r="G847" s="5">
        <v>12.49</v>
      </c>
      <c r="H847" s="54">
        <f t="shared" si="27"/>
        <v>1.6038492381715841E-3</v>
      </c>
    </row>
    <row r="848" spans="2:8" x14ac:dyDescent="0.25">
      <c r="B848" s="60">
        <v>45026</v>
      </c>
      <c r="C848" s="5">
        <v>91.32</v>
      </c>
      <c r="D848" s="54">
        <f t="shared" si="28"/>
        <v>6.5746219592366373E-4</v>
      </c>
      <c r="F848" s="59" t="s">
        <v>662</v>
      </c>
      <c r="G848" s="5">
        <v>12.59</v>
      </c>
      <c r="H848" s="54">
        <f t="shared" si="27"/>
        <v>8.0064051240993361E-3</v>
      </c>
    </row>
    <row r="849" spans="2:8" x14ac:dyDescent="0.25">
      <c r="B849" s="60">
        <v>45027</v>
      </c>
      <c r="C849" s="5">
        <v>91.5</v>
      </c>
      <c r="D849" s="54">
        <f t="shared" si="28"/>
        <v>1.9710906701708719E-3</v>
      </c>
      <c r="F849" s="59" t="s">
        <v>661</v>
      </c>
      <c r="G849" s="5">
        <v>12.58</v>
      </c>
      <c r="H849" s="54">
        <f t="shared" ref="H849:H912" si="29">G849/G848-1</f>
        <v>-7.9428117553614896E-4</v>
      </c>
    </row>
    <row r="850" spans="2:8" x14ac:dyDescent="0.25">
      <c r="B850" s="60">
        <v>45028</v>
      </c>
      <c r="C850" s="5">
        <v>91.35</v>
      </c>
      <c r="D850" s="54">
        <f t="shared" si="28"/>
        <v>-1.6393442622951726E-3</v>
      </c>
      <c r="F850" s="59" t="s">
        <v>660</v>
      </c>
      <c r="G850" s="5">
        <v>12.55</v>
      </c>
      <c r="H850" s="54">
        <f t="shared" si="29"/>
        <v>-2.3847376788552754E-3</v>
      </c>
    </row>
    <row r="851" spans="2:8" x14ac:dyDescent="0.25">
      <c r="B851" s="60">
        <v>45029</v>
      </c>
      <c r="C851" s="5">
        <v>92.57</v>
      </c>
      <c r="D851" s="54">
        <f t="shared" si="28"/>
        <v>1.3355227148330595E-2</v>
      </c>
      <c r="F851" s="59" t="s">
        <v>659</v>
      </c>
      <c r="G851" s="5">
        <v>12.49</v>
      </c>
      <c r="H851" s="54">
        <f t="shared" si="29"/>
        <v>-4.7808764940239223E-3</v>
      </c>
    </row>
    <row r="852" spans="2:8" x14ac:dyDescent="0.25">
      <c r="B852" s="60">
        <v>45030</v>
      </c>
      <c r="C852" s="5">
        <v>92.3</v>
      </c>
      <c r="D852" s="54">
        <f t="shared" si="28"/>
        <v>-2.9167116776492863E-3</v>
      </c>
      <c r="F852" s="59" t="s">
        <v>658</v>
      </c>
      <c r="G852" s="5">
        <v>12.51</v>
      </c>
      <c r="H852" s="54">
        <f t="shared" si="29"/>
        <v>1.6012810248198228E-3</v>
      </c>
    </row>
    <row r="853" spans="2:8" x14ac:dyDescent="0.25">
      <c r="B853" s="60">
        <v>45033</v>
      </c>
      <c r="C853" s="5">
        <v>92.47</v>
      </c>
      <c r="D853" s="54">
        <f t="shared" si="28"/>
        <v>1.8418201516792188E-3</v>
      </c>
      <c r="F853" s="59" t="s">
        <v>657</v>
      </c>
      <c r="G853" s="5">
        <v>12.57</v>
      </c>
      <c r="H853" s="54">
        <f t="shared" si="29"/>
        <v>4.7961630695443347E-3</v>
      </c>
    </row>
    <row r="854" spans="2:8" x14ac:dyDescent="0.25">
      <c r="B854" s="60">
        <v>45034</v>
      </c>
      <c r="C854" s="5">
        <v>92.64</v>
      </c>
      <c r="D854" s="54">
        <f t="shared" si="28"/>
        <v>1.8384340867307891E-3</v>
      </c>
      <c r="F854" s="59" t="s">
        <v>656</v>
      </c>
      <c r="G854" s="5">
        <v>12.49</v>
      </c>
      <c r="H854" s="54">
        <f t="shared" si="29"/>
        <v>-6.364359586316648E-3</v>
      </c>
    </row>
    <row r="855" spans="2:8" x14ac:dyDescent="0.25">
      <c r="B855" s="60">
        <v>45035</v>
      </c>
      <c r="C855" s="5">
        <v>92.45</v>
      </c>
      <c r="D855" s="54">
        <f t="shared" si="28"/>
        <v>-2.0509499136441844E-3</v>
      </c>
      <c r="F855" s="59" t="s">
        <v>655</v>
      </c>
      <c r="G855" s="5">
        <v>12.4</v>
      </c>
      <c r="H855" s="54">
        <f t="shared" si="29"/>
        <v>-7.2057646116893137E-3</v>
      </c>
    </row>
    <row r="856" spans="2:8" x14ac:dyDescent="0.25">
      <c r="B856" s="60">
        <v>45036</v>
      </c>
      <c r="C856" s="5">
        <v>92.11</v>
      </c>
      <c r="D856" s="54">
        <f t="shared" si="28"/>
        <v>-3.6776636019469899E-3</v>
      </c>
      <c r="F856" s="59" t="s">
        <v>654</v>
      </c>
      <c r="G856" s="5">
        <v>12.39</v>
      </c>
      <c r="H856" s="54">
        <f t="shared" si="29"/>
        <v>-8.0645161290315848E-4</v>
      </c>
    </row>
    <row r="857" spans="2:8" x14ac:dyDescent="0.25">
      <c r="B857" s="60">
        <v>45037</v>
      </c>
      <c r="C857" s="5">
        <v>92.17</v>
      </c>
      <c r="D857" s="54">
        <f t="shared" si="28"/>
        <v>6.5139507111067196E-4</v>
      </c>
      <c r="F857" s="59" t="s">
        <v>653</v>
      </c>
      <c r="G857" s="5">
        <v>12.36</v>
      </c>
      <c r="H857" s="54">
        <f t="shared" si="29"/>
        <v>-2.4213075060534051E-3</v>
      </c>
    </row>
    <row r="858" spans="2:8" x14ac:dyDescent="0.25">
      <c r="B858" s="60">
        <v>45040</v>
      </c>
      <c r="C858" s="5">
        <v>92.21</v>
      </c>
      <c r="D858" s="54">
        <f t="shared" si="28"/>
        <v>4.3398068785927002E-4</v>
      </c>
      <c r="F858" s="59" t="s">
        <v>652</v>
      </c>
      <c r="G858" s="5">
        <v>12.39</v>
      </c>
      <c r="H858" s="54">
        <f t="shared" si="29"/>
        <v>2.4271844660195274E-3</v>
      </c>
    </row>
    <row r="859" spans="2:8" x14ac:dyDescent="0.25">
      <c r="B859" s="60">
        <v>45041</v>
      </c>
      <c r="C859" s="5">
        <v>90.73</v>
      </c>
      <c r="D859" s="54">
        <f t="shared" si="28"/>
        <v>-1.60503199219173E-2</v>
      </c>
      <c r="F859" s="59" t="s">
        <v>651</v>
      </c>
      <c r="G859" s="5">
        <v>12.38</v>
      </c>
      <c r="H859" s="54">
        <f t="shared" si="29"/>
        <v>-8.0710250201776468E-4</v>
      </c>
    </row>
    <row r="860" spans="2:8" x14ac:dyDescent="0.25">
      <c r="B860" s="60">
        <v>45042</v>
      </c>
      <c r="C860" s="5">
        <v>90.5</v>
      </c>
      <c r="D860" s="54">
        <f t="shared" si="28"/>
        <v>-2.5349939380580055E-3</v>
      </c>
      <c r="F860" s="59" t="s">
        <v>650</v>
      </c>
      <c r="G860" s="5">
        <v>12.41</v>
      </c>
      <c r="H860" s="54">
        <f t="shared" si="29"/>
        <v>2.4232633279481774E-3</v>
      </c>
    </row>
    <row r="861" spans="2:8" x14ac:dyDescent="0.25">
      <c r="B861" s="60">
        <v>45043</v>
      </c>
      <c r="C861" s="5">
        <v>92.05</v>
      </c>
      <c r="D861" s="54">
        <f t="shared" si="28"/>
        <v>1.7127071823204387E-2</v>
      </c>
      <c r="F861" s="59" t="s">
        <v>649</v>
      </c>
      <c r="G861" s="5">
        <v>12.45</v>
      </c>
      <c r="H861" s="54">
        <f t="shared" si="29"/>
        <v>3.2232070910556132E-3</v>
      </c>
    </row>
    <row r="862" spans="2:8" x14ac:dyDescent="0.25">
      <c r="B862" s="60">
        <v>45044</v>
      </c>
      <c r="C862" s="5">
        <v>92.59</v>
      </c>
      <c r="D862" s="54">
        <f t="shared" si="28"/>
        <v>5.8663769690385781E-3</v>
      </c>
      <c r="F862" s="59" t="s">
        <v>648</v>
      </c>
      <c r="G862" s="5">
        <v>12.53</v>
      </c>
      <c r="H862" s="54">
        <f t="shared" si="29"/>
        <v>6.4257028112448822E-3</v>
      </c>
    </row>
    <row r="863" spans="2:8" x14ac:dyDescent="0.25">
      <c r="B863" s="60">
        <v>45047</v>
      </c>
      <c r="C863" s="5">
        <v>92.47</v>
      </c>
      <c r="D863" s="54">
        <f t="shared" si="28"/>
        <v>-1.2960362890160892E-3</v>
      </c>
      <c r="F863" s="59" t="s">
        <v>647</v>
      </c>
      <c r="G863" s="5">
        <v>12.44</v>
      </c>
      <c r="H863" s="54">
        <f t="shared" si="29"/>
        <v>-7.1827613727054596E-3</v>
      </c>
    </row>
    <row r="864" spans="2:8" x14ac:dyDescent="0.25">
      <c r="B864" s="60">
        <v>45048</v>
      </c>
      <c r="C864" s="5">
        <v>91.43</v>
      </c>
      <c r="D864" s="54">
        <f t="shared" si="28"/>
        <v>-1.1246890883529703E-2</v>
      </c>
      <c r="F864" s="59" t="s">
        <v>646</v>
      </c>
      <c r="G864" s="5">
        <v>12.43</v>
      </c>
      <c r="H864" s="54">
        <f t="shared" si="29"/>
        <v>-8.03858520900258E-4</v>
      </c>
    </row>
    <row r="865" spans="2:8" x14ac:dyDescent="0.25">
      <c r="B865" s="60">
        <v>45049</v>
      </c>
      <c r="C865" s="5">
        <v>91.1</v>
      </c>
      <c r="D865" s="54">
        <f t="shared" si="28"/>
        <v>-3.6093186043969494E-3</v>
      </c>
      <c r="F865" s="59" t="s">
        <v>645</v>
      </c>
      <c r="G865" s="5">
        <v>12.43</v>
      </c>
      <c r="H865" s="54">
        <f t="shared" si="29"/>
        <v>0</v>
      </c>
    </row>
    <row r="866" spans="2:8" x14ac:dyDescent="0.25">
      <c r="B866" s="60">
        <v>45050</v>
      </c>
      <c r="C866" s="5">
        <v>90.77</v>
      </c>
      <c r="D866" s="54">
        <f t="shared" si="28"/>
        <v>-3.6223929747529748E-3</v>
      </c>
      <c r="F866" s="59" t="s">
        <v>644</v>
      </c>
      <c r="G866" s="5">
        <v>12.44</v>
      </c>
      <c r="H866" s="54">
        <f t="shared" si="29"/>
        <v>8.045052292839916E-4</v>
      </c>
    </row>
    <row r="867" spans="2:8" x14ac:dyDescent="0.25">
      <c r="B867" s="60">
        <v>45051</v>
      </c>
      <c r="C867" s="5">
        <v>92.31</v>
      </c>
      <c r="D867" s="54">
        <f t="shared" si="28"/>
        <v>1.6965957915610952E-2</v>
      </c>
      <c r="F867" s="59" t="s">
        <v>643</v>
      </c>
      <c r="G867" s="5">
        <v>12.38</v>
      </c>
      <c r="H867" s="54">
        <f t="shared" si="29"/>
        <v>-4.8231511254018811E-3</v>
      </c>
    </row>
    <row r="868" spans="2:8" x14ac:dyDescent="0.25">
      <c r="B868" s="60">
        <v>45054</v>
      </c>
      <c r="C868" s="5">
        <v>92.35</v>
      </c>
      <c r="D868" s="54">
        <f t="shared" si="28"/>
        <v>4.3332250027083852E-4</v>
      </c>
      <c r="F868" s="59" t="s">
        <v>642</v>
      </c>
      <c r="G868" s="5">
        <v>12.51</v>
      </c>
      <c r="H868" s="54">
        <f t="shared" si="29"/>
        <v>1.050080775444262E-2</v>
      </c>
    </row>
    <row r="869" spans="2:8" x14ac:dyDescent="0.25">
      <c r="B869" s="60">
        <v>45055</v>
      </c>
      <c r="C869" s="5">
        <v>91.96</v>
      </c>
      <c r="D869" s="54">
        <f t="shared" si="28"/>
        <v>-4.2230644288034913E-3</v>
      </c>
      <c r="F869" s="59" t="s">
        <v>641</v>
      </c>
      <c r="G869" s="5">
        <v>12.55</v>
      </c>
      <c r="H869" s="54">
        <f t="shared" si="29"/>
        <v>3.1974420463629638E-3</v>
      </c>
    </row>
    <row r="870" spans="2:8" x14ac:dyDescent="0.25">
      <c r="B870" s="60">
        <v>45056</v>
      </c>
      <c r="C870" s="5">
        <v>92.19</v>
      </c>
      <c r="D870" s="54">
        <f t="shared" si="28"/>
        <v>2.5010874293172058E-3</v>
      </c>
      <c r="F870" s="59" t="s">
        <v>640</v>
      </c>
      <c r="G870" s="5">
        <v>12.52</v>
      </c>
      <c r="H870" s="54">
        <f t="shared" si="29"/>
        <v>-2.3904382470120167E-3</v>
      </c>
    </row>
    <row r="871" spans="2:8" x14ac:dyDescent="0.25">
      <c r="B871" s="60">
        <v>45057</v>
      </c>
      <c r="C871" s="5">
        <v>91.96</v>
      </c>
      <c r="D871" s="54">
        <f t="shared" si="28"/>
        <v>-2.4948475973533002E-3</v>
      </c>
      <c r="F871" s="59" t="s">
        <v>639</v>
      </c>
      <c r="G871" s="5">
        <v>12.51</v>
      </c>
      <c r="H871" s="54">
        <f t="shared" si="29"/>
        <v>-7.9872204472841712E-4</v>
      </c>
    </row>
    <row r="872" spans="2:8" x14ac:dyDescent="0.25">
      <c r="B872" s="60">
        <v>45058</v>
      </c>
      <c r="C872" s="5">
        <v>91.7</v>
      </c>
      <c r="D872" s="54">
        <f t="shared" si="28"/>
        <v>-2.8273162244453198E-3</v>
      </c>
      <c r="F872" s="59" t="s">
        <v>638</v>
      </c>
      <c r="G872" s="5">
        <v>12.45</v>
      </c>
      <c r="H872" s="54">
        <f t="shared" si="29"/>
        <v>-4.7961630695444457E-3</v>
      </c>
    </row>
    <row r="873" spans="2:8" x14ac:dyDescent="0.25">
      <c r="B873" s="60">
        <v>45061</v>
      </c>
      <c r="C873" s="5">
        <v>92.33</v>
      </c>
      <c r="D873" s="54">
        <f t="shared" si="28"/>
        <v>6.8702290076334549E-3</v>
      </c>
      <c r="F873" s="59" t="s">
        <v>637</v>
      </c>
      <c r="G873" s="5">
        <v>12.49</v>
      </c>
      <c r="H873" s="54">
        <f t="shared" si="29"/>
        <v>3.2128514056226631E-3</v>
      </c>
    </row>
    <row r="874" spans="2:8" x14ac:dyDescent="0.25">
      <c r="B874" s="60">
        <v>45062</v>
      </c>
      <c r="C874" s="5">
        <v>91.59</v>
      </c>
      <c r="D874" s="54">
        <f t="shared" si="28"/>
        <v>-8.0147297736379297E-3</v>
      </c>
      <c r="F874" s="59" t="s">
        <v>636</v>
      </c>
      <c r="G874" s="5">
        <v>12.52</v>
      </c>
      <c r="H874" s="54">
        <f t="shared" si="29"/>
        <v>2.4019215372297342E-3</v>
      </c>
    </row>
    <row r="875" spans="2:8" x14ac:dyDescent="0.25">
      <c r="B875" s="60">
        <v>45063</v>
      </c>
      <c r="C875" s="5">
        <v>92.45</v>
      </c>
      <c r="D875" s="54">
        <f t="shared" si="28"/>
        <v>9.3896713615022609E-3</v>
      </c>
      <c r="F875" s="59" t="s">
        <v>635</v>
      </c>
      <c r="G875" s="5">
        <v>12.52</v>
      </c>
      <c r="H875" s="54">
        <f t="shared" si="29"/>
        <v>0</v>
      </c>
    </row>
    <row r="876" spans="2:8" x14ac:dyDescent="0.25">
      <c r="B876" s="60">
        <v>45064</v>
      </c>
      <c r="C876" s="5">
        <v>92.91</v>
      </c>
      <c r="D876" s="54">
        <f t="shared" si="28"/>
        <v>4.9756625202812543E-3</v>
      </c>
      <c r="F876" s="59" t="s">
        <v>634</v>
      </c>
      <c r="G876" s="5">
        <v>12.43</v>
      </c>
      <c r="H876" s="54">
        <f t="shared" si="29"/>
        <v>-7.1884984025558651E-3</v>
      </c>
    </row>
    <row r="877" spans="2:8" x14ac:dyDescent="0.25">
      <c r="B877" s="60">
        <v>45065</v>
      </c>
      <c r="C877" s="5">
        <v>92.97</v>
      </c>
      <c r="D877" s="54">
        <f t="shared" si="28"/>
        <v>6.4578624475308821E-4</v>
      </c>
      <c r="F877" s="59" t="s">
        <v>633</v>
      </c>
      <c r="G877" s="5">
        <v>12.4</v>
      </c>
      <c r="H877" s="54">
        <f t="shared" si="29"/>
        <v>-2.4135156878519748E-3</v>
      </c>
    </row>
    <row r="878" spans="2:8" x14ac:dyDescent="0.25">
      <c r="B878" s="60">
        <v>45068</v>
      </c>
      <c r="C878" s="5">
        <v>93.11</v>
      </c>
      <c r="D878" s="54">
        <f t="shared" si="28"/>
        <v>1.5058621060557442E-3</v>
      </c>
      <c r="F878" s="59" t="s">
        <v>632</v>
      </c>
      <c r="G878" s="5">
        <v>12.34</v>
      </c>
      <c r="H878" s="54">
        <f t="shared" si="29"/>
        <v>-4.8387096774193949E-3</v>
      </c>
    </row>
    <row r="879" spans="2:8" x14ac:dyDescent="0.25">
      <c r="B879" s="60">
        <v>45069</v>
      </c>
      <c r="C879" s="5">
        <v>91.94</v>
      </c>
      <c r="D879" s="54">
        <f t="shared" si="28"/>
        <v>-1.2565782407904624E-2</v>
      </c>
      <c r="F879" s="59" t="s">
        <v>631</v>
      </c>
      <c r="G879" s="5">
        <v>12.26</v>
      </c>
      <c r="H879" s="54">
        <f t="shared" si="29"/>
        <v>-6.4829821717989899E-3</v>
      </c>
    </row>
    <row r="880" spans="2:8" x14ac:dyDescent="0.25">
      <c r="B880" s="60">
        <v>45070</v>
      </c>
      <c r="C880" s="5">
        <v>91.09</v>
      </c>
      <c r="D880" s="54">
        <f t="shared" si="28"/>
        <v>-9.2451598868826812E-3</v>
      </c>
      <c r="F880" s="59" t="s">
        <v>630</v>
      </c>
      <c r="G880" s="5">
        <v>12.23</v>
      </c>
      <c r="H880" s="54">
        <f t="shared" si="29"/>
        <v>-2.4469820554648969E-3</v>
      </c>
    </row>
    <row r="881" spans="2:8" x14ac:dyDescent="0.25">
      <c r="B881" s="60">
        <v>45071</v>
      </c>
      <c r="C881" s="5">
        <v>91.46</v>
      </c>
      <c r="D881" s="54">
        <f t="shared" si="28"/>
        <v>4.061916785596642E-3</v>
      </c>
      <c r="F881" s="59" t="s">
        <v>629</v>
      </c>
      <c r="G881" s="5">
        <v>12.23</v>
      </c>
      <c r="H881" s="54">
        <f t="shared" si="29"/>
        <v>0</v>
      </c>
    </row>
    <row r="882" spans="2:8" x14ac:dyDescent="0.25">
      <c r="B882" s="60">
        <v>45072</v>
      </c>
      <c r="C882" s="5">
        <v>92.66</v>
      </c>
      <c r="D882" s="54">
        <f t="shared" si="28"/>
        <v>1.3120489831620397E-2</v>
      </c>
      <c r="F882" s="59" t="s">
        <v>628</v>
      </c>
      <c r="G882" s="5">
        <v>12.2</v>
      </c>
      <c r="H882" s="54">
        <f t="shared" si="29"/>
        <v>-2.4529844644318732E-3</v>
      </c>
    </row>
    <row r="883" spans="2:8" x14ac:dyDescent="0.25">
      <c r="B883" s="60">
        <v>45076</v>
      </c>
      <c r="C883" s="5">
        <v>92.28</v>
      </c>
      <c r="D883" s="54">
        <f t="shared" si="28"/>
        <v>-4.1010144614720412E-3</v>
      </c>
      <c r="F883" s="59" t="s">
        <v>627</v>
      </c>
      <c r="G883" s="5">
        <v>12.2</v>
      </c>
      <c r="H883" s="54">
        <f t="shared" si="29"/>
        <v>0</v>
      </c>
    </row>
    <row r="884" spans="2:8" x14ac:dyDescent="0.25">
      <c r="B884" s="60">
        <v>45077</v>
      </c>
      <c r="C884" s="5">
        <v>91.62</v>
      </c>
      <c r="D884" s="54">
        <f t="shared" si="28"/>
        <v>-7.152145643693042E-3</v>
      </c>
      <c r="F884" s="59" t="s">
        <v>626</v>
      </c>
      <c r="G884" s="5">
        <v>12.13</v>
      </c>
      <c r="H884" s="54">
        <f t="shared" si="29"/>
        <v>-5.7377049180327155E-3</v>
      </c>
    </row>
    <row r="885" spans="2:8" x14ac:dyDescent="0.25">
      <c r="B885" s="60">
        <v>45078</v>
      </c>
      <c r="C885" s="5">
        <v>92.71</v>
      </c>
      <c r="D885" s="54">
        <f t="shared" si="28"/>
        <v>1.1896965728006803E-2</v>
      </c>
      <c r="F885" s="59" t="s">
        <v>625</v>
      </c>
      <c r="G885" s="5">
        <v>12.1</v>
      </c>
      <c r="H885" s="54">
        <f t="shared" si="29"/>
        <v>-2.473206924979432E-3</v>
      </c>
    </row>
    <row r="886" spans="2:8" x14ac:dyDescent="0.25">
      <c r="B886" s="60">
        <v>45079</v>
      </c>
      <c r="C886" s="5">
        <v>94.09</v>
      </c>
      <c r="D886" s="54">
        <f t="shared" si="28"/>
        <v>1.4885125660662357E-2</v>
      </c>
      <c r="F886" s="59" t="s">
        <v>624</v>
      </c>
      <c r="G886" s="5">
        <v>12.14</v>
      </c>
      <c r="H886" s="54">
        <f t="shared" si="29"/>
        <v>3.3057851239670644E-3</v>
      </c>
    </row>
    <row r="887" spans="2:8" x14ac:dyDescent="0.25">
      <c r="B887" s="60">
        <v>45082</v>
      </c>
      <c r="C887" s="5">
        <v>93.84</v>
      </c>
      <c r="D887" s="54">
        <f t="shared" si="28"/>
        <v>-2.657030502710156E-3</v>
      </c>
      <c r="F887" s="59" t="s">
        <v>623</v>
      </c>
      <c r="G887" s="5">
        <v>12.17</v>
      </c>
      <c r="H887" s="54">
        <f t="shared" si="29"/>
        <v>2.4711696869850197E-3</v>
      </c>
    </row>
    <row r="888" spans="2:8" x14ac:dyDescent="0.25">
      <c r="B888" s="60">
        <v>45083</v>
      </c>
      <c r="C888" s="5">
        <v>94.29</v>
      </c>
      <c r="D888" s="54">
        <f t="shared" si="28"/>
        <v>4.795396419437381E-3</v>
      </c>
      <c r="F888" s="59" t="s">
        <v>622</v>
      </c>
      <c r="G888" s="5">
        <v>12.25</v>
      </c>
      <c r="H888" s="54">
        <f t="shared" si="29"/>
        <v>6.5735414954806171E-3</v>
      </c>
    </row>
    <row r="889" spans="2:8" x14ac:dyDescent="0.25">
      <c r="B889" s="60">
        <v>45084</v>
      </c>
      <c r="C889" s="5">
        <v>92.84</v>
      </c>
      <c r="D889" s="54">
        <f t="shared" si="28"/>
        <v>-1.5378088874748119E-2</v>
      </c>
      <c r="F889" s="59" t="s">
        <v>621</v>
      </c>
      <c r="G889" s="5">
        <v>12.26</v>
      </c>
      <c r="H889" s="54">
        <f t="shared" si="29"/>
        <v>8.1632653061225469E-4</v>
      </c>
    </row>
    <row r="890" spans="2:8" x14ac:dyDescent="0.25">
      <c r="B890" s="60">
        <v>45085</v>
      </c>
      <c r="C890" s="5">
        <v>93.51</v>
      </c>
      <c r="D890" s="54">
        <f t="shared" si="28"/>
        <v>7.2167169323567038E-3</v>
      </c>
      <c r="F890" s="59" t="s">
        <v>620</v>
      </c>
      <c r="G890" s="5">
        <v>12.2</v>
      </c>
      <c r="H890" s="54">
        <f t="shared" si="29"/>
        <v>-4.8939641109299048E-3</v>
      </c>
    </row>
    <row r="891" spans="2:8" x14ac:dyDescent="0.25">
      <c r="B891" s="60">
        <v>45086</v>
      </c>
      <c r="C891" s="5">
        <v>93.64</v>
      </c>
      <c r="D891" s="54">
        <f t="shared" si="28"/>
        <v>1.3902256443161232E-3</v>
      </c>
      <c r="F891" s="59" t="s">
        <v>619</v>
      </c>
      <c r="G891" s="5">
        <v>12.18</v>
      </c>
      <c r="H891" s="54">
        <f t="shared" si="29"/>
        <v>-1.6393442622950616E-3</v>
      </c>
    </row>
    <row r="892" spans="2:8" x14ac:dyDescent="0.25">
      <c r="B892" s="60">
        <v>45089</v>
      </c>
      <c r="C892" s="5">
        <v>94.32</v>
      </c>
      <c r="D892" s="54">
        <f t="shared" si="28"/>
        <v>7.2618539085860245E-3</v>
      </c>
      <c r="F892" s="59" t="s">
        <v>618</v>
      </c>
      <c r="G892" s="5">
        <v>12.23</v>
      </c>
      <c r="H892" s="54">
        <f t="shared" si="29"/>
        <v>4.1050903119870252E-3</v>
      </c>
    </row>
    <row r="893" spans="2:8" x14ac:dyDescent="0.25">
      <c r="B893" s="60">
        <v>45090</v>
      </c>
      <c r="C893" s="5">
        <v>95.05</v>
      </c>
      <c r="D893" s="54">
        <f t="shared" si="28"/>
        <v>7.7396098388464729E-3</v>
      </c>
      <c r="F893" s="59" t="s">
        <v>617</v>
      </c>
      <c r="G893" s="5">
        <v>12.2</v>
      </c>
      <c r="H893" s="54">
        <f t="shared" si="29"/>
        <v>-2.4529844644318732E-3</v>
      </c>
    </row>
    <row r="894" spans="2:8" x14ac:dyDescent="0.25">
      <c r="B894" s="60">
        <v>45091</v>
      </c>
      <c r="C894" s="5">
        <v>95.28</v>
      </c>
      <c r="D894" s="54">
        <f t="shared" si="28"/>
        <v>2.4197790636506511E-3</v>
      </c>
      <c r="F894" s="59" t="s">
        <v>616</v>
      </c>
      <c r="G894" s="5">
        <v>12.22</v>
      </c>
      <c r="H894" s="54">
        <f t="shared" si="29"/>
        <v>1.6393442622952836E-3</v>
      </c>
    </row>
    <row r="895" spans="2:8" x14ac:dyDescent="0.25">
      <c r="B895" s="60">
        <v>45092</v>
      </c>
      <c r="C895" s="5">
        <v>96.36</v>
      </c>
      <c r="D895" s="54">
        <f t="shared" si="28"/>
        <v>1.133501259445846E-2</v>
      </c>
      <c r="F895" s="59" t="s">
        <v>615</v>
      </c>
      <c r="G895" s="5">
        <v>12.21</v>
      </c>
      <c r="H895" s="54">
        <f t="shared" si="29"/>
        <v>-8.1833060556457671E-4</v>
      </c>
    </row>
    <row r="896" spans="2:8" x14ac:dyDescent="0.25">
      <c r="B896" s="60">
        <v>45093</v>
      </c>
      <c r="C896" s="5">
        <v>96.08</v>
      </c>
      <c r="D896" s="54">
        <f t="shared" si="28"/>
        <v>-2.9057700290576749E-3</v>
      </c>
      <c r="F896" s="59" t="s">
        <v>614</v>
      </c>
      <c r="G896" s="5">
        <v>12.23</v>
      </c>
      <c r="H896" s="54">
        <f t="shared" si="29"/>
        <v>1.6380016380015405E-3</v>
      </c>
    </row>
    <row r="897" spans="2:8" x14ac:dyDescent="0.25">
      <c r="B897" s="60">
        <v>45097</v>
      </c>
      <c r="C897" s="5">
        <v>95.2</v>
      </c>
      <c r="D897" s="54">
        <f t="shared" si="28"/>
        <v>-9.1590341382180585E-3</v>
      </c>
      <c r="F897" s="59" t="s">
        <v>613</v>
      </c>
      <c r="G897" s="5">
        <v>12.24</v>
      </c>
      <c r="H897" s="54">
        <f t="shared" si="29"/>
        <v>8.1766148814388373E-4</v>
      </c>
    </row>
    <row r="898" spans="2:8" x14ac:dyDescent="0.25">
      <c r="B898" s="60">
        <v>45098</v>
      </c>
      <c r="C898" s="5">
        <v>94.87</v>
      </c>
      <c r="D898" s="54">
        <f t="shared" si="28"/>
        <v>-3.4663865546218364E-3</v>
      </c>
      <c r="F898" s="59" t="s">
        <v>612</v>
      </c>
      <c r="G898" s="5">
        <v>12.26</v>
      </c>
      <c r="H898" s="54">
        <f t="shared" si="29"/>
        <v>1.6339869281045694E-3</v>
      </c>
    </row>
    <row r="899" spans="2:8" x14ac:dyDescent="0.25">
      <c r="B899" s="60">
        <v>45099</v>
      </c>
      <c r="C899" s="5">
        <v>94.89</v>
      </c>
      <c r="D899" s="54">
        <f t="shared" si="28"/>
        <v>2.1081479919882185E-4</v>
      </c>
      <c r="F899" s="59" t="s">
        <v>611</v>
      </c>
      <c r="G899" s="5">
        <v>12.29</v>
      </c>
      <c r="H899" s="54">
        <f t="shared" si="29"/>
        <v>2.4469820554648969E-3</v>
      </c>
    </row>
    <row r="900" spans="2:8" x14ac:dyDescent="0.25">
      <c r="B900" s="60">
        <v>45100</v>
      </c>
      <c r="C900" s="5">
        <v>93.91</v>
      </c>
      <c r="D900" s="54">
        <f t="shared" si="28"/>
        <v>-1.032774791864266E-2</v>
      </c>
      <c r="F900" s="59" t="s">
        <v>610</v>
      </c>
      <c r="G900" s="5">
        <v>12.26</v>
      </c>
      <c r="H900" s="54">
        <f t="shared" si="29"/>
        <v>-2.4410089503661414E-3</v>
      </c>
    </row>
    <row r="901" spans="2:8" x14ac:dyDescent="0.25">
      <c r="B901" s="60">
        <v>45103</v>
      </c>
      <c r="C901" s="5">
        <v>93.75</v>
      </c>
      <c r="D901" s="54">
        <f t="shared" si="28"/>
        <v>-1.7037589181130297E-3</v>
      </c>
      <c r="F901" s="59" t="s">
        <v>609</v>
      </c>
      <c r="G901" s="5">
        <v>12.25</v>
      </c>
      <c r="H901" s="54">
        <f t="shared" si="29"/>
        <v>-8.1566068515492862E-4</v>
      </c>
    </row>
    <row r="902" spans="2:8" x14ac:dyDescent="0.25">
      <c r="B902" s="60">
        <v>45104</v>
      </c>
      <c r="C902" s="5">
        <v>94.74</v>
      </c>
      <c r="D902" s="54">
        <f t="shared" si="28"/>
        <v>1.0559999999999903E-2</v>
      </c>
      <c r="F902" s="59" t="s">
        <v>608</v>
      </c>
      <c r="G902" s="5">
        <v>12.27</v>
      </c>
      <c r="H902" s="54">
        <f t="shared" si="29"/>
        <v>1.6326530612245094E-3</v>
      </c>
    </row>
    <row r="903" spans="2:8" x14ac:dyDescent="0.25">
      <c r="B903" s="60">
        <v>45105</v>
      </c>
      <c r="C903" s="5">
        <v>94.73</v>
      </c>
      <c r="D903" s="54">
        <f t="shared" si="28"/>
        <v>-1.0555203715423289E-4</v>
      </c>
      <c r="F903" s="59" t="s">
        <v>607</v>
      </c>
      <c r="G903" s="5">
        <v>12.23</v>
      </c>
      <c r="H903" s="54">
        <f t="shared" si="29"/>
        <v>-3.2599837000814036E-3</v>
      </c>
    </row>
    <row r="904" spans="2:8" x14ac:dyDescent="0.25">
      <c r="B904" s="60">
        <v>45106</v>
      </c>
      <c r="C904" s="5">
        <v>94.89</v>
      </c>
      <c r="D904" s="54">
        <f t="shared" si="28"/>
        <v>1.6890108730074349E-3</v>
      </c>
      <c r="F904" s="59" t="s">
        <v>606</v>
      </c>
      <c r="G904" s="5">
        <v>12.26</v>
      </c>
      <c r="H904" s="54">
        <f t="shared" si="29"/>
        <v>2.4529844644316512E-3</v>
      </c>
    </row>
    <row r="905" spans="2:8" x14ac:dyDescent="0.25">
      <c r="B905" s="60">
        <v>45107</v>
      </c>
      <c r="C905" s="5">
        <v>95.94</v>
      </c>
      <c r="D905" s="54">
        <f t="shared" si="28"/>
        <v>1.1065444198545604E-2</v>
      </c>
      <c r="F905" s="59" t="s">
        <v>605</v>
      </c>
      <c r="G905" s="5">
        <v>12.29</v>
      </c>
      <c r="H905" s="54">
        <f t="shared" si="29"/>
        <v>2.4469820554648969E-3</v>
      </c>
    </row>
    <row r="906" spans="2:8" x14ac:dyDescent="0.25">
      <c r="B906" s="60">
        <v>45110</v>
      </c>
      <c r="C906" s="5">
        <v>96.17</v>
      </c>
      <c r="D906" s="54">
        <f t="shared" si="28"/>
        <v>2.3973316656242805E-3</v>
      </c>
      <c r="F906" s="59" t="s">
        <v>604</v>
      </c>
      <c r="G906" s="5">
        <v>12.24</v>
      </c>
      <c r="H906" s="54">
        <f t="shared" si="29"/>
        <v>-4.0683482506101987E-3</v>
      </c>
    </row>
    <row r="907" spans="2:8" x14ac:dyDescent="0.25">
      <c r="B907" s="60">
        <v>45112</v>
      </c>
      <c r="C907" s="5">
        <v>95.7</v>
      </c>
      <c r="D907" s="54">
        <f t="shared" si="28"/>
        <v>-4.8871789539357557E-3</v>
      </c>
      <c r="F907" s="59" t="s">
        <v>603</v>
      </c>
      <c r="G907" s="5">
        <v>12.19</v>
      </c>
      <c r="H907" s="54">
        <f t="shared" si="29"/>
        <v>-4.0849673202615344E-3</v>
      </c>
    </row>
    <row r="908" spans="2:8" x14ac:dyDescent="0.25">
      <c r="B908" s="60">
        <v>45113</v>
      </c>
      <c r="C908" s="5">
        <v>94.52</v>
      </c>
      <c r="D908" s="54">
        <f t="shared" si="28"/>
        <v>-1.2330198537095161E-2</v>
      </c>
      <c r="F908" s="59" t="s">
        <v>602</v>
      </c>
      <c r="G908" s="5">
        <v>12.18</v>
      </c>
      <c r="H908" s="54">
        <f t="shared" si="29"/>
        <v>-8.2034454470880647E-4</v>
      </c>
    </row>
    <row r="909" spans="2:8" x14ac:dyDescent="0.25">
      <c r="B909" s="60">
        <v>45114</v>
      </c>
      <c r="C909" s="5">
        <v>94.71</v>
      </c>
      <c r="D909" s="54">
        <f t="shared" si="28"/>
        <v>2.0101565806178723E-3</v>
      </c>
      <c r="F909" s="59" t="s">
        <v>601</v>
      </c>
      <c r="G909" s="5">
        <v>12.23</v>
      </c>
      <c r="H909" s="54">
        <f t="shared" si="29"/>
        <v>4.1050903119870252E-3</v>
      </c>
    </row>
    <row r="910" spans="2:8" x14ac:dyDescent="0.25">
      <c r="B910" s="60">
        <v>45117</v>
      </c>
      <c r="C910" s="5">
        <v>94.95</v>
      </c>
      <c r="D910" s="54">
        <f t="shared" si="28"/>
        <v>2.5340513145393206E-3</v>
      </c>
      <c r="F910" s="59" t="s">
        <v>600</v>
      </c>
      <c r="G910" s="5">
        <v>12.18</v>
      </c>
      <c r="H910" s="54">
        <f t="shared" si="29"/>
        <v>-4.0883074407196407E-3</v>
      </c>
    </row>
    <row r="911" spans="2:8" x14ac:dyDescent="0.25">
      <c r="B911" s="60">
        <v>45118</v>
      </c>
      <c r="C911" s="5">
        <v>95.7</v>
      </c>
      <c r="D911" s="54">
        <f t="shared" ref="D911:D974" si="30">C911/C910-1</f>
        <v>7.89889415481837E-3</v>
      </c>
      <c r="F911" s="59" t="s">
        <v>599</v>
      </c>
      <c r="G911" s="5">
        <v>12.09</v>
      </c>
      <c r="H911" s="54">
        <f t="shared" si="29"/>
        <v>-7.3891625615762901E-3</v>
      </c>
    </row>
    <row r="912" spans="2:8" x14ac:dyDescent="0.25">
      <c r="B912" s="60">
        <v>45119</v>
      </c>
      <c r="C912" s="5">
        <v>96.85</v>
      </c>
      <c r="D912" s="54">
        <f t="shared" si="30"/>
        <v>1.2016718913270497E-2</v>
      </c>
      <c r="F912" s="59" t="s">
        <v>598</v>
      </c>
      <c r="G912" s="5">
        <v>12.08</v>
      </c>
      <c r="H912" s="54">
        <f t="shared" si="29"/>
        <v>-8.2712985938793171E-4</v>
      </c>
    </row>
    <row r="913" spans="2:8" x14ac:dyDescent="0.25">
      <c r="B913" s="60">
        <v>45120</v>
      </c>
      <c r="C913" s="5">
        <v>97.95</v>
      </c>
      <c r="D913" s="54">
        <f t="shared" si="30"/>
        <v>1.135776974703151E-2</v>
      </c>
      <c r="F913" s="59" t="s">
        <v>597</v>
      </c>
      <c r="G913" s="5">
        <v>12.1</v>
      </c>
      <c r="H913" s="54">
        <f t="shared" ref="H913:H976" si="31">G913/G912-1</f>
        <v>1.6556291390728006E-3</v>
      </c>
    </row>
    <row r="914" spans="2:8" x14ac:dyDescent="0.25">
      <c r="B914" s="60">
        <v>45121</v>
      </c>
      <c r="C914" s="5">
        <v>97.68</v>
      </c>
      <c r="D914" s="54">
        <f t="shared" si="30"/>
        <v>-2.7565084226646164E-3</v>
      </c>
      <c r="F914" s="59" t="s">
        <v>596</v>
      </c>
      <c r="G914" s="5">
        <v>12.15</v>
      </c>
      <c r="H914" s="54">
        <f t="shared" si="31"/>
        <v>4.1322314049587749E-3</v>
      </c>
    </row>
    <row r="915" spans="2:8" x14ac:dyDescent="0.25">
      <c r="B915" s="60">
        <v>45124</v>
      </c>
      <c r="C915" s="5">
        <v>97.93</v>
      </c>
      <c r="D915" s="54">
        <f t="shared" si="30"/>
        <v>2.5593775593775181E-3</v>
      </c>
      <c r="F915" s="59" t="s">
        <v>595</v>
      </c>
      <c r="G915" s="5">
        <v>12.24</v>
      </c>
      <c r="H915" s="54">
        <f t="shared" si="31"/>
        <v>7.4074074074073071E-3</v>
      </c>
    </row>
    <row r="916" spans="2:8" x14ac:dyDescent="0.25">
      <c r="B916" s="60">
        <v>45125</v>
      </c>
      <c r="C916" s="5">
        <v>98.48</v>
      </c>
      <c r="D916" s="54">
        <f t="shared" si="30"/>
        <v>5.616256509751727E-3</v>
      </c>
      <c r="F916" s="59" t="s">
        <v>594</v>
      </c>
      <c r="G916" s="5">
        <v>12.37</v>
      </c>
      <c r="H916" s="54">
        <f t="shared" si="31"/>
        <v>1.0620915032679701E-2</v>
      </c>
    </row>
    <row r="917" spans="2:8" x14ac:dyDescent="0.25">
      <c r="B917" s="60">
        <v>45126</v>
      </c>
      <c r="C917" s="5">
        <v>98.6</v>
      </c>
      <c r="D917" s="54">
        <f t="shared" si="30"/>
        <v>1.2185215272135785E-3</v>
      </c>
      <c r="F917" s="59" t="s">
        <v>593</v>
      </c>
      <c r="G917" s="5">
        <v>12.4</v>
      </c>
      <c r="H917" s="54">
        <f t="shared" si="31"/>
        <v>2.4252223120453387E-3</v>
      </c>
    </row>
    <row r="918" spans="2:8" x14ac:dyDescent="0.25">
      <c r="B918" s="60">
        <v>45127</v>
      </c>
      <c r="C918" s="5">
        <v>97.94</v>
      </c>
      <c r="D918" s="54">
        <f t="shared" si="30"/>
        <v>-6.6937119675456458E-3</v>
      </c>
      <c r="F918" s="59" t="s">
        <v>592</v>
      </c>
      <c r="G918" s="5">
        <v>12.36</v>
      </c>
      <c r="H918" s="54">
        <f t="shared" si="31"/>
        <v>-3.225806451612967E-3</v>
      </c>
    </row>
    <row r="919" spans="2:8" x14ac:dyDescent="0.25">
      <c r="B919" s="60">
        <v>45128</v>
      </c>
      <c r="C919" s="5">
        <v>97.99</v>
      </c>
      <c r="D919" s="54">
        <f t="shared" si="30"/>
        <v>5.1051664284251785E-4</v>
      </c>
      <c r="F919" s="59" t="s">
        <v>591</v>
      </c>
      <c r="G919" s="5">
        <v>12.4</v>
      </c>
      <c r="H919" s="54">
        <f t="shared" si="31"/>
        <v>3.2362459546926292E-3</v>
      </c>
    </row>
    <row r="920" spans="2:8" x14ac:dyDescent="0.25">
      <c r="B920" s="60">
        <v>45131</v>
      </c>
      <c r="C920" s="5">
        <v>98.34</v>
      </c>
      <c r="D920" s="54">
        <f t="shared" si="30"/>
        <v>3.5717930401062414E-3</v>
      </c>
      <c r="F920" s="59" t="s">
        <v>590</v>
      </c>
      <c r="G920" s="5">
        <v>12.4</v>
      </c>
      <c r="H920" s="54">
        <f t="shared" si="31"/>
        <v>0</v>
      </c>
    </row>
    <row r="921" spans="2:8" x14ac:dyDescent="0.25">
      <c r="B921" s="60">
        <v>45132</v>
      </c>
      <c r="C921" s="5">
        <v>98.66</v>
      </c>
      <c r="D921" s="54">
        <f t="shared" si="30"/>
        <v>3.2540166768353362E-3</v>
      </c>
      <c r="F921" s="59" t="s">
        <v>589</v>
      </c>
      <c r="G921" s="5">
        <v>12.38</v>
      </c>
      <c r="H921" s="54">
        <f t="shared" si="31"/>
        <v>-1.612903225806428E-3</v>
      </c>
    </row>
    <row r="922" spans="2:8" x14ac:dyDescent="0.25">
      <c r="B922" s="60">
        <v>45133</v>
      </c>
      <c r="C922" s="5">
        <v>98.79</v>
      </c>
      <c r="D922" s="54">
        <f t="shared" si="30"/>
        <v>1.3176565984189814E-3</v>
      </c>
      <c r="F922" s="59" t="s">
        <v>588</v>
      </c>
      <c r="G922" s="5">
        <v>12.31</v>
      </c>
      <c r="H922" s="54">
        <f t="shared" si="31"/>
        <v>-5.6542810985460434E-3</v>
      </c>
    </row>
    <row r="923" spans="2:8" x14ac:dyDescent="0.25">
      <c r="B923" s="60">
        <v>45134</v>
      </c>
      <c r="C923" s="5">
        <v>98.17</v>
      </c>
      <c r="D923" s="54">
        <f t="shared" si="30"/>
        <v>-6.2759388602086075E-3</v>
      </c>
      <c r="F923" s="59" t="s">
        <v>587</v>
      </c>
      <c r="G923" s="5">
        <v>12.33</v>
      </c>
      <c r="H923" s="54">
        <f t="shared" si="31"/>
        <v>1.6246953696181787E-3</v>
      </c>
    </row>
    <row r="924" spans="2:8" x14ac:dyDescent="0.25">
      <c r="B924" s="60">
        <v>45135</v>
      </c>
      <c r="C924" s="5">
        <v>99.2</v>
      </c>
      <c r="D924" s="54">
        <f t="shared" si="30"/>
        <v>1.0492003667108118E-2</v>
      </c>
      <c r="F924" s="59" t="s">
        <v>586</v>
      </c>
      <c r="G924" s="5">
        <v>12.3</v>
      </c>
      <c r="H924" s="54">
        <f t="shared" si="31"/>
        <v>-2.4330900243308973E-3</v>
      </c>
    </row>
    <row r="925" spans="2:8" x14ac:dyDescent="0.25">
      <c r="B925" s="60">
        <v>45138</v>
      </c>
      <c r="C925" s="5">
        <v>99.39</v>
      </c>
      <c r="D925" s="54">
        <f t="shared" si="30"/>
        <v>1.9153225806451957E-3</v>
      </c>
      <c r="F925" s="59" t="s">
        <v>585</v>
      </c>
      <c r="G925" s="5">
        <v>12.31</v>
      </c>
      <c r="H925" s="54">
        <f t="shared" si="31"/>
        <v>8.1300813008122752E-4</v>
      </c>
    </row>
    <row r="926" spans="2:8" x14ac:dyDescent="0.25">
      <c r="B926" s="60">
        <v>45139</v>
      </c>
      <c r="C926" s="5">
        <v>98.7</v>
      </c>
      <c r="D926" s="54">
        <f t="shared" si="30"/>
        <v>-6.9423483247811335E-3</v>
      </c>
      <c r="F926" s="59" t="s">
        <v>584</v>
      </c>
      <c r="G926" s="5">
        <v>12.3</v>
      </c>
      <c r="H926" s="54">
        <f t="shared" si="31"/>
        <v>-8.1234768480908937E-4</v>
      </c>
    </row>
    <row r="927" spans="2:8" x14ac:dyDescent="0.25">
      <c r="B927" s="60">
        <v>45140</v>
      </c>
      <c r="C927" s="5">
        <v>97.07</v>
      </c>
      <c r="D927" s="54">
        <f t="shared" si="30"/>
        <v>-1.6514690982776137E-2</v>
      </c>
      <c r="F927" s="59" t="s">
        <v>583</v>
      </c>
      <c r="G927" s="5">
        <v>12.26</v>
      </c>
      <c r="H927" s="54">
        <f t="shared" si="31"/>
        <v>-3.2520325203252431E-3</v>
      </c>
    </row>
    <row r="928" spans="2:8" x14ac:dyDescent="0.25">
      <c r="B928" s="60">
        <v>45141</v>
      </c>
      <c r="C928" s="5">
        <v>96.84</v>
      </c>
      <c r="D928" s="54">
        <f t="shared" si="30"/>
        <v>-2.3694241269186511E-3</v>
      </c>
      <c r="F928" s="59" t="s">
        <v>582</v>
      </c>
      <c r="G928" s="5">
        <v>12.27</v>
      </c>
      <c r="H928" s="54">
        <f t="shared" si="31"/>
        <v>8.1566068515503964E-4</v>
      </c>
    </row>
    <row r="929" spans="2:8" x14ac:dyDescent="0.25">
      <c r="B929" s="60">
        <v>45142</v>
      </c>
      <c r="C929" s="5">
        <v>96.64</v>
      </c>
      <c r="D929" s="54">
        <f t="shared" si="30"/>
        <v>-2.0652622883106098E-3</v>
      </c>
      <c r="F929" s="59" t="s">
        <v>581</v>
      </c>
      <c r="G929" s="5">
        <v>12.21</v>
      </c>
      <c r="H929" s="54">
        <f t="shared" si="31"/>
        <v>-4.8899755501221609E-3</v>
      </c>
    </row>
    <row r="930" spans="2:8" x14ac:dyDescent="0.25">
      <c r="B930" s="60">
        <v>45145</v>
      </c>
      <c r="C930" s="5">
        <v>97.29</v>
      </c>
      <c r="D930" s="54">
        <f t="shared" si="30"/>
        <v>6.7259933774834746E-3</v>
      </c>
      <c r="F930" s="59" t="s">
        <v>580</v>
      </c>
      <c r="G930" s="5">
        <v>12.14</v>
      </c>
      <c r="H930" s="54">
        <f t="shared" si="31"/>
        <v>-5.7330057330057249E-3</v>
      </c>
    </row>
    <row r="931" spans="2:8" x14ac:dyDescent="0.25">
      <c r="B931" s="60">
        <v>45146</v>
      </c>
      <c r="C931" s="5">
        <v>96.73</v>
      </c>
      <c r="D931" s="54">
        <f t="shared" si="30"/>
        <v>-5.7559872545996926E-3</v>
      </c>
      <c r="F931" s="59" t="s">
        <v>579</v>
      </c>
      <c r="G931" s="5">
        <v>12.08</v>
      </c>
      <c r="H931" s="54">
        <f t="shared" si="31"/>
        <v>-4.9423393739703725E-3</v>
      </c>
    </row>
    <row r="932" spans="2:8" x14ac:dyDescent="0.25">
      <c r="B932" s="60">
        <v>45147</v>
      </c>
      <c r="C932" s="5">
        <v>96.32</v>
      </c>
      <c r="D932" s="54">
        <f t="shared" si="30"/>
        <v>-4.2386022950481328E-3</v>
      </c>
      <c r="F932" s="59" t="s">
        <v>578</v>
      </c>
      <c r="G932" s="5">
        <v>12.12</v>
      </c>
      <c r="H932" s="54">
        <f t="shared" si="31"/>
        <v>3.3112582781456013E-3</v>
      </c>
    </row>
    <row r="933" spans="2:8" x14ac:dyDescent="0.25">
      <c r="B933" s="60">
        <v>45148</v>
      </c>
      <c r="C933" s="5">
        <v>96.47</v>
      </c>
      <c r="D933" s="54">
        <f t="shared" si="30"/>
        <v>1.5573089700997578E-3</v>
      </c>
      <c r="F933" s="59" t="s">
        <v>577</v>
      </c>
      <c r="G933" s="5">
        <v>12.14</v>
      </c>
      <c r="H933" s="54">
        <f t="shared" si="31"/>
        <v>1.6501650165017256E-3</v>
      </c>
    </row>
    <row r="934" spans="2:8" x14ac:dyDescent="0.25">
      <c r="B934" s="60">
        <v>45149</v>
      </c>
      <c r="C934" s="5">
        <v>96.11</v>
      </c>
      <c r="D934" s="54">
        <f t="shared" si="30"/>
        <v>-3.7317300715248303E-3</v>
      </c>
      <c r="F934" s="59" t="s">
        <v>576</v>
      </c>
      <c r="G934" s="5">
        <v>12.13</v>
      </c>
      <c r="H934" s="54">
        <f t="shared" si="31"/>
        <v>-8.2372322899504358E-4</v>
      </c>
    </row>
    <row r="935" spans="2:8" x14ac:dyDescent="0.25">
      <c r="B935" s="60">
        <v>45152</v>
      </c>
      <c r="C935" s="5">
        <v>96.3</v>
      </c>
      <c r="D935" s="54">
        <f t="shared" si="30"/>
        <v>1.97690146706897E-3</v>
      </c>
      <c r="F935" s="59" t="s">
        <v>575</v>
      </c>
      <c r="G935" s="5">
        <v>12.16</v>
      </c>
      <c r="H935" s="54">
        <f t="shared" si="31"/>
        <v>2.4732069249793209E-3</v>
      </c>
    </row>
    <row r="936" spans="2:8" x14ac:dyDescent="0.25">
      <c r="B936" s="60">
        <v>45153</v>
      </c>
      <c r="C936" s="5">
        <v>95.12</v>
      </c>
      <c r="D936" s="54">
        <f t="shared" si="30"/>
        <v>-1.2253374870197176E-2</v>
      </c>
      <c r="F936" s="59" t="s">
        <v>574</v>
      </c>
      <c r="G936" s="5">
        <v>12.18</v>
      </c>
      <c r="H936" s="54">
        <f t="shared" si="31"/>
        <v>1.6447368421053099E-3</v>
      </c>
    </row>
    <row r="937" spans="2:8" x14ac:dyDescent="0.25">
      <c r="B937" s="60">
        <v>45154</v>
      </c>
      <c r="C937" s="5">
        <v>94.39</v>
      </c>
      <c r="D937" s="54">
        <f t="shared" si="30"/>
        <v>-7.6745164003364508E-3</v>
      </c>
      <c r="F937" s="59" t="s">
        <v>573</v>
      </c>
      <c r="G937" s="5">
        <v>12.08</v>
      </c>
      <c r="H937" s="54">
        <f t="shared" si="31"/>
        <v>-8.2101806239737174E-3</v>
      </c>
    </row>
    <row r="938" spans="2:8" x14ac:dyDescent="0.25">
      <c r="B938" s="60">
        <v>45155</v>
      </c>
      <c r="C938" s="5">
        <v>93.77</v>
      </c>
      <c r="D938" s="54">
        <f t="shared" si="30"/>
        <v>-6.5684924250450916E-3</v>
      </c>
      <c r="F938" s="59" t="s">
        <v>572</v>
      </c>
      <c r="G938" s="5">
        <v>11.99</v>
      </c>
      <c r="H938" s="54">
        <f t="shared" si="31"/>
        <v>-7.4503311258278249E-3</v>
      </c>
    </row>
    <row r="939" spans="2:8" x14ac:dyDescent="0.25">
      <c r="B939" s="60">
        <v>45156</v>
      </c>
      <c r="C939" s="5">
        <v>93.73</v>
      </c>
      <c r="D939" s="54">
        <f t="shared" si="30"/>
        <v>-4.2657566385828627E-4</v>
      </c>
      <c r="F939" s="59" t="s">
        <v>571</v>
      </c>
      <c r="G939" s="5">
        <v>11.99</v>
      </c>
      <c r="H939" s="54">
        <f t="shared" si="31"/>
        <v>0</v>
      </c>
    </row>
    <row r="940" spans="2:8" x14ac:dyDescent="0.25">
      <c r="B940" s="60">
        <v>45159</v>
      </c>
      <c r="C940" s="5">
        <v>94.22</v>
      </c>
      <c r="D940" s="54">
        <f t="shared" si="30"/>
        <v>5.2277819268109482E-3</v>
      </c>
      <c r="F940" s="59" t="s">
        <v>570</v>
      </c>
      <c r="G940" s="5">
        <v>11.96</v>
      </c>
      <c r="H940" s="54">
        <f t="shared" si="31"/>
        <v>-2.5020850708923348E-3</v>
      </c>
    </row>
    <row r="941" spans="2:8" x14ac:dyDescent="0.25">
      <c r="B941" s="60">
        <v>45160</v>
      </c>
      <c r="C941" s="5">
        <v>94.01</v>
      </c>
      <c r="D941" s="54">
        <f t="shared" si="30"/>
        <v>-2.2288261515600594E-3</v>
      </c>
      <c r="F941" s="59" t="s">
        <v>569</v>
      </c>
      <c r="G941" s="5">
        <v>11.91</v>
      </c>
      <c r="H941" s="54">
        <f t="shared" si="31"/>
        <v>-4.1806020066890159E-3</v>
      </c>
    </row>
    <row r="942" spans="2:8" x14ac:dyDescent="0.25">
      <c r="B942" s="60">
        <v>45161</v>
      </c>
      <c r="C942" s="5">
        <v>95.12</v>
      </c>
      <c r="D942" s="54">
        <f t="shared" si="30"/>
        <v>1.1807254547388624E-2</v>
      </c>
      <c r="F942" s="59" t="s">
        <v>568</v>
      </c>
      <c r="G942" s="5">
        <v>11.92</v>
      </c>
      <c r="H942" s="54">
        <f t="shared" si="31"/>
        <v>8.3963056255242918E-4</v>
      </c>
    </row>
    <row r="943" spans="2:8" x14ac:dyDescent="0.25">
      <c r="B943" s="60">
        <v>45162</v>
      </c>
      <c r="C943" s="5">
        <v>93.91</v>
      </c>
      <c r="D943" s="54">
        <f t="shared" si="30"/>
        <v>-1.272077375946179E-2</v>
      </c>
      <c r="F943" s="59" t="s">
        <v>567</v>
      </c>
      <c r="G943" s="5">
        <v>11.92</v>
      </c>
      <c r="H943" s="54">
        <f t="shared" si="31"/>
        <v>0</v>
      </c>
    </row>
    <row r="944" spans="2:8" x14ac:dyDescent="0.25">
      <c r="B944" s="60">
        <v>45163</v>
      </c>
      <c r="C944" s="5">
        <v>94.48</v>
      </c>
      <c r="D944" s="54">
        <f t="shared" si="30"/>
        <v>6.0696411457779043E-3</v>
      </c>
      <c r="F944" s="59" t="s">
        <v>566</v>
      </c>
      <c r="G944" s="5">
        <v>11.89</v>
      </c>
      <c r="H944" s="54">
        <f t="shared" si="31"/>
        <v>-2.5167785234898599E-3</v>
      </c>
    </row>
    <row r="945" spans="2:8" x14ac:dyDescent="0.25">
      <c r="B945" s="60">
        <v>45166</v>
      </c>
      <c r="C945" s="5">
        <v>95.21</v>
      </c>
      <c r="D945" s="54">
        <f t="shared" si="30"/>
        <v>7.7265029635900095E-3</v>
      </c>
      <c r="F945" s="59" t="s">
        <v>565</v>
      </c>
      <c r="G945" s="5">
        <v>11.96</v>
      </c>
      <c r="H945" s="54">
        <f t="shared" si="31"/>
        <v>5.887300252312988E-3</v>
      </c>
    </row>
    <row r="946" spans="2:8" x14ac:dyDescent="0.25">
      <c r="B946" s="60">
        <v>45167</v>
      </c>
      <c r="C946" s="5">
        <v>96.56</v>
      </c>
      <c r="D946" s="54">
        <f t="shared" si="30"/>
        <v>1.4179182858943484E-2</v>
      </c>
      <c r="F946" s="59" t="s">
        <v>564</v>
      </c>
      <c r="G946" s="5">
        <v>12.01</v>
      </c>
      <c r="H946" s="54">
        <f t="shared" si="31"/>
        <v>4.1806020066887939E-3</v>
      </c>
    </row>
    <row r="947" spans="2:8" x14ac:dyDescent="0.25">
      <c r="B947" s="60">
        <v>45168</v>
      </c>
      <c r="C947" s="5">
        <v>96.8</v>
      </c>
      <c r="D947" s="54">
        <f t="shared" si="30"/>
        <v>2.4855012427504874E-3</v>
      </c>
      <c r="F947" s="59" t="s">
        <v>563</v>
      </c>
      <c r="G947" s="5">
        <v>11.97</v>
      </c>
      <c r="H947" s="54">
        <f t="shared" si="31"/>
        <v>-3.3305578684429404E-3</v>
      </c>
    </row>
    <row r="948" spans="2:8" x14ac:dyDescent="0.25">
      <c r="B948" s="60">
        <v>45169</v>
      </c>
      <c r="C948" s="5">
        <v>96.5</v>
      </c>
      <c r="D948" s="54">
        <f t="shared" si="30"/>
        <v>-3.0991735537190257E-3</v>
      </c>
      <c r="F948" s="59" t="s">
        <v>562</v>
      </c>
      <c r="G948" s="5">
        <v>11.96</v>
      </c>
      <c r="H948" s="54">
        <f t="shared" si="31"/>
        <v>-8.3542188805341144E-4</v>
      </c>
    </row>
    <row r="949" spans="2:8" x14ac:dyDescent="0.25">
      <c r="B949" s="60">
        <v>45170</v>
      </c>
      <c r="C949" s="5">
        <v>96.77</v>
      </c>
      <c r="D949" s="54">
        <f t="shared" si="30"/>
        <v>2.7979274611398264E-3</v>
      </c>
      <c r="F949" s="59" t="s">
        <v>561</v>
      </c>
      <c r="G949" s="5">
        <v>11.97</v>
      </c>
      <c r="H949" s="54">
        <f t="shared" si="31"/>
        <v>8.361204013378476E-4</v>
      </c>
    </row>
    <row r="950" spans="2:8" x14ac:dyDescent="0.25">
      <c r="B950" s="60">
        <v>45174</v>
      </c>
      <c r="C950" s="5">
        <v>96.21</v>
      </c>
      <c r="D950" s="54">
        <f t="shared" si="30"/>
        <v>-5.7869174330887896E-3</v>
      </c>
      <c r="F950" s="59" t="s">
        <v>560</v>
      </c>
      <c r="G950" s="5">
        <v>12.08</v>
      </c>
      <c r="H950" s="54">
        <f t="shared" si="31"/>
        <v>9.189640768588081E-3</v>
      </c>
    </row>
    <row r="951" spans="2:8" x14ac:dyDescent="0.25">
      <c r="B951" s="60">
        <v>45175</v>
      </c>
      <c r="C951" s="5">
        <v>95.65</v>
      </c>
      <c r="D951" s="54">
        <f t="shared" si="30"/>
        <v>-5.8206007691506967E-3</v>
      </c>
      <c r="F951" s="59" t="s">
        <v>559</v>
      </c>
      <c r="G951" s="5">
        <v>12.05</v>
      </c>
      <c r="H951" s="54">
        <f t="shared" si="31"/>
        <v>-2.4834437086092009E-3</v>
      </c>
    </row>
    <row r="952" spans="2:8" x14ac:dyDescent="0.25">
      <c r="B952" s="60">
        <v>45176</v>
      </c>
      <c r="C952" s="5">
        <v>95.29</v>
      </c>
      <c r="D952" s="54">
        <f t="shared" si="30"/>
        <v>-3.7637219027705227E-3</v>
      </c>
      <c r="F952" s="59" t="s">
        <v>558</v>
      </c>
      <c r="G952" s="5">
        <v>12.05</v>
      </c>
      <c r="H952" s="54">
        <f t="shared" si="31"/>
        <v>0</v>
      </c>
    </row>
    <row r="953" spans="2:8" x14ac:dyDescent="0.25">
      <c r="B953" s="60">
        <v>45177</v>
      </c>
      <c r="C953" s="5">
        <v>95.33</v>
      </c>
      <c r="D953" s="54">
        <f t="shared" si="30"/>
        <v>4.1977122468250805E-4</v>
      </c>
      <c r="F953" s="59" t="s">
        <v>557</v>
      </c>
      <c r="G953" s="5">
        <v>11.93</v>
      </c>
      <c r="H953" s="54">
        <f t="shared" si="31"/>
        <v>-9.9585062240664657E-3</v>
      </c>
    </row>
    <row r="954" spans="2:8" x14ac:dyDescent="0.25">
      <c r="B954" s="60">
        <v>45180</v>
      </c>
      <c r="C954" s="5">
        <v>96.15</v>
      </c>
      <c r="D954" s="54">
        <f t="shared" si="30"/>
        <v>8.6016993601174541E-3</v>
      </c>
      <c r="F954" s="59" t="s">
        <v>556</v>
      </c>
      <c r="G954" s="5">
        <v>11.89</v>
      </c>
      <c r="H954" s="54">
        <f t="shared" si="31"/>
        <v>-3.3528918692371512E-3</v>
      </c>
    </row>
    <row r="955" spans="2:8" x14ac:dyDescent="0.25">
      <c r="B955" s="60">
        <v>45181</v>
      </c>
      <c r="C955" s="5">
        <v>95.69</v>
      </c>
      <c r="D955" s="54">
        <f t="shared" si="30"/>
        <v>-4.7841913676547332E-3</v>
      </c>
      <c r="F955" s="59" t="s">
        <v>555</v>
      </c>
      <c r="G955" s="5">
        <v>11.87</v>
      </c>
      <c r="H955" s="54">
        <f t="shared" si="31"/>
        <v>-1.682085786375187E-3</v>
      </c>
    </row>
    <row r="956" spans="2:8" x14ac:dyDescent="0.25">
      <c r="B956" s="60">
        <v>45182</v>
      </c>
      <c r="C956" s="5">
        <v>95.72</v>
      </c>
      <c r="D956" s="54">
        <f t="shared" si="30"/>
        <v>3.1351238373922286E-4</v>
      </c>
      <c r="F956" s="59" t="s">
        <v>554</v>
      </c>
      <c r="G956" s="5">
        <v>11.91</v>
      </c>
      <c r="H956" s="54">
        <f t="shared" si="31"/>
        <v>3.3698399326032025E-3</v>
      </c>
    </row>
    <row r="957" spans="2:8" x14ac:dyDescent="0.25">
      <c r="B957" s="60">
        <v>45183</v>
      </c>
      <c r="C957" s="5">
        <v>96.6</v>
      </c>
      <c r="D957" s="54">
        <f t="shared" si="30"/>
        <v>9.1934809862097566E-3</v>
      </c>
      <c r="F957" s="59" t="s">
        <v>553</v>
      </c>
      <c r="G957" s="5">
        <v>11.92</v>
      </c>
      <c r="H957" s="54">
        <f t="shared" si="31"/>
        <v>8.3963056255242918E-4</v>
      </c>
    </row>
    <row r="958" spans="2:8" x14ac:dyDescent="0.25">
      <c r="B958" s="60">
        <v>45184</v>
      </c>
      <c r="C958" s="5">
        <v>95.82</v>
      </c>
      <c r="D958" s="54">
        <f t="shared" si="30"/>
        <v>-8.0745341614907318E-3</v>
      </c>
      <c r="F958" s="59" t="s">
        <v>552</v>
      </c>
      <c r="G958" s="5">
        <v>11.9</v>
      </c>
      <c r="H958" s="54">
        <f t="shared" si="31"/>
        <v>-1.6778523489932029E-3</v>
      </c>
    </row>
    <row r="959" spans="2:8" x14ac:dyDescent="0.25">
      <c r="B959" s="60">
        <v>45187</v>
      </c>
      <c r="C959" s="5">
        <v>95.72</v>
      </c>
      <c r="D959" s="54">
        <f t="shared" si="30"/>
        <v>-1.0436234606553407E-3</v>
      </c>
      <c r="F959" s="59" t="s">
        <v>551</v>
      </c>
      <c r="G959" s="5">
        <v>11.91</v>
      </c>
      <c r="H959" s="54">
        <f t="shared" si="31"/>
        <v>8.4033613445377853E-4</v>
      </c>
    </row>
    <row r="960" spans="2:8" x14ac:dyDescent="0.25">
      <c r="B960" s="60">
        <v>45188</v>
      </c>
      <c r="C960" s="5">
        <v>95.51</v>
      </c>
      <c r="D960" s="54">
        <f t="shared" si="30"/>
        <v>-2.1938988717090657E-3</v>
      </c>
      <c r="F960" s="59" t="s">
        <v>550</v>
      </c>
      <c r="G960" s="5">
        <v>11.91</v>
      </c>
      <c r="H960" s="54">
        <f t="shared" si="31"/>
        <v>0</v>
      </c>
    </row>
    <row r="961" spans="2:8" x14ac:dyDescent="0.25">
      <c r="B961" s="60">
        <v>45189</v>
      </c>
      <c r="C961" s="5">
        <v>94.89</v>
      </c>
      <c r="D961" s="54">
        <f t="shared" si="30"/>
        <v>-6.4914668621087745E-3</v>
      </c>
      <c r="F961" s="59" t="s">
        <v>549</v>
      </c>
      <c r="G961" s="5">
        <v>11.9</v>
      </c>
      <c r="H961" s="54">
        <f t="shared" si="31"/>
        <v>-8.3963056255242918E-4</v>
      </c>
    </row>
    <row r="962" spans="2:8" x14ac:dyDescent="0.25">
      <c r="B962" s="60">
        <v>45190</v>
      </c>
      <c r="C962" s="5">
        <v>93.32</v>
      </c>
      <c r="D962" s="54">
        <f t="shared" si="30"/>
        <v>-1.6545473706396918E-2</v>
      </c>
      <c r="F962" s="59" t="s">
        <v>548</v>
      </c>
      <c r="G962" s="5">
        <v>11.87</v>
      </c>
      <c r="H962" s="54">
        <f t="shared" si="31"/>
        <v>-2.5210084033614466E-3</v>
      </c>
    </row>
    <row r="963" spans="2:8" x14ac:dyDescent="0.25">
      <c r="B963" s="60">
        <v>45191</v>
      </c>
      <c r="C963" s="5">
        <v>93.26</v>
      </c>
      <c r="D963" s="54">
        <f t="shared" si="30"/>
        <v>-6.4294899271311046E-4</v>
      </c>
      <c r="F963" s="59" t="s">
        <v>547</v>
      </c>
      <c r="G963" s="5">
        <v>11.88</v>
      </c>
      <c r="H963" s="54">
        <f t="shared" si="31"/>
        <v>8.4245998315091164E-4</v>
      </c>
    </row>
    <row r="964" spans="2:8" x14ac:dyDescent="0.25">
      <c r="B964" s="60">
        <v>45194</v>
      </c>
      <c r="C964" s="5">
        <v>93.38</v>
      </c>
      <c r="D964" s="54">
        <f t="shared" si="30"/>
        <v>1.2867252841517463E-3</v>
      </c>
      <c r="F964" s="59" t="s">
        <v>546</v>
      </c>
      <c r="G964" s="5">
        <v>11.89</v>
      </c>
      <c r="H964" s="54">
        <f t="shared" si="31"/>
        <v>8.4175084175086567E-4</v>
      </c>
    </row>
    <row r="965" spans="2:8" x14ac:dyDescent="0.25">
      <c r="B965" s="60">
        <v>45195</v>
      </c>
      <c r="C965" s="5">
        <v>92.02</v>
      </c>
      <c r="D965" s="54">
        <f t="shared" si="30"/>
        <v>-1.4564146498179498E-2</v>
      </c>
      <c r="F965" s="59" t="s">
        <v>545</v>
      </c>
      <c r="G965" s="5">
        <v>11.82</v>
      </c>
      <c r="H965" s="54">
        <f t="shared" si="31"/>
        <v>-5.887300252312877E-3</v>
      </c>
    </row>
    <row r="966" spans="2:8" x14ac:dyDescent="0.25">
      <c r="B966" s="60">
        <v>45196</v>
      </c>
      <c r="C966" s="5">
        <v>92.06</v>
      </c>
      <c r="D966" s="54">
        <f t="shared" si="30"/>
        <v>4.3468811128022367E-4</v>
      </c>
      <c r="F966" s="59" t="s">
        <v>544</v>
      </c>
      <c r="G966" s="5">
        <v>11.8</v>
      </c>
      <c r="H966" s="54">
        <f t="shared" si="31"/>
        <v>-1.6920473773265332E-3</v>
      </c>
    </row>
    <row r="967" spans="2:8" x14ac:dyDescent="0.25">
      <c r="B967" s="60">
        <v>45197</v>
      </c>
      <c r="C967" s="5">
        <v>92.63</v>
      </c>
      <c r="D967" s="54">
        <f t="shared" si="30"/>
        <v>6.1916141646751743E-3</v>
      </c>
      <c r="F967" s="59" t="s">
        <v>543</v>
      </c>
      <c r="G967" s="5">
        <v>11.78</v>
      </c>
      <c r="H967" s="54">
        <f t="shared" si="31"/>
        <v>-1.6949152542373724E-3</v>
      </c>
    </row>
    <row r="968" spans="2:8" x14ac:dyDescent="0.25">
      <c r="B968" s="60">
        <v>45198</v>
      </c>
      <c r="C968" s="5">
        <v>92.37</v>
      </c>
      <c r="D968" s="54">
        <f t="shared" si="30"/>
        <v>-2.8068660261253431E-3</v>
      </c>
      <c r="F968" s="59" t="s">
        <v>542</v>
      </c>
      <c r="G968" s="5">
        <v>11.75</v>
      </c>
      <c r="H968" s="54">
        <f t="shared" si="31"/>
        <v>-2.5466893039048921E-3</v>
      </c>
    </row>
    <row r="969" spans="2:8" x14ac:dyDescent="0.25">
      <c r="B969" s="60">
        <v>45201</v>
      </c>
      <c r="C969" s="5">
        <v>91.96</v>
      </c>
      <c r="D969" s="54">
        <f t="shared" si="30"/>
        <v>-4.438670564036018E-3</v>
      </c>
      <c r="F969" s="59" t="s">
        <v>541</v>
      </c>
      <c r="G969" s="5">
        <v>11.69</v>
      </c>
      <c r="H969" s="54">
        <f t="shared" si="31"/>
        <v>-5.106382978723456E-3</v>
      </c>
    </row>
    <row r="970" spans="2:8" x14ac:dyDescent="0.25">
      <c r="B970" s="60">
        <v>45202</v>
      </c>
      <c r="C970" s="5">
        <v>90.73</v>
      </c>
      <c r="D970" s="54">
        <f t="shared" si="30"/>
        <v>-1.3375380600260889E-2</v>
      </c>
      <c r="F970" s="59" t="s">
        <v>540</v>
      </c>
      <c r="G970" s="5">
        <v>11.65</v>
      </c>
      <c r="H970" s="54">
        <f t="shared" si="31"/>
        <v>-3.4217279726260763E-3</v>
      </c>
    </row>
    <row r="971" spans="2:8" x14ac:dyDescent="0.25">
      <c r="B971" s="60">
        <v>45203</v>
      </c>
      <c r="C971" s="5">
        <v>91.12</v>
      </c>
      <c r="D971" s="54">
        <f t="shared" si="30"/>
        <v>4.2984679819244587E-3</v>
      </c>
      <c r="F971" s="59" t="s">
        <v>539</v>
      </c>
      <c r="G971" s="5">
        <v>11.71</v>
      </c>
      <c r="H971" s="54">
        <f t="shared" si="31"/>
        <v>5.1502145922748266E-3</v>
      </c>
    </row>
    <row r="972" spans="2:8" x14ac:dyDescent="0.25">
      <c r="B972" s="60">
        <v>45204</v>
      </c>
      <c r="C972" s="5">
        <v>91.35</v>
      </c>
      <c r="D972" s="54">
        <f t="shared" si="30"/>
        <v>2.524143985952465E-3</v>
      </c>
      <c r="F972" s="59" t="s">
        <v>538</v>
      </c>
      <c r="G972" s="5">
        <v>11.71</v>
      </c>
      <c r="H972" s="54">
        <f t="shared" si="31"/>
        <v>0</v>
      </c>
    </row>
    <row r="973" spans="2:8" x14ac:dyDescent="0.25">
      <c r="B973" s="60">
        <v>45205</v>
      </c>
      <c r="C973" s="5">
        <v>92.48</v>
      </c>
      <c r="D973" s="54">
        <f t="shared" si="30"/>
        <v>1.2370005473453904E-2</v>
      </c>
      <c r="F973" s="59" t="s">
        <v>537</v>
      </c>
      <c r="G973" s="5">
        <v>11.65</v>
      </c>
      <c r="H973" s="54">
        <f t="shared" si="31"/>
        <v>-5.1238257899232087E-3</v>
      </c>
    </row>
    <row r="974" spans="2:8" x14ac:dyDescent="0.25">
      <c r="B974" s="60">
        <v>45208</v>
      </c>
      <c r="C974" s="5">
        <v>92.81</v>
      </c>
      <c r="D974" s="54">
        <f t="shared" si="30"/>
        <v>3.5683391003460407E-3</v>
      </c>
      <c r="F974" s="59" t="s">
        <v>536</v>
      </c>
      <c r="G974" s="5">
        <v>11.57</v>
      </c>
      <c r="H974" s="54">
        <f t="shared" si="31"/>
        <v>-6.8669527896996208E-3</v>
      </c>
    </row>
    <row r="975" spans="2:8" x14ac:dyDescent="0.25">
      <c r="B975" s="60">
        <v>45209</v>
      </c>
      <c r="C975" s="5">
        <v>93.59</v>
      </c>
      <c r="D975" s="54">
        <f t="shared" ref="D975:D1031" si="32">C975/C974-1</f>
        <v>8.4042667815968919E-3</v>
      </c>
      <c r="F975" s="59" t="s">
        <v>535</v>
      </c>
      <c r="G975" s="5">
        <v>11.55</v>
      </c>
      <c r="H975" s="54">
        <f t="shared" si="31"/>
        <v>-1.7286084701814142E-3</v>
      </c>
    </row>
    <row r="976" spans="2:8" x14ac:dyDescent="0.25">
      <c r="B976" s="60">
        <v>45210</v>
      </c>
      <c r="C976" s="5">
        <v>94.02</v>
      </c>
      <c r="D976" s="54">
        <f t="shared" si="32"/>
        <v>4.59450796025207E-3</v>
      </c>
      <c r="F976" s="59" t="s">
        <v>534</v>
      </c>
      <c r="G976" s="5">
        <v>11.6</v>
      </c>
      <c r="H976" s="54">
        <f t="shared" si="31"/>
        <v>4.3290043290042934E-3</v>
      </c>
    </row>
    <row r="977" spans="2:8" x14ac:dyDescent="0.25">
      <c r="B977" s="60">
        <v>45211</v>
      </c>
      <c r="C977" s="5">
        <v>93.3</v>
      </c>
      <c r="D977" s="54">
        <f t="shared" si="32"/>
        <v>-7.65794511805995E-3</v>
      </c>
      <c r="F977" s="59" t="s">
        <v>533</v>
      </c>
      <c r="G977" s="5">
        <v>11.57</v>
      </c>
      <c r="H977" s="54">
        <f t="shared" ref="H977:H1033" si="33">G977/G976-1</f>
        <v>-2.586206896551646E-3</v>
      </c>
    </row>
    <row r="978" spans="2:8" x14ac:dyDescent="0.25">
      <c r="B978" s="60">
        <v>45212</v>
      </c>
      <c r="C978" s="5">
        <v>92.77</v>
      </c>
      <c r="D978" s="54">
        <f t="shared" si="32"/>
        <v>-5.6806002143622303E-3</v>
      </c>
      <c r="F978" s="59" t="s">
        <v>532</v>
      </c>
      <c r="G978" s="5">
        <v>11.66</v>
      </c>
      <c r="H978" s="54">
        <f t="shared" si="33"/>
        <v>7.7787381158167523E-3</v>
      </c>
    </row>
    <row r="979" spans="2:8" x14ac:dyDescent="0.25">
      <c r="B979" s="60">
        <v>45215</v>
      </c>
      <c r="C979" s="5">
        <v>93.62</v>
      </c>
      <c r="D979" s="54">
        <f t="shared" si="32"/>
        <v>9.1624447558478206E-3</v>
      </c>
      <c r="F979" s="59" t="s">
        <v>531</v>
      </c>
      <c r="G979" s="5">
        <v>11.72</v>
      </c>
      <c r="H979" s="54">
        <f t="shared" si="33"/>
        <v>5.145797598627766E-3</v>
      </c>
    </row>
    <row r="980" spans="2:8" x14ac:dyDescent="0.25">
      <c r="B980" s="60">
        <v>45216</v>
      </c>
      <c r="C980" s="5">
        <v>93.66</v>
      </c>
      <c r="D980" s="54">
        <f t="shared" si="32"/>
        <v>4.2725913266394855E-4</v>
      </c>
      <c r="F980" s="59" t="s">
        <v>530</v>
      </c>
      <c r="G980" s="5">
        <v>11.68</v>
      </c>
      <c r="H980" s="54">
        <f t="shared" si="33"/>
        <v>-3.4129692832765013E-3</v>
      </c>
    </row>
    <row r="981" spans="2:8" x14ac:dyDescent="0.25">
      <c r="B981" s="60">
        <v>45217</v>
      </c>
      <c r="C981" s="5">
        <v>92.32</v>
      </c>
      <c r="D981" s="54">
        <f t="shared" si="32"/>
        <v>-1.4307068118727395E-2</v>
      </c>
      <c r="F981" s="59" t="s">
        <v>529</v>
      </c>
      <c r="G981" s="5">
        <v>11.65</v>
      </c>
      <c r="H981" s="54">
        <f t="shared" si="33"/>
        <v>-2.5684931506848585E-3</v>
      </c>
    </row>
    <row r="982" spans="2:8" x14ac:dyDescent="0.25">
      <c r="B982" s="60">
        <v>45218</v>
      </c>
      <c r="C982" s="5">
        <v>91.49</v>
      </c>
      <c r="D982" s="54">
        <f t="shared" si="32"/>
        <v>-8.9904679376082708E-3</v>
      </c>
      <c r="F982" s="59" t="s">
        <v>528</v>
      </c>
      <c r="G982" s="5">
        <v>11.64</v>
      </c>
      <c r="H982" s="54">
        <f t="shared" si="33"/>
        <v>-8.5836909871239708E-4</v>
      </c>
    </row>
    <row r="983" spans="2:8" x14ac:dyDescent="0.25">
      <c r="B983" s="60">
        <v>45219</v>
      </c>
      <c r="C983" s="5">
        <v>90.4</v>
      </c>
      <c r="D983" s="54">
        <f t="shared" si="32"/>
        <v>-1.1913870368346124E-2</v>
      </c>
      <c r="F983" s="59" t="s">
        <v>527</v>
      </c>
      <c r="G983" s="5">
        <v>11.55</v>
      </c>
      <c r="H983" s="54">
        <f t="shared" si="33"/>
        <v>-7.7319587628865705E-3</v>
      </c>
    </row>
    <row r="984" spans="2:8" x14ac:dyDescent="0.25">
      <c r="B984" s="60">
        <v>45222</v>
      </c>
      <c r="C984" s="5">
        <v>90.33</v>
      </c>
      <c r="D984" s="54">
        <f t="shared" si="32"/>
        <v>-7.7433628318590575E-4</v>
      </c>
      <c r="F984" s="59" t="s">
        <v>526</v>
      </c>
      <c r="G984" s="5">
        <v>11.52</v>
      </c>
      <c r="H984" s="54">
        <f t="shared" si="33"/>
        <v>-2.5974025974027093E-3</v>
      </c>
    </row>
    <row r="985" spans="2:8" x14ac:dyDescent="0.25">
      <c r="B985" s="60">
        <v>45223</v>
      </c>
      <c r="C985" s="5">
        <v>90.99</v>
      </c>
      <c r="D985" s="54">
        <f t="shared" si="32"/>
        <v>7.3065426768514907E-3</v>
      </c>
      <c r="F985" s="59" t="s">
        <v>525</v>
      </c>
      <c r="G985" s="5">
        <v>11.51</v>
      </c>
      <c r="H985" s="54">
        <f t="shared" si="33"/>
        <v>-8.6805555555558023E-4</v>
      </c>
    </row>
    <row r="986" spans="2:8" x14ac:dyDescent="0.25">
      <c r="B986" s="60">
        <v>45224</v>
      </c>
      <c r="C986" s="5">
        <v>89.83</v>
      </c>
      <c r="D986" s="54">
        <f t="shared" si="32"/>
        <v>-1.2748653698208545E-2</v>
      </c>
      <c r="F986" s="59" t="s">
        <v>524</v>
      </c>
      <c r="G986" s="5">
        <v>11.52</v>
      </c>
      <c r="H986" s="54">
        <f t="shared" si="33"/>
        <v>8.6880973066905121E-4</v>
      </c>
    </row>
    <row r="987" spans="2:8" x14ac:dyDescent="0.25">
      <c r="B987" s="60">
        <v>45225</v>
      </c>
      <c r="C987" s="5">
        <v>88.91</v>
      </c>
      <c r="D987" s="54">
        <f t="shared" si="32"/>
        <v>-1.0241567405098517E-2</v>
      </c>
      <c r="F987" s="59" t="s">
        <v>523</v>
      </c>
      <c r="G987" s="5">
        <v>11.57</v>
      </c>
      <c r="H987" s="54">
        <f t="shared" si="33"/>
        <v>4.3402777777779011E-3</v>
      </c>
    </row>
    <row r="988" spans="2:8" x14ac:dyDescent="0.25">
      <c r="B988" s="60">
        <v>45226</v>
      </c>
      <c r="C988" s="5">
        <v>88.59</v>
      </c>
      <c r="D988" s="54">
        <f t="shared" si="32"/>
        <v>-3.5991452030141868E-3</v>
      </c>
      <c r="F988" s="59" t="s">
        <v>522</v>
      </c>
      <c r="G988" s="5">
        <v>11.56</v>
      </c>
      <c r="H988" s="54">
        <f t="shared" si="33"/>
        <v>-8.643042350907626E-4</v>
      </c>
    </row>
    <row r="989" spans="2:8" x14ac:dyDescent="0.25">
      <c r="B989" s="60">
        <v>45229</v>
      </c>
      <c r="C989" s="5">
        <v>89.62</v>
      </c>
      <c r="D989" s="54">
        <f t="shared" si="32"/>
        <v>1.1626594423749914E-2</v>
      </c>
      <c r="F989" s="59" t="s">
        <v>521</v>
      </c>
      <c r="G989" s="5">
        <v>11.53</v>
      </c>
      <c r="H989" s="54">
        <f t="shared" si="33"/>
        <v>-2.5951557093426558E-3</v>
      </c>
    </row>
    <row r="990" spans="2:8" x14ac:dyDescent="0.25">
      <c r="B990" s="60">
        <v>45230</v>
      </c>
      <c r="C990" s="5">
        <v>90.02</v>
      </c>
      <c r="D990" s="54">
        <f t="shared" si="32"/>
        <v>4.4632894443203952E-3</v>
      </c>
      <c r="F990" s="59" t="s">
        <v>520</v>
      </c>
      <c r="G990" s="5">
        <v>11.57</v>
      </c>
      <c r="H990" s="54">
        <f t="shared" si="33"/>
        <v>3.4692107545533091E-3</v>
      </c>
    </row>
    <row r="991" spans="2:8" x14ac:dyDescent="0.25">
      <c r="B991" s="60">
        <v>45231</v>
      </c>
      <c r="C991" s="5">
        <v>90.92</v>
      </c>
      <c r="D991" s="54">
        <f t="shared" si="32"/>
        <v>9.9977782714952834E-3</v>
      </c>
      <c r="F991" s="59" t="s">
        <v>519</v>
      </c>
      <c r="G991" s="5">
        <v>11.59</v>
      </c>
      <c r="H991" s="54">
        <f t="shared" si="33"/>
        <v>1.7286084701815252E-3</v>
      </c>
    </row>
    <row r="992" spans="2:8" x14ac:dyDescent="0.25">
      <c r="B992" s="60">
        <v>45232</v>
      </c>
      <c r="C992" s="5">
        <v>92.72</v>
      </c>
      <c r="D992" s="54">
        <f t="shared" si="32"/>
        <v>1.9797624285085691E-2</v>
      </c>
      <c r="F992" s="59" t="s">
        <v>518</v>
      </c>
      <c r="G992" s="5">
        <v>11.57</v>
      </c>
      <c r="H992" s="54">
        <f t="shared" si="33"/>
        <v>-1.7256255392579245E-3</v>
      </c>
    </row>
    <row r="993" spans="2:8" x14ac:dyDescent="0.25">
      <c r="B993" s="60">
        <v>45233</v>
      </c>
      <c r="C993" s="5">
        <v>93.79</v>
      </c>
      <c r="D993" s="54">
        <f t="shared" si="32"/>
        <v>1.1540120793787745E-2</v>
      </c>
      <c r="F993" s="59" t="s">
        <v>517</v>
      </c>
      <c r="G993" s="5">
        <v>11.58</v>
      </c>
      <c r="H993" s="54">
        <f t="shared" si="33"/>
        <v>8.6430423509065157E-4</v>
      </c>
    </row>
    <row r="994" spans="2:8" x14ac:dyDescent="0.25">
      <c r="B994" s="60">
        <v>45236</v>
      </c>
      <c r="C994" s="5">
        <v>93.87</v>
      </c>
      <c r="D994" s="54">
        <f t="shared" si="32"/>
        <v>8.5296939972279162E-4</v>
      </c>
      <c r="F994" s="59" t="s">
        <v>516</v>
      </c>
      <c r="G994" s="5">
        <v>11.69</v>
      </c>
      <c r="H994" s="54">
        <f t="shared" si="33"/>
        <v>9.4991364421415092E-3</v>
      </c>
    </row>
    <row r="995" spans="2:8" x14ac:dyDescent="0.25">
      <c r="B995" s="60">
        <v>45237</v>
      </c>
      <c r="C995" s="5">
        <v>93.82</v>
      </c>
      <c r="D995" s="54">
        <f t="shared" si="32"/>
        <v>-5.3265153936310483E-4</v>
      </c>
      <c r="F995" s="59" t="s">
        <v>515</v>
      </c>
      <c r="G995" s="5">
        <v>11.79</v>
      </c>
      <c r="H995" s="54">
        <f t="shared" si="33"/>
        <v>8.5543199315654128E-3</v>
      </c>
    </row>
    <row r="996" spans="2:8" x14ac:dyDescent="0.25">
      <c r="B996" s="60">
        <v>45238</v>
      </c>
      <c r="C996" s="5">
        <v>93.8</v>
      </c>
      <c r="D996" s="54">
        <f t="shared" si="32"/>
        <v>-2.1317416329136307E-4</v>
      </c>
      <c r="F996" s="59" t="s">
        <v>514</v>
      </c>
      <c r="G996" s="5">
        <v>11.8</v>
      </c>
      <c r="H996" s="54">
        <f t="shared" si="33"/>
        <v>8.4817642069556776E-4</v>
      </c>
    </row>
    <row r="997" spans="2:8" x14ac:dyDescent="0.25">
      <c r="B997" s="60">
        <v>45239</v>
      </c>
      <c r="C997" s="5">
        <v>93.24</v>
      </c>
      <c r="D997" s="54">
        <f t="shared" si="32"/>
        <v>-5.9701492537314049E-3</v>
      </c>
      <c r="F997" s="59" t="s">
        <v>513</v>
      </c>
      <c r="G997" s="5">
        <v>11.76</v>
      </c>
      <c r="H997" s="54">
        <f t="shared" si="33"/>
        <v>-3.3898305084746339E-3</v>
      </c>
    </row>
    <row r="998" spans="2:8" x14ac:dyDescent="0.25">
      <c r="B998" s="60">
        <v>45240</v>
      </c>
      <c r="C998" s="5">
        <v>94.31</v>
      </c>
      <c r="D998" s="54">
        <f t="shared" si="32"/>
        <v>1.1475761475761459E-2</v>
      </c>
      <c r="F998" s="59" t="s">
        <v>512</v>
      </c>
      <c r="G998" s="5">
        <v>11.8</v>
      </c>
      <c r="H998" s="54">
        <f t="shared" si="33"/>
        <v>3.4013605442178019E-3</v>
      </c>
    </row>
    <row r="999" spans="2:8" x14ac:dyDescent="0.25">
      <c r="B999" s="60">
        <v>45243</v>
      </c>
      <c r="C999" s="5">
        <v>94.33</v>
      </c>
      <c r="D999" s="54">
        <f t="shared" si="32"/>
        <v>2.1206658890893237E-4</v>
      </c>
      <c r="F999" s="59" t="s">
        <v>511</v>
      </c>
      <c r="G999" s="5">
        <v>11.82</v>
      </c>
      <c r="H999" s="54">
        <f t="shared" si="33"/>
        <v>1.6949152542371504E-3</v>
      </c>
    </row>
    <row r="1000" spans="2:8" x14ac:dyDescent="0.25">
      <c r="B1000" s="60">
        <v>45244</v>
      </c>
      <c r="C1000" s="5">
        <v>96.39</v>
      </c>
      <c r="D1000" s="54">
        <f t="shared" si="32"/>
        <v>2.1838227499205054E-2</v>
      </c>
      <c r="F1000" s="59" t="s">
        <v>510</v>
      </c>
      <c r="G1000" s="5">
        <v>11.75</v>
      </c>
      <c r="H1000" s="54">
        <f t="shared" si="33"/>
        <v>-5.9221658206429773E-3</v>
      </c>
    </row>
    <row r="1001" spans="2:8" x14ac:dyDescent="0.25">
      <c r="B1001" s="60">
        <v>45245</v>
      </c>
      <c r="C1001" s="5">
        <v>96.59</v>
      </c>
      <c r="D1001" s="54">
        <f t="shared" si="32"/>
        <v>2.0749040356884407E-3</v>
      </c>
      <c r="F1001" s="59" t="s">
        <v>509</v>
      </c>
      <c r="G1001" s="5">
        <v>11.74</v>
      </c>
      <c r="H1001" s="54">
        <f t="shared" si="33"/>
        <v>-8.5106382978716866E-4</v>
      </c>
    </row>
    <row r="1002" spans="2:8" x14ac:dyDescent="0.25">
      <c r="B1002" s="60">
        <v>45246</v>
      </c>
      <c r="C1002" s="5">
        <v>96.52</v>
      </c>
      <c r="D1002" s="54">
        <f t="shared" si="32"/>
        <v>-7.2471270317842063E-4</v>
      </c>
      <c r="F1002" s="59" t="s">
        <v>508</v>
      </c>
      <c r="G1002" s="5">
        <v>11.87</v>
      </c>
      <c r="H1002" s="54">
        <f t="shared" si="33"/>
        <v>1.1073253833049357E-2</v>
      </c>
    </row>
    <row r="1003" spans="2:8" x14ac:dyDescent="0.25">
      <c r="B1003" s="60">
        <v>45247</v>
      </c>
      <c r="C1003" s="5">
        <v>96.95</v>
      </c>
      <c r="D1003" s="54">
        <f t="shared" si="32"/>
        <v>4.4550352258601045E-3</v>
      </c>
      <c r="F1003" s="59" t="s">
        <v>507</v>
      </c>
      <c r="G1003" s="5">
        <v>11.92</v>
      </c>
      <c r="H1003" s="54">
        <f t="shared" si="33"/>
        <v>4.2122999157541141E-3</v>
      </c>
    </row>
    <row r="1004" spans="2:8" x14ac:dyDescent="0.25">
      <c r="B1004" s="60">
        <v>45250</v>
      </c>
      <c r="C1004" s="5">
        <v>97.63</v>
      </c>
      <c r="D1004" s="54">
        <f t="shared" si="32"/>
        <v>7.0139247034552987E-3</v>
      </c>
      <c r="F1004" s="59" t="s">
        <v>506</v>
      </c>
      <c r="G1004" s="5">
        <v>11.95</v>
      </c>
      <c r="H1004" s="54">
        <f t="shared" si="33"/>
        <v>2.5167785234898599E-3</v>
      </c>
    </row>
    <row r="1005" spans="2:8" x14ac:dyDescent="0.25">
      <c r="B1005" s="60">
        <v>45251</v>
      </c>
      <c r="C1005" s="5">
        <v>97.37</v>
      </c>
      <c r="D1005" s="54">
        <f t="shared" si="32"/>
        <v>-2.6631158455392434E-3</v>
      </c>
      <c r="F1005" s="59" t="s">
        <v>505</v>
      </c>
      <c r="G1005" s="5">
        <v>11.98</v>
      </c>
      <c r="H1005" s="54">
        <f t="shared" si="33"/>
        <v>2.510460251046176E-3</v>
      </c>
    </row>
    <row r="1006" spans="2:8" x14ac:dyDescent="0.25">
      <c r="B1006" s="60">
        <v>45252</v>
      </c>
      <c r="C1006" s="5">
        <v>97.64</v>
      </c>
      <c r="D1006" s="54">
        <f t="shared" si="32"/>
        <v>2.7729280065729167E-3</v>
      </c>
      <c r="F1006" s="59" t="s">
        <v>504</v>
      </c>
      <c r="G1006" s="5">
        <v>12.03</v>
      </c>
      <c r="H1006" s="54">
        <f t="shared" si="33"/>
        <v>4.1736227045074958E-3</v>
      </c>
    </row>
    <row r="1007" spans="2:8" x14ac:dyDescent="0.25">
      <c r="B1007" s="60">
        <v>45254</v>
      </c>
      <c r="C1007" s="5">
        <v>97.88</v>
      </c>
      <c r="D1007" s="54">
        <f t="shared" si="32"/>
        <v>2.4580090126997689E-3</v>
      </c>
      <c r="F1007" s="59" t="s">
        <v>503</v>
      </c>
      <c r="G1007" s="5">
        <v>12.08</v>
      </c>
      <c r="H1007" s="54">
        <f t="shared" si="33"/>
        <v>4.1562759767248547E-3</v>
      </c>
    </row>
    <row r="1008" spans="2:8" x14ac:dyDescent="0.25">
      <c r="B1008" s="60">
        <v>45257</v>
      </c>
      <c r="C1008" s="5">
        <v>97.62</v>
      </c>
      <c r="D1008" s="54">
        <f t="shared" si="32"/>
        <v>-2.6563138536983555E-3</v>
      </c>
      <c r="F1008" s="59" t="s">
        <v>502</v>
      </c>
      <c r="G1008" s="5">
        <v>12.03</v>
      </c>
      <c r="H1008" s="54">
        <f t="shared" si="33"/>
        <v>-4.1390728476822236E-3</v>
      </c>
    </row>
    <row r="1009" spans="2:8" x14ac:dyDescent="0.25">
      <c r="B1009" s="60">
        <v>45258</v>
      </c>
      <c r="C1009" s="5">
        <v>97.78</v>
      </c>
      <c r="D1009" s="54">
        <f t="shared" si="32"/>
        <v>1.6390083999180405E-3</v>
      </c>
      <c r="F1009" s="59" t="s">
        <v>501</v>
      </c>
      <c r="G1009" s="5">
        <v>12.02</v>
      </c>
      <c r="H1009" s="54">
        <f t="shared" si="33"/>
        <v>-8.3125519534499315E-4</v>
      </c>
    </row>
    <row r="1010" spans="2:8" x14ac:dyDescent="0.25">
      <c r="B1010" s="60">
        <v>45259</v>
      </c>
      <c r="C1010" s="5">
        <v>97.77</v>
      </c>
      <c r="D1010" s="54">
        <f t="shared" si="32"/>
        <v>-1.0227040294541467E-4</v>
      </c>
      <c r="F1010" s="59" t="s">
        <v>500</v>
      </c>
      <c r="G1010" s="5">
        <v>12.03</v>
      </c>
      <c r="H1010" s="54">
        <f t="shared" si="33"/>
        <v>8.3194675540765317E-4</v>
      </c>
    </row>
    <row r="1011" spans="2:8" x14ac:dyDescent="0.25">
      <c r="B1011" s="60">
        <v>45260</v>
      </c>
      <c r="C1011" s="5">
        <v>98.02</v>
      </c>
      <c r="D1011" s="54">
        <f t="shared" si="32"/>
        <v>2.5570215812622532E-3</v>
      </c>
      <c r="F1011" s="59" t="s">
        <v>499</v>
      </c>
      <c r="G1011" s="5">
        <v>12.09</v>
      </c>
      <c r="H1011" s="54">
        <f t="shared" si="33"/>
        <v>4.9875311720699589E-3</v>
      </c>
    </row>
    <row r="1012" spans="2:8" x14ac:dyDescent="0.25">
      <c r="B1012" s="60">
        <v>45261</v>
      </c>
      <c r="C1012" s="5">
        <v>98.75</v>
      </c>
      <c r="D1012" s="54">
        <f t="shared" si="32"/>
        <v>7.4474597021016997E-3</v>
      </c>
      <c r="F1012" s="59" t="s">
        <v>498</v>
      </c>
      <c r="G1012" s="5">
        <v>12.19</v>
      </c>
      <c r="H1012" s="54">
        <f t="shared" si="33"/>
        <v>8.2712985938793171E-3</v>
      </c>
    </row>
    <row r="1013" spans="2:8" x14ac:dyDescent="0.25">
      <c r="B1013" s="60">
        <v>45264</v>
      </c>
      <c r="C1013" s="5">
        <v>98.14</v>
      </c>
      <c r="D1013" s="54">
        <f t="shared" si="32"/>
        <v>-6.177215189873464E-3</v>
      </c>
      <c r="F1013" s="59" t="s">
        <v>497</v>
      </c>
      <c r="G1013" s="5">
        <v>12.14</v>
      </c>
      <c r="H1013" s="54">
        <f t="shared" si="33"/>
        <v>-4.1017227235438103E-3</v>
      </c>
    </row>
    <row r="1014" spans="2:8" x14ac:dyDescent="0.25">
      <c r="B1014" s="60">
        <v>45265</v>
      </c>
      <c r="C1014" s="5">
        <v>97.95</v>
      </c>
      <c r="D1014" s="54">
        <f t="shared" si="32"/>
        <v>-1.9360097819441924E-3</v>
      </c>
      <c r="F1014" s="59" t="s">
        <v>496</v>
      </c>
      <c r="G1014" s="5">
        <v>12.15</v>
      </c>
      <c r="H1014" s="54">
        <f t="shared" si="33"/>
        <v>8.2372322899493255E-4</v>
      </c>
    </row>
    <row r="1015" spans="2:8" x14ac:dyDescent="0.25">
      <c r="B1015" s="60">
        <v>45266</v>
      </c>
      <c r="C1015" s="5">
        <v>97.76</v>
      </c>
      <c r="D1015" s="54">
        <f t="shared" si="32"/>
        <v>-1.9397651863195531E-3</v>
      </c>
      <c r="F1015" s="59" t="s">
        <v>495</v>
      </c>
      <c r="G1015" s="5">
        <v>12.23</v>
      </c>
      <c r="H1015" s="54">
        <f t="shared" si="33"/>
        <v>6.5843621399177543E-3</v>
      </c>
    </row>
    <row r="1016" spans="2:8" x14ac:dyDescent="0.25">
      <c r="B1016" s="60">
        <v>45267</v>
      </c>
      <c r="C1016" s="5">
        <v>98.39</v>
      </c>
      <c r="D1016" s="54">
        <f t="shared" si="32"/>
        <v>6.4443535188216661E-3</v>
      </c>
      <c r="F1016" s="59" t="s">
        <v>494</v>
      </c>
      <c r="G1016" s="5">
        <v>12.22</v>
      </c>
      <c r="H1016" s="54">
        <f t="shared" si="33"/>
        <v>-8.1766148814388373E-4</v>
      </c>
    </row>
    <row r="1017" spans="2:8" x14ac:dyDescent="0.25">
      <c r="B1017" s="60">
        <v>45268</v>
      </c>
      <c r="C1017" s="5">
        <v>98.71</v>
      </c>
      <c r="D1017" s="54">
        <f t="shared" si="32"/>
        <v>3.252363045024742E-3</v>
      </c>
      <c r="F1017" s="59" t="s">
        <v>493</v>
      </c>
      <c r="G1017" s="5">
        <v>12.26</v>
      </c>
      <c r="H1017" s="54">
        <f t="shared" si="33"/>
        <v>3.2733224222585289E-3</v>
      </c>
    </row>
    <row r="1018" spans="2:8" x14ac:dyDescent="0.25">
      <c r="B1018" s="60">
        <v>45271</v>
      </c>
      <c r="C1018" s="5">
        <v>99.06</v>
      </c>
      <c r="D1018" s="54">
        <f t="shared" si="32"/>
        <v>3.5457400466012423E-3</v>
      </c>
      <c r="F1018" s="59" t="s">
        <v>492</v>
      </c>
      <c r="G1018" s="5">
        <v>12.27</v>
      </c>
      <c r="H1018" s="54">
        <f t="shared" si="33"/>
        <v>8.1566068515503964E-4</v>
      </c>
    </row>
    <row r="1019" spans="2:8" x14ac:dyDescent="0.25">
      <c r="B1019" s="60">
        <v>45272</v>
      </c>
      <c r="C1019" s="5">
        <v>99.38</v>
      </c>
      <c r="D1019" s="54">
        <f t="shared" si="32"/>
        <v>3.2303654350898103E-3</v>
      </c>
      <c r="F1019" s="59" t="s">
        <v>491</v>
      </c>
      <c r="G1019" s="5">
        <v>12.25</v>
      </c>
      <c r="H1019" s="54">
        <f t="shared" si="33"/>
        <v>-1.6299918500407573E-3</v>
      </c>
    </row>
    <row r="1020" spans="2:8" x14ac:dyDescent="0.25">
      <c r="B1020" s="60">
        <v>45273</v>
      </c>
      <c r="C1020" s="5">
        <v>100.75</v>
      </c>
      <c r="D1020" s="54">
        <f t="shared" si="32"/>
        <v>1.3785469913463411E-2</v>
      </c>
      <c r="F1020" s="59" t="s">
        <v>490</v>
      </c>
      <c r="G1020" s="5">
        <v>12.2</v>
      </c>
      <c r="H1020" s="54">
        <f t="shared" si="33"/>
        <v>-4.0816326530612734E-3</v>
      </c>
    </row>
    <row r="1021" spans="2:8" x14ac:dyDescent="0.25">
      <c r="B1021" s="60">
        <v>45274</v>
      </c>
      <c r="C1021" s="5">
        <v>101.4</v>
      </c>
      <c r="D1021" s="54">
        <f t="shared" si="32"/>
        <v>6.4516129032259339E-3</v>
      </c>
      <c r="F1021" s="59" t="s">
        <v>489</v>
      </c>
      <c r="G1021" s="5">
        <v>12.23</v>
      </c>
      <c r="H1021" s="54">
        <f t="shared" si="33"/>
        <v>2.4590163934428144E-3</v>
      </c>
    </row>
    <row r="1022" spans="2:8" x14ac:dyDescent="0.25">
      <c r="B1022" s="60">
        <v>45275</v>
      </c>
      <c r="C1022" s="5">
        <v>100.97</v>
      </c>
      <c r="D1022" s="54">
        <f t="shared" si="32"/>
        <v>-4.2406311637082084E-3</v>
      </c>
      <c r="F1022" s="59" t="s">
        <v>488</v>
      </c>
      <c r="G1022" s="5">
        <v>12.29</v>
      </c>
      <c r="H1022" s="54">
        <f t="shared" si="33"/>
        <v>4.9059689288633024E-3</v>
      </c>
    </row>
    <row r="1023" spans="2:8" x14ac:dyDescent="0.25">
      <c r="B1023" s="60">
        <v>45278</v>
      </c>
      <c r="C1023" s="5">
        <v>101.42</v>
      </c>
      <c r="D1023" s="54">
        <f t="shared" si="32"/>
        <v>4.4567693374268913E-3</v>
      </c>
      <c r="F1023" s="59" t="s">
        <v>487</v>
      </c>
      <c r="G1023" s="5">
        <v>12.55</v>
      </c>
      <c r="H1023" s="54">
        <f t="shared" si="33"/>
        <v>2.1155410903173522E-2</v>
      </c>
    </row>
    <row r="1024" spans="2:8" x14ac:dyDescent="0.25">
      <c r="B1024" s="60">
        <v>45279</v>
      </c>
      <c r="C1024" s="5">
        <v>102.15</v>
      </c>
      <c r="D1024" s="54">
        <f t="shared" si="32"/>
        <v>7.1977913626504186E-3</v>
      </c>
      <c r="F1024" s="59" t="s">
        <v>486</v>
      </c>
      <c r="G1024" s="5">
        <v>12.57</v>
      </c>
      <c r="H1024" s="54">
        <f t="shared" si="33"/>
        <v>1.5936254980080111E-3</v>
      </c>
    </row>
    <row r="1025" spans="2:8" x14ac:dyDescent="0.25">
      <c r="B1025" s="60">
        <v>45280</v>
      </c>
      <c r="C1025" s="5">
        <v>99.78</v>
      </c>
      <c r="D1025" s="54">
        <f t="shared" si="32"/>
        <v>-2.3201174743024966E-2</v>
      </c>
      <c r="F1025" s="59" t="s">
        <v>485</v>
      </c>
      <c r="G1025" s="5">
        <v>12.55</v>
      </c>
      <c r="H1025" s="54">
        <f t="shared" si="33"/>
        <v>-1.5910898965790787E-3</v>
      </c>
    </row>
    <row r="1026" spans="2:8" x14ac:dyDescent="0.25">
      <c r="B1026" s="60">
        <v>45281</v>
      </c>
      <c r="C1026" s="5">
        <v>101.03</v>
      </c>
      <c r="D1026" s="54">
        <f t="shared" si="32"/>
        <v>1.2527560633393442E-2</v>
      </c>
      <c r="F1026" s="59" t="s">
        <v>484</v>
      </c>
      <c r="G1026" s="5">
        <v>12.59</v>
      </c>
      <c r="H1026" s="54">
        <f t="shared" si="33"/>
        <v>3.1872509960158002E-3</v>
      </c>
    </row>
    <row r="1027" spans="2:8" x14ac:dyDescent="0.25">
      <c r="B1027" s="60">
        <v>45282</v>
      </c>
      <c r="C1027" s="5">
        <v>101.18</v>
      </c>
      <c r="D1027" s="54">
        <f t="shared" si="32"/>
        <v>1.484707512620087E-3</v>
      </c>
      <c r="F1027" s="59" t="s">
        <v>483</v>
      </c>
      <c r="G1027" s="5">
        <v>12.6</v>
      </c>
      <c r="H1027" s="54">
        <f t="shared" si="33"/>
        <v>7.9428117553614896E-4</v>
      </c>
    </row>
    <row r="1028" spans="2:8" x14ac:dyDescent="0.25">
      <c r="B1028" s="60">
        <v>45286</v>
      </c>
      <c r="C1028" s="5">
        <v>101.67</v>
      </c>
      <c r="D1028" s="54">
        <f t="shared" si="32"/>
        <v>4.8428543190353057E-3</v>
      </c>
      <c r="F1028" s="59" t="s">
        <v>482</v>
      </c>
      <c r="G1028" s="5">
        <v>12.66</v>
      </c>
      <c r="H1028" s="54">
        <f t="shared" si="33"/>
        <v>4.761904761904745E-3</v>
      </c>
    </row>
    <row r="1029" spans="2:8" x14ac:dyDescent="0.25">
      <c r="B1029" s="60">
        <v>45287</v>
      </c>
      <c r="C1029" s="5">
        <v>101.96</v>
      </c>
      <c r="D1029" s="54">
        <f t="shared" si="32"/>
        <v>2.8523654962131495E-3</v>
      </c>
      <c r="F1029" s="59" t="s">
        <v>481</v>
      </c>
      <c r="G1029" s="5">
        <v>12.68</v>
      </c>
      <c r="H1029" s="54">
        <f t="shared" si="33"/>
        <v>1.5797788309637184E-3</v>
      </c>
    </row>
    <row r="1030" spans="2:8" x14ac:dyDescent="0.25">
      <c r="B1030" s="60">
        <v>45288</v>
      </c>
      <c r="C1030" s="5">
        <v>101.96</v>
      </c>
      <c r="D1030" s="54">
        <f t="shared" si="32"/>
        <v>0</v>
      </c>
      <c r="F1030" s="59" t="s">
        <v>480</v>
      </c>
      <c r="G1030" s="5">
        <v>12.73</v>
      </c>
      <c r="H1030" s="54">
        <f t="shared" si="33"/>
        <v>3.9432176656151174E-3</v>
      </c>
    </row>
    <row r="1031" spans="2:8" x14ac:dyDescent="0.25">
      <c r="B1031" s="60">
        <v>45289</v>
      </c>
      <c r="C1031" s="5">
        <v>101.77</v>
      </c>
      <c r="D1031" s="54">
        <f t="shared" si="32"/>
        <v>-1.8634758728912626E-3</v>
      </c>
      <c r="F1031" s="59" t="s">
        <v>479</v>
      </c>
      <c r="G1031" s="5">
        <v>12.78</v>
      </c>
      <c r="H1031" s="54">
        <f t="shared" si="33"/>
        <v>3.9277297721915794E-3</v>
      </c>
    </row>
    <row r="1032" spans="2:8" x14ac:dyDescent="0.25">
      <c r="B1032" s="60"/>
      <c r="C1032" s="5"/>
      <c r="D1032" s="54"/>
      <c r="F1032" s="59" t="s">
        <v>478</v>
      </c>
      <c r="G1032" s="5">
        <v>12.71</v>
      </c>
      <c r="H1032" s="54">
        <f t="shared" si="33"/>
        <v>-5.4773082942095597E-3</v>
      </c>
    </row>
    <row r="1033" spans="2:8" x14ac:dyDescent="0.25">
      <c r="B1033" s="60">
        <v>45293</v>
      </c>
      <c r="C1033" s="5">
        <v>100.9</v>
      </c>
      <c r="D1033" s="54">
        <f>C1033/C1031-1</f>
        <v>-8.5486882185319413E-3</v>
      </c>
      <c r="F1033" s="59" t="s">
        <v>477</v>
      </c>
      <c r="G1033" s="5">
        <v>12.71</v>
      </c>
      <c r="H1033" s="54">
        <f t="shared" si="33"/>
        <v>0</v>
      </c>
    </row>
    <row r="1034" spans="2:8" x14ac:dyDescent="0.25">
      <c r="B1034" s="60">
        <v>45294</v>
      </c>
      <c r="C1034" s="5">
        <v>100.1</v>
      </c>
      <c r="D1034" s="54">
        <f t="shared" ref="D1034:D1097" si="34">C1034/C1033-1</f>
        <v>-7.928642220019988E-3</v>
      </c>
      <c r="F1034" s="59"/>
      <c r="G1034" s="5"/>
      <c r="H1034" s="54"/>
    </row>
    <row r="1035" spans="2:8" x14ac:dyDescent="0.25">
      <c r="B1035" s="60">
        <v>45295</v>
      </c>
      <c r="C1035" s="5">
        <v>99.99</v>
      </c>
      <c r="D1035" s="54">
        <f t="shared" si="34"/>
        <v>-1.098901098901095E-3</v>
      </c>
      <c r="F1035" s="59" t="s">
        <v>476</v>
      </c>
      <c r="G1035" s="5">
        <v>12.64</v>
      </c>
      <c r="H1035" s="54">
        <f>G1035/G1033-1</f>
        <v>-5.5074744295829925E-3</v>
      </c>
    </row>
    <row r="1036" spans="2:8" x14ac:dyDescent="0.25">
      <c r="B1036" s="60">
        <v>45296</v>
      </c>
      <c r="C1036" s="5">
        <v>100.08</v>
      </c>
      <c r="D1036" s="54">
        <f t="shared" si="34"/>
        <v>9.0009000900104219E-4</v>
      </c>
      <c r="F1036" s="59" t="s">
        <v>475</v>
      </c>
      <c r="G1036" s="5">
        <v>12.56</v>
      </c>
      <c r="H1036" s="54">
        <f t="shared" ref="H1036:H1099" si="35">G1036/G1035-1</f>
        <v>-6.3291139240506666E-3</v>
      </c>
    </row>
    <row r="1037" spans="2:8" x14ac:dyDescent="0.25">
      <c r="B1037" s="60">
        <v>45299</v>
      </c>
      <c r="C1037" s="5">
        <v>101.28</v>
      </c>
      <c r="D1037" s="54">
        <f t="shared" si="34"/>
        <v>1.1990407673860837E-2</v>
      </c>
      <c r="F1037" s="59" t="s">
        <v>474</v>
      </c>
      <c r="G1037" s="5">
        <v>12.52</v>
      </c>
      <c r="H1037" s="54">
        <f t="shared" si="35"/>
        <v>-3.1847133757962887E-3</v>
      </c>
    </row>
    <row r="1038" spans="2:8" x14ac:dyDescent="0.25">
      <c r="B1038" s="60">
        <v>45300</v>
      </c>
      <c r="C1038" s="5">
        <v>100.82</v>
      </c>
      <c r="D1038" s="54">
        <f t="shared" si="34"/>
        <v>-4.5418641390205794E-3</v>
      </c>
      <c r="F1038" s="59" t="s">
        <v>473</v>
      </c>
      <c r="G1038" s="5">
        <v>12.51</v>
      </c>
      <c r="H1038" s="54">
        <f t="shared" si="35"/>
        <v>-7.9872204472841712E-4</v>
      </c>
    </row>
    <row r="1039" spans="2:8" x14ac:dyDescent="0.25">
      <c r="B1039" s="60">
        <v>45301</v>
      </c>
      <c r="C1039" s="5">
        <v>101.29</v>
      </c>
      <c r="D1039" s="54">
        <f t="shared" si="34"/>
        <v>4.6617734576475112E-3</v>
      </c>
      <c r="F1039" s="59" t="s">
        <v>472</v>
      </c>
      <c r="G1039" s="5">
        <v>12.51</v>
      </c>
      <c r="H1039" s="54">
        <f t="shared" si="35"/>
        <v>0</v>
      </c>
    </row>
    <row r="1040" spans="2:8" x14ac:dyDescent="0.25">
      <c r="B1040" s="60">
        <v>45302</v>
      </c>
      <c r="C1040" s="5">
        <v>101.24</v>
      </c>
      <c r="D1040" s="54">
        <f t="shared" si="34"/>
        <v>-4.9363214532538446E-4</v>
      </c>
      <c r="F1040" s="59" t="s">
        <v>471</v>
      </c>
      <c r="G1040" s="5">
        <v>12.53</v>
      </c>
      <c r="H1040" s="54">
        <f t="shared" si="35"/>
        <v>1.5987210231813709E-3</v>
      </c>
    </row>
    <row r="1041" spans="2:8" x14ac:dyDescent="0.25">
      <c r="B1041" s="60">
        <v>45303</v>
      </c>
      <c r="C1041" s="5">
        <v>101.45</v>
      </c>
      <c r="D1041" s="54">
        <f t="shared" si="34"/>
        <v>2.0742789411301032E-3</v>
      </c>
      <c r="F1041" s="59" t="s">
        <v>470</v>
      </c>
      <c r="G1041" s="5">
        <v>12.51</v>
      </c>
      <c r="H1041" s="54">
        <f t="shared" si="35"/>
        <v>-1.5961691939345712E-3</v>
      </c>
    </row>
    <row r="1042" spans="2:8" x14ac:dyDescent="0.25">
      <c r="B1042" s="60">
        <v>45307</v>
      </c>
      <c r="C1042" s="5">
        <v>100.56</v>
      </c>
      <c r="D1042" s="54">
        <f t="shared" si="34"/>
        <v>-8.7727944800394253E-3</v>
      </c>
      <c r="F1042" s="59" t="s">
        <v>469</v>
      </c>
      <c r="G1042" s="5">
        <v>12.51</v>
      </c>
      <c r="H1042" s="54">
        <f t="shared" si="35"/>
        <v>0</v>
      </c>
    </row>
    <row r="1043" spans="2:8" x14ac:dyDescent="0.25">
      <c r="B1043" s="60">
        <v>45308</v>
      </c>
      <c r="C1043" s="5">
        <v>99.79</v>
      </c>
      <c r="D1043" s="54">
        <f t="shared" si="34"/>
        <v>-7.6571201272871425E-3</v>
      </c>
      <c r="F1043" s="59" t="s">
        <v>468</v>
      </c>
      <c r="G1043" s="5">
        <v>12.59</v>
      </c>
      <c r="H1043" s="54">
        <f t="shared" si="35"/>
        <v>6.3948840927259276E-3</v>
      </c>
    </row>
    <row r="1044" spans="2:8" x14ac:dyDescent="0.25">
      <c r="B1044" s="60">
        <v>45309</v>
      </c>
      <c r="C1044" s="5">
        <v>100.66</v>
      </c>
      <c r="D1044" s="54">
        <f t="shared" si="34"/>
        <v>8.7183084477402417E-3</v>
      </c>
      <c r="F1044" s="59" t="s">
        <v>467</v>
      </c>
      <c r="G1044" s="5">
        <v>12.5</v>
      </c>
      <c r="H1044" s="54">
        <f t="shared" si="35"/>
        <v>-7.1485305798252297E-3</v>
      </c>
    </row>
    <row r="1045" spans="2:8" x14ac:dyDescent="0.25">
      <c r="B1045" s="60">
        <v>45310</v>
      </c>
      <c r="C1045" s="5">
        <v>101.67</v>
      </c>
      <c r="D1045" s="54">
        <f t="shared" si="34"/>
        <v>1.0033777071329242E-2</v>
      </c>
      <c r="F1045" s="59" t="s">
        <v>466</v>
      </c>
      <c r="G1045" s="5">
        <v>12.4</v>
      </c>
      <c r="H1045" s="54">
        <f t="shared" si="35"/>
        <v>-8.0000000000000071E-3</v>
      </c>
    </row>
    <row r="1046" spans="2:8" x14ac:dyDescent="0.25">
      <c r="B1046" s="60">
        <v>45313</v>
      </c>
      <c r="C1046" s="5">
        <v>101.83</v>
      </c>
      <c r="D1046" s="54">
        <f t="shared" si="34"/>
        <v>1.5737188944624503E-3</v>
      </c>
      <c r="F1046" s="59" t="s">
        <v>465</v>
      </c>
      <c r="G1046" s="5">
        <v>12.38</v>
      </c>
      <c r="H1046" s="54">
        <f t="shared" si="35"/>
        <v>-1.612903225806428E-3</v>
      </c>
    </row>
    <row r="1047" spans="2:8" x14ac:dyDescent="0.25">
      <c r="B1047" s="60">
        <v>45314</v>
      </c>
      <c r="C1047" s="5">
        <v>102.04</v>
      </c>
      <c r="D1047" s="54">
        <f t="shared" si="34"/>
        <v>2.0622606304625535E-3</v>
      </c>
      <c r="F1047" s="59" t="s">
        <v>464</v>
      </c>
      <c r="G1047" s="5">
        <v>12.38</v>
      </c>
      <c r="H1047" s="54">
        <f t="shared" si="35"/>
        <v>0</v>
      </c>
    </row>
    <row r="1048" spans="2:8" x14ac:dyDescent="0.25">
      <c r="B1048" s="60">
        <v>45315</v>
      </c>
      <c r="C1048" s="5">
        <v>102.38</v>
      </c>
      <c r="D1048" s="54">
        <f t="shared" si="34"/>
        <v>3.3320266562131273E-3</v>
      </c>
      <c r="F1048" s="59" t="s">
        <v>463</v>
      </c>
      <c r="G1048" s="5">
        <v>12.43</v>
      </c>
      <c r="H1048" s="54">
        <f t="shared" si="35"/>
        <v>4.0387722132471104E-3</v>
      </c>
    </row>
    <row r="1049" spans="2:8" x14ac:dyDescent="0.25">
      <c r="B1049" s="60">
        <v>45316</v>
      </c>
      <c r="C1049" s="5">
        <v>102.79</v>
      </c>
      <c r="D1049" s="54">
        <f t="shared" si="34"/>
        <v>4.0046884157063367E-3</v>
      </c>
      <c r="F1049" s="59" t="s">
        <v>462</v>
      </c>
      <c r="G1049" s="5">
        <v>12.4</v>
      </c>
      <c r="H1049" s="54">
        <f t="shared" si="35"/>
        <v>-2.4135156878519748E-3</v>
      </c>
    </row>
    <row r="1050" spans="2:8" x14ac:dyDescent="0.25">
      <c r="B1050" s="60">
        <v>45317</v>
      </c>
      <c r="C1050" s="5">
        <v>102.88</v>
      </c>
      <c r="D1050" s="54">
        <f t="shared" si="34"/>
        <v>8.7557155365303174E-4</v>
      </c>
      <c r="F1050" s="59" t="s">
        <v>461</v>
      </c>
      <c r="G1050" s="5">
        <v>12.41</v>
      </c>
      <c r="H1050" s="54">
        <f t="shared" si="35"/>
        <v>8.0645161290315848E-4</v>
      </c>
    </row>
    <row r="1051" spans="2:8" x14ac:dyDescent="0.25">
      <c r="B1051" s="60">
        <v>45320</v>
      </c>
      <c r="C1051" s="5">
        <v>103.56</v>
      </c>
      <c r="D1051" s="54">
        <f t="shared" si="34"/>
        <v>6.6096423017107941E-3</v>
      </c>
      <c r="F1051" s="59" t="s">
        <v>460</v>
      </c>
      <c r="G1051" s="5">
        <v>12.4</v>
      </c>
      <c r="H1051" s="54">
        <f t="shared" si="35"/>
        <v>-8.058017727639033E-4</v>
      </c>
    </row>
    <row r="1052" spans="2:8" x14ac:dyDescent="0.25">
      <c r="B1052" s="60">
        <v>45321</v>
      </c>
      <c r="C1052" s="5">
        <v>103.39</v>
      </c>
      <c r="D1052" s="54">
        <f t="shared" si="34"/>
        <v>-1.6415604480494173E-3</v>
      </c>
      <c r="F1052" s="59" t="s">
        <v>459</v>
      </c>
      <c r="G1052" s="5">
        <v>12.42</v>
      </c>
      <c r="H1052" s="54">
        <f t="shared" si="35"/>
        <v>1.612903225806317E-3</v>
      </c>
    </row>
    <row r="1053" spans="2:8" x14ac:dyDescent="0.25">
      <c r="B1053" s="60">
        <v>45322</v>
      </c>
      <c r="C1053" s="5">
        <v>102.05</v>
      </c>
      <c r="D1053" s="54">
        <f t="shared" si="34"/>
        <v>-1.2960634490763123E-2</v>
      </c>
      <c r="F1053" s="59" t="s">
        <v>458</v>
      </c>
      <c r="G1053" s="5">
        <v>12.41</v>
      </c>
      <c r="H1053" s="54">
        <f t="shared" si="35"/>
        <v>-8.0515297906602612E-4</v>
      </c>
    </row>
    <row r="1054" spans="2:8" x14ac:dyDescent="0.25">
      <c r="B1054" s="60">
        <v>45323</v>
      </c>
      <c r="C1054" s="5">
        <v>103.32</v>
      </c>
      <c r="D1054" s="54">
        <f t="shared" si="34"/>
        <v>1.2444879960803457E-2</v>
      </c>
      <c r="F1054" s="59" t="s">
        <v>457</v>
      </c>
      <c r="G1054" s="5">
        <v>12.46</v>
      </c>
      <c r="H1054" s="54">
        <f t="shared" si="35"/>
        <v>4.0290088638195165E-3</v>
      </c>
    </row>
    <row r="1055" spans="2:8" x14ac:dyDescent="0.25">
      <c r="B1055" s="60">
        <v>45324</v>
      </c>
      <c r="C1055" s="5">
        <v>103.74</v>
      </c>
      <c r="D1055" s="54">
        <f t="shared" si="34"/>
        <v>4.0650406504065817E-3</v>
      </c>
      <c r="F1055" s="59" t="s">
        <v>456</v>
      </c>
      <c r="G1055" s="5">
        <v>12.52</v>
      </c>
      <c r="H1055" s="54">
        <f t="shared" si="35"/>
        <v>4.8154093097911854E-3</v>
      </c>
    </row>
    <row r="1056" spans="2:8" x14ac:dyDescent="0.25">
      <c r="B1056" s="60">
        <v>45327</v>
      </c>
      <c r="C1056" s="5">
        <v>103.34</v>
      </c>
      <c r="D1056" s="54">
        <f t="shared" si="34"/>
        <v>-3.8557933294774971E-3</v>
      </c>
      <c r="F1056" s="59" t="s">
        <v>455</v>
      </c>
      <c r="G1056" s="5">
        <v>12.53</v>
      </c>
      <c r="H1056" s="54">
        <f t="shared" si="35"/>
        <v>7.9872204472852815E-4</v>
      </c>
    </row>
    <row r="1057" spans="2:8" x14ac:dyDescent="0.25">
      <c r="B1057" s="60">
        <v>45328</v>
      </c>
      <c r="C1057" s="5">
        <v>103.94</v>
      </c>
      <c r="D1057" s="54">
        <f t="shared" si="34"/>
        <v>5.8060770272885254E-3</v>
      </c>
      <c r="F1057" s="59" t="s">
        <v>454</v>
      </c>
      <c r="G1057" s="5">
        <v>12.5</v>
      </c>
      <c r="H1057" s="54">
        <f t="shared" si="35"/>
        <v>-2.3942537909017458E-3</v>
      </c>
    </row>
    <row r="1058" spans="2:8" x14ac:dyDescent="0.25">
      <c r="B1058" s="60">
        <v>45329</v>
      </c>
      <c r="C1058" s="5">
        <v>104.47</v>
      </c>
      <c r="D1058" s="54">
        <f t="shared" si="34"/>
        <v>5.0990956320955405E-3</v>
      </c>
      <c r="F1058" s="59" t="s">
        <v>453</v>
      </c>
      <c r="G1058" s="5">
        <v>12.38</v>
      </c>
      <c r="H1058" s="54">
        <f t="shared" si="35"/>
        <v>-9.5999999999999419E-3</v>
      </c>
    </row>
    <row r="1059" spans="2:8" x14ac:dyDescent="0.25">
      <c r="B1059" s="60">
        <v>45330</v>
      </c>
      <c r="C1059" s="5">
        <v>104.45</v>
      </c>
      <c r="D1059" s="54">
        <f t="shared" si="34"/>
        <v>-1.914425193835223E-4</v>
      </c>
      <c r="F1059" s="59" t="s">
        <v>452</v>
      </c>
      <c r="G1059" s="5">
        <v>12.36</v>
      </c>
      <c r="H1059" s="54">
        <f t="shared" si="35"/>
        <v>-1.615508885298933E-3</v>
      </c>
    </row>
    <row r="1060" spans="2:8" x14ac:dyDescent="0.25">
      <c r="B1060" s="60">
        <v>45331</v>
      </c>
      <c r="C1060" s="5">
        <v>105.01</v>
      </c>
      <c r="D1060" s="54">
        <f t="shared" si="34"/>
        <v>5.3614169459070826E-3</v>
      </c>
      <c r="F1060" s="59" t="s">
        <v>451</v>
      </c>
      <c r="G1060" s="5">
        <v>12.41</v>
      </c>
      <c r="H1060" s="54">
        <f t="shared" si="35"/>
        <v>4.045307443365731E-3</v>
      </c>
    </row>
    <row r="1061" spans="2:8" x14ac:dyDescent="0.25">
      <c r="B1061" s="60">
        <v>45334</v>
      </c>
      <c r="C1061" s="5">
        <v>105.14</v>
      </c>
      <c r="D1061" s="54">
        <f t="shared" si="34"/>
        <v>1.2379773354918022E-3</v>
      </c>
      <c r="F1061" s="59" t="s">
        <v>450</v>
      </c>
      <c r="G1061" s="5">
        <v>12.36</v>
      </c>
      <c r="H1061" s="54">
        <f t="shared" si="35"/>
        <v>-4.0290088638195165E-3</v>
      </c>
    </row>
    <row r="1062" spans="2:8" x14ac:dyDescent="0.25">
      <c r="B1062" s="60">
        <v>45335</v>
      </c>
      <c r="C1062" s="5">
        <v>103.47</v>
      </c>
      <c r="D1062" s="54">
        <f t="shared" si="34"/>
        <v>-1.5883583793037892E-2</v>
      </c>
      <c r="F1062" s="59" t="s">
        <v>449</v>
      </c>
      <c r="G1062" s="5">
        <v>12.34</v>
      </c>
      <c r="H1062" s="54">
        <f t="shared" si="35"/>
        <v>-1.6181229773462036E-3</v>
      </c>
    </row>
    <row r="1063" spans="2:8" x14ac:dyDescent="0.25">
      <c r="B1063" s="60">
        <v>45336</v>
      </c>
      <c r="C1063" s="5">
        <v>104.61</v>
      </c>
      <c r="D1063" s="54">
        <f t="shared" si="34"/>
        <v>1.1017686285879957E-2</v>
      </c>
      <c r="F1063" s="59" t="s">
        <v>448</v>
      </c>
      <c r="G1063" s="5">
        <v>12.35</v>
      </c>
      <c r="H1063" s="54">
        <f t="shared" si="35"/>
        <v>8.103727714747766E-4</v>
      </c>
    </row>
    <row r="1064" spans="2:8" x14ac:dyDescent="0.25">
      <c r="B1064" s="60">
        <v>45337</v>
      </c>
      <c r="C1064" s="5">
        <v>105.45</v>
      </c>
      <c r="D1064" s="54">
        <f t="shared" si="34"/>
        <v>8.029825064525431E-3</v>
      </c>
      <c r="F1064" s="59" t="s">
        <v>447</v>
      </c>
      <c r="G1064" s="5">
        <v>12.29</v>
      </c>
      <c r="H1064" s="54">
        <f t="shared" si="35"/>
        <v>-4.858299595141724E-3</v>
      </c>
    </row>
    <row r="1065" spans="2:8" x14ac:dyDescent="0.25">
      <c r="B1065" s="60">
        <v>45338</v>
      </c>
      <c r="C1065" s="5">
        <v>105.19</v>
      </c>
      <c r="D1065" s="54">
        <f t="shared" si="34"/>
        <v>-2.4656235182551889E-3</v>
      </c>
      <c r="F1065" s="59" t="s">
        <v>446</v>
      </c>
      <c r="G1065" s="5">
        <v>12.26</v>
      </c>
      <c r="H1065" s="54">
        <f t="shared" si="35"/>
        <v>-2.4410089503661414E-3</v>
      </c>
    </row>
    <row r="1066" spans="2:8" x14ac:dyDescent="0.25">
      <c r="B1066" s="60">
        <v>45342</v>
      </c>
      <c r="C1066" s="5">
        <v>104.89</v>
      </c>
      <c r="D1066" s="54">
        <f t="shared" si="34"/>
        <v>-2.851982127578645E-3</v>
      </c>
      <c r="F1066" s="59" t="s">
        <v>445</v>
      </c>
      <c r="G1066" s="5">
        <v>12.34</v>
      </c>
      <c r="H1066" s="54">
        <f t="shared" si="35"/>
        <v>6.5252854812398731E-3</v>
      </c>
    </row>
    <row r="1067" spans="2:8" x14ac:dyDescent="0.25">
      <c r="B1067" s="60">
        <v>45343</v>
      </c>
      <c r="C1067" s="5">
        <v>104.92</v>
      </c>
      <c r="D1067" s="54">
        <f t="shared" si="34"/>
        <v>2.8601391934413023E-4</v>
      </c>
      <c r="F1067" s="59" t="s">
        <v>444</v>
      </c>
      <c r="G1067" s="5">
        <v>12.31</v>
      </c>
      <c r="H1067" s="54">
        <f t="shared" si="35"/>
        <v>-2.4311183144245518E-3</v>
      </c>
    </row>
    <row r="1068" spans="2:8" x14ac:dyDescent="0.25">
      <c r="B1068" s="60">
        <v>45344</v>
      </c>
      <c r="C1068" s="5">
        <v>106.72</v>
      </c>
      <c r="D1068" s="54">
        <f t="shared" si="34"/>
        <v>1.7155928326343828E-2</v>
      </c>
      <c r="F1068" s="59" t="s">
        <v>443</v>
      </c>
      <c r="G1068" s="5">
        <v>12.35</v>
      </c>
      <c r="H1068" s="54">
        <f t="shared" si="35"/>
        <v>3.2493907392363575E-3</v>
      </c>
    </row>
    <row r="1069" spans="2:8" x14ac:dyDescent="0.25">
      <c r="B1069" s="60">
        <v>45345</v>
      </c>
      <c r="C1069" s="5">
        <v>106.77</v>
      </c>
      <c r="D1069" s="54">
        <f t="shared" si="34"/>
        <v>4.6851574212891656E-4</v>
      </c>
      <c r="F1069" s="59" t="s">
        <v>442</v>
      </c>
      <c r="G1069" s="5">
        <v>12.34</v>
      </c>
      <c r="H1069" s="54">
        <f t="shared" si="35"/>
        <v>-8.0971659919026884E-4</v>
      </c>
    </row>
    <row r="1070" spans="2:8" x14ac:dyDescent="0.25">
      <c r="B1070" s="60">
        <v>45348</v>
      </c>
      <c r="C1070" s="5">
        <v>106.48</v>
      </c>
      <c r="D1070" s="54">
        <f t="shared" si="34"/>
        <v>-2.7161187599512582E-3</v>
      </c>
      <c r="F1070" s="59" t="s">
        <v>441</v>
      </c>
      <c r="G1070" s="5">
        <v>12.32</v>
      </c>
      <c r="H1070" s="54">
        <f t="shared" si="35"/>
        <v>-1.6207455429497752E-3</v>
      </c>
    </row>
    <row r="1071" spans="2:8" x14ac:dyDescent="0.25">
      <c r="B1071" s="60">
        <v>45349</v>
      </c>
      <c r="C1071" s="5">
        <v>106.69</v>
      </c>
      <c r="D1071" s="54">
        <f t="shared" si="34"/>
        <v>1.9722013523666426E-3</v>
      </c>
      <c r="F1071" s="59" t="s">
        <v>440</v>
      </c>
      <c r="G1071" s="5">
        <v>12.35</v>
      </c>
      <c r="H1071" s="54">
        <f t="shared" si="35"/>
        <v>2.4350649350648457E-3</v>
      </c>
    </row>
    <row r="1072" spans="2:8" x14ac:dyDescent="0.25">
      <c r="B1072" s="60">
        <v>45350</v>
      </c>
      <c r="C1072" s="5">
        <v>106.24</v>
      </c>
      <c r="D1072" s="54">
        <f t="shared" si="34"/>
        <v>-4.2178273502671004E-3</v>
      </c>
      <c r="F1072" s="59" t="s">
        <v>439</v>
      </c>
      <c r="G1072" s="5">
        <v>12.37</v>
      </c>
      <c r="H1072" s="54">
        <f t="shared" si="35"/>
        <v>1.6194331983805377E-3</v>
      </c>
    </row>
    <row r="1073" spans="2:8" x14ac:dyDescent="0.25">
      <c r="B1073" s="60">
        <v>45351</v>
      </c>
      <c r="C1073" s="5">
        <v>106.65</v>
      </c>
      <c r="D1073" s="54">
        <f t="shared" si="34"/>
        <v>3.8591867469881524E-3</v>
      </c>
      <c r="F1073" s="59" t="s">
        <v>438</v>
      </c>
      <c r="G1073" s="5">
        <v>12.35</v>
      </c>
      <c r="H1073" s="54">
        <f t="shared" si="35"/>
        <v>-1.6168148746967814E-3</v>
      </c>
    </row>
    <row r="1074" spans="2:8" x14ac:dyDescent="0.25">
      <c r="B1074" s="60">
        <v>45352</v>
      </c>
      <c r="C1074" s="5">
        <v>107.68</v>
      </c>
      <c r="D1074" s="54">
        <f t="shared" si="34"/>
        <v>9.6577590248476675E-3</v>
      </c>
      <c r="F1074" s="59" t="s">
        <v>437</v>
      </c>
      <c r="G1074" s="5">
        <v>12.32</v>
      </c>
      <c r="H1074" s="54">
        <f t="shared" si="35"/>
        <v>-2.4291497975708065E-3</v>
      </c>
    </row>
    <row r="1075" spans="2:8" x14ac:dyDescent="0.25">
      <c r="B1075" s="60">
        <v>45355</v>
      </c>
      <c r="C1075" s="5">
        <v>107.52</v>
      </c>
      <c r="D1075" s="54">
        <f t="shared" si="34"/>
        <v>-1.4858841010402246E-3</v>
      </c>
      <c r="F1075" s="59" t="s">
        <v>436</v>
      </c>
      <c r="G1075" s="5">
        <v>12.37</v>
      </c>
      <c r="H1075" s="54">
        <f t="shared" si="35"/>
        <v>4.0584415584414835E-3</v>
      </c>
    </row>
    <row r="1076" spans="2:8" x14ac:dyDescent="0.25">
      <c r="B1076" s="60">
        <v>45356</v>
      </c>
      <c r="C1076" s="5">
        <v>106.65</v>
      </c>
      <c r="D1076" s="54">
        <f t="shared" si="34"/>
        <v>-8.0915178571427937E-3</v>
      </c>
      <c r="F1076" s="59" t="s">
        <v>435</v>
      </c>
      <c r="G1076" s="5">
        <v>12.32</v>
      </c>
      <c r="H1076" s="54">
        <f t="shared" si="35"/>
        <v>-4.0420371867420091E-3</v>
      </c>
    </row>
    <row r="1077" spans="2:8" x14ac:dyDescent="0.25">
      <c r="B1077" s="60">
        <v>45357</v>
      </c>
      <c r="C1077" s="5">
        <v>107.48</v>
      </c>
      <c r="D1077" s="54">
        <f t="shared" si="34"/>
        <v>7.7824660103140708E-3</v>
      </c>
      <c r="F1077" s="59" t="s">
        <v>434</v>
      </c>
      <c r="G1077" s="5">
        <v>12.4</v>
      </c>
      <c r="H1077" s="54">
        <f t="shared" si="35"/>
        <v>6.4935064935065512E-3</v>
      </c>
    </row>
    <row r="1078" spans="2:8" x14ac:dyDescent="0.25">
      <c r="B1078" s="60">
        <v>45358</v>
      </c>
      <c r="C1078" s="5">
        <v>108.6</v>
      </c>
      <c r="D1078" s="54">
        <f t="shared" si="34"/>
        <v>1.0420543356903567E-2</v>
      </c>
      <c r="F1078" s="59" t="s">
        <v>433</v>
      </c>
      <c r="G1078" s="5">
        <v>12.43</v>
      </c>
      <c r="H1078" s="54">
        <f t="shared" si="35"/>
        <v>2.4193548387096975E-3</v>
      </c>
    </row>
    <row r="1079" spans="2:8" x14ac:dyDescent="0.25">
      <c r="B1079" s="60">
        <v>45359</v>
      </c>
      <c r="C1079" s="5">
        <v>108.07</v>
      </c>
      <c r="D1079" s="54">
        <f t="shared" si="34"/>
        <v>-4.8802946593001773E-3</v>
      </c>
      <c r="F1079" s="59" t="s">
        <v>432</v>
      </c>
      <c r="G1079" s="5">
        <v>12.47</v>
      </c>
      <c r="H1079" s="54">
        <f t="shared" si="35"/>
        <v>3.2180209171359664E-3</v>
      </c>
    </row>
    <row r="1080" spans="2:8" x14ac:dyDescent="0.25">
      <c r="B1080" s="60">
        <v>45362</v>
      </c>
      <c r="C1080" s="5">
        <v>107.85</v>
      </c>
      <c r="D1080" s="54">
        <f t="shared" si="34"/>
        <v>-2.0357175904506253E-3</v>
      </c>
      <c r="F1080" s="59" t="s">
        <v>431</v>
      </c>
      <c r="G1080" s="5">
        <v>12.52</v>
      </c>
      <c r="H1080" s="54">
        <f t="shared" si="35"/>
        <v>4.0096230954289602E-3</v>
      </c>
    </row>
    <row r="1081" spans="2:8" x14ac:dyDescent="0.25">
      <c r="B1081" s="60">
        <v>45363</v>
      </c>
      <c r="C1081" s="5">
        <v>108.94</v>
      </c>
      <c r="D1081" s="54">
        <f t="shared" si="34"/>
        <v>1.0106629578117809E-2</v>
      </c>
      <c r="F1081" s="59" t="s">
        <v>430</v>
      </c>
      <c r="G1081" s="5">
        <v>12.57</v>
      </c>
      <c r="H1081" s="54">
        <f t="shared" si="35"/>
        <v>3.9936102236421966E-3</v>
      </c>
    </row>
    <row r="1082" spans="2:8" x14ac:dyDescent="0.25">
      <c r="B1082" s="60">
        <v>45364</v>
      </c>
      <c r="C1082" s="5">
        <v>108.8</v>
      </c>
      <c r="D1082" s="54">
        <f t="shared" si="34"/>
        <v>-1.2851110703139268E-3</v>
      </c>
      <c r="F1082" s="59" t="s">
        <v>429</v>
      </c>
      <c r="G1082" s="5">
        <v>12.56</v>
      </c>
      <c r="H1082" s="54">
        <f t="shared" si="35"/>
        <v>-7.9554494828959488E-4</v>
      </c>
    </row>
    <row r="1083" spans="2:8" x14ac:dyDescent="0.25">
      <c r="B1083" s="60">
        <v>45365</v>
      </c>
      <c r="C1083" s="5">
        <v>108.37</v>
      </c>
      <c r="D1083" s="54">
        <f t="shared" si="34"/>
        <v>-3.9522058823528994E-3</v>
      </c>
      <c r="F1083" s="59" t="s">
        <v>428</v>
      </c>
      <c r="G1083" s="5">
        <v>12.54</v>
      </c>
      <c r="H1083" s="54">
        <f t="shared" si="35"/>
        <v>-1.5923566878981443E-3</v>
      </c>
    </row>
    <row r="1084" spans="2:8" x14ac:dyDescent="0.25">
      <c r="B1084" s="60">
        <v>45366</v>
      </c>
      <c r="C1084" s="5">
        <v>107.82</v>
      </c>
      <c r="D1084" s="54">
        <f t="shared" si="34"/>
        <v>-5.0752053151241761E-3</v>
      </c>
      <c r="F1084" s="59" t="s">
        <v>427</v>
      </c>
      <c r="G1084" s="5">
        <v>12.54</v>
      </c>
      <c r="H1084" s="54">
        <f t="shared" si="35"/>
        <v>0</v>
      </c>
    </row>
    <row r="1085" spans="2:8" x14ac:dyDescent="0.25">
      <c r="B1085" s="60">
        <v>45369</v>
      </c>
      <c r="C1085" s="5">
        <v>108.26</v>
      </c>
      <c r="D1085" s="54">
        <f t="shared" si="34"/>
        <v>4.0808755332963909E-3</v>
      </c>
      <c r="F1085" s="59" t="s">
        <v>426</v>
      </c>
      <c r="G1085" s="5">
        <v>12.49</v>
      </c>
      <c r="H1085" s="54">
        <f t="shared" si="35"/>
        <v>-3.9872408293459838E-3</v>
      </c>
    </row>
    <row r="1086" spans="2:8" x14ac:dyDescent="0.25">
      <c r="B1086" s="60">
        <v>45370</v>
      </c>
      <c r="C1086" s="5">
        <v>108.64</v>
      </c>
      <c r="D1086" s="54">
        <f t="shared" si="34"/>
        <v>3.5100683539626143E-3</v>
      </c>
      <c r="F1086" s="59" t="s">
        <v>425</v>
      </c>
      <c r="G1086" s="5">
        <v>12.44</v>
      </c>
      <c r="H1086" s="54">
        <f t="shared" si="35"/>
        <v>-4.0032025620496681E-3</v>
      </c>
    </row>
    <row r="1087" spans="2:8" x14ac:dyDescent="0.25">
      <c r="B1087" s="60">
        <v>45371</v>
      </c>
      <c r="C1087" s="5">
        <v>109.74</v>
      </c>
      <c r="D1087" s="54">
        <f t="shared" si="34"/>
        <v>1.0125184094256223E-2</v>
      </c>
      <c r="F1087" s="59" t="s">
        <v>424</v>
      </c>
      <c r="G1087" s="5">
        <v>12.44</v>
      </c>
      <c r="H1087" s="54">
        <f t="shared" si="35"/>
        <v>0</v>
      </c>
    </row>
    <row r="1088" spans="2:8" x14ac:dyDescent="0.25">
      <c r="B1088" s="60">
        <v>45372</v>
      </c>
      <c r="C1088" s="5">
        <v>109.98</v>
      </c>
      <c r="D1088" s="54">
        <f t="shared" si="34"/>
        <v>2.1869874248223731E-3</v>
      </c>
      <c r="F1088" s="59" t="s">
        <v>423</v>
      </c>
      <c r="G1088" s="5">
        <v>12.41</v>
      </c>
      <c r="H1088" s="54">
        <f t="shared" si="35"/>
        <v>-2.411575562700885E-3</v>
      </c>
    </row>
    <row r="1089" spans="2:8" x14ac:dyDescent="0.25">
      <c r="B1089" s="60">
        <v>45373</v>
      </c>
      <c r="C1089" s="5">
        <v>109.72</v>
      </c>
      <c r="D1089" s="54">
        <f t="shared" si="34"/>
        <v>-2.3640661938534313E-3</v>
      </c>
      <c r="F1089" s="59" t="s">
        <v>422</v>
      </c>
      <c r="G1089" s="5">
        <v>12.41</v>
      </c>
      <c r="H1089" s="54">
        <f t="shared" si="35"/>
        <v>0</v>
      </c>
    </row>
    <row r="1090" spans="2:8" x14ac:dyDescent="0.25">
      <c r="B1090" s="60">
        <v>45376</v>
      </c>
      <c r="C1090" s="5">
        <v>109.5</v>
      </c>
      <c r="D1090" s="54">
        <f t="shared" si="34"/>
        <v>-2.005103900838523E-3</v>
      </c>
      <c r="F1090" s="59" t="s">
        <v>421</v>
      </c>
      <c r="G1090" s="5">
        <v>12.44</v>
      </c>
      <c r="H1090" s="54">
        <f t="shared" si="35"/>
        <v>2.4174053182917099E-3</v>
      </c>
    </row>
    <row r="1091" spans="2:8" x14ac:dyDescent="0.25">
      <c r="B1091" s="60">
        <v>45377</v>
      </c>
      <c r="C1091" s="5">
        <v>109.35</v>
      </c>
      <c r="D1091" s="54">
        <f t="shared" si="34"/>
        <v>-1.36986301369868E-3</v>
      </c>
      <c r="F1091" s="59" t="s">
        <v>420</v>
      </c>
      <c r="G1091" s="5">
        <v>12.43</v>
      </c>
      <c r="H1091" s="54">
        <f t="shared" si="35"/>
        <v>-8.03858520900258E-4</v>
      </c>
    </row>
    <row r="1092" spans="2:8" x14ac:dyDescent="0.25">
      <c r="B1092" s="60">
        <v>45378</v>
      </c>
      <c r="C1092" s="5">
        <v>110.15</v>
      </c>
      <c r="D1092" s="54">
        <f t="shared" si="34"/>
        <v>7.3159579332420233E-3</v>
      </c>
      <c r="F1092" s="59" t="s">
        <v>419</v>
      </c>
      <c r="G1092" s="5">
        <v>12.44</v>
      </c>
      <c r="H1092" s="54">
        <f t="shared" si="35"/>
        <v>8.045052292839916E-4</v>
      </c>
    </row>
    <row r="1093" spans="2:8" x14ac:dyDescent="0.25">
      <c r="B1093" s="60">
        <v>45379</v>
      </c>
      <c r="C1093" s="5">
        <v>110.13</v>
      </c>
      <c r="D1093" s="54">
        <f t="shared" si="34"/>
        <v>-1.815705855652272E-4</v>
      </c>
      <c r="F1093" s="59" t="s">
        <v>418</v>
      </c>
      <c r="G1093" s="5">
        <v>12.44</v>
      </c>
      <c r="H1093" s="54">
        <f t="shared" si="35"/>
        <v>0</v>
      </c>
    </row>
    <row r="1094" spans="2:8" x14ac:dyDescent="0.25">
      <c r="B1094" s="60">
        <v>45383</v>
      </c>
      <c r="C1094" s="5">
        <v>109.87</v>
      </c>
      <c r="D1094" s="54">
        <f t="shared" si="34"/>
        <v>-2.360846272586814E-3</v>
      </c>
      <c r="F1094" s="59" t="s">
        <v>417</v>
      </c>
      <c r="G1094" s="5">
        <v>12.44</v>
      </c>
      <c r="H1094" s="54">
        <f t="shared" si="35"/>
        <v>0</v>
      </c>
    </row>
    <row r="1095" spans="2:8" x14ac:dyDescent="0.25">
      <c r="B1095" s="60">
        <v>45384</v>
      </c>
      <c r="C1095" s="5">
        <v>109.22</v>
      </c>
      <c r="D1095" s="54">
        <f t="shared" si="34"/>
        <v>-5.9160826431237101E-3</v>
      </c>
      <c r="F1095" s="59" t="s">
        <v>416</v>
      </c>
      <c r="G1095" s="5">
        <v>12.46</v>
      </c>
      <c r="H1095" s="54">
        <f t="shared" si="35"/>
        <v>1.607717041800738E-3</v>
      </c>
    </row>
    <row r="1096" spans="2:8" x14ac:dyDescent="0.25">
      <c r="B1096" s="60">
        <v>45385</v>
      </c>
      <c r="C1096" s="5">
        <v>109.48</v>
      </c>
      <c r="D1096" s="54">
        <f t="shared" si="34"/>
        <v>2.3805163889398795E-3</v>
      </c>
      <c r="F1096" s="59" t="s">
        <v>415</v>
      </c>
      <c r="G1096" s="5">
        <v>12.46</v>
      </c>
      <c r="H1096" s="54">
        <f t="shared" si="35"/>
        <v>0</v>
      </c>
    </row>
    <row r="1097" spans="2:8" x14ac:dyDescent="0.25">
      <c r="B1097" s="60">
        <v>45386</v>
      </c>
      <c r="C1097" s="5">
        <v>108.38</v>
      </c>
      <c r="D1097" s="54">
        <f t="shared" si="34"/>
        <v>-1.0047497259773497E-2</v>
      </c>
      <c r="F1097" s="59" t="s">
        <v>414</v>
      </c>
      <c r="G1097" s="5">
        <v>12.36</v>
      </c>
      <c r="H1097" s="54">
        <f t="shared" si="35"/>
        <v>-8.0256821829857161E-3</v>
      </c>
    </row>
    <row r="1098" spans="2:8" x14ac:dyDescent="0.25">
      <c r="B1098" s="60">
        <v>45387</v>
      </c>
      <c r="C1098" s="5">
        <v>109.23</v>
      </c>
      <c r="D1098" s="54">
        <f t="shared" ref="D1098:D1161" si="36">C1098/C1097-1</f>
        <v>7.8427754198191479E-3</v>
      </c>
      <c r="F1098" s="59" t="s">
        <v>413</v>
      </c>
      <c r="G1098" s="5">
        <v>12.36</v>
      </c>
      <c r="H1098" s="54">
        <f t="shared" si="35"/>
        <v>0</v>
      </c>
    </row>
    <row r="1099" spans="2:8" x14ac:dyDescent="0.25">
      <c r="B1099" s="60">
        <v>45390</v>
      </c>
      <c r="C1099" s="5">
        <v>109.46</v>
      </c>
      <c r="D1099" s="54">
        <f t="shared" si="36"/>
        <v>2.1056486313282274E-3</v>
      </c>
      <c r="F1099" s="59" t="s">
        <v>412</v>
      </c>
      <c r="G1099" s="5">
        <v>12.43</v>
      </c>
      <c r="H1099" s="54">
        <f t="shared" si="35"/>
        <v>5.6634304207119346E-3</v>
      </c>
    </row>
    <row r="1100" spans="2:8" x14ac:dyDescent="0.25">
      <c r="B1100" s="60">
        <v>45391</v>
      </c>
      <c r="C1100" s="5">
        <v>109.62</v>
      </c>
      <c r="D1100" s="54">
        <f t="shared" si="36"/>
        <v>1.4617211766856375E-3</v>
      </c>
      <c r="F1100" s="59" t="s">
        <v>411</v>
      </c>
      <c r="G1100" s="5">
        <v>12.4</v>
      </c>
      <c r="H1100" s="54">
        <f t="shared" ref="H1100:H1163" si="37">G1100/G1099-1</f>
        <v>-2.4135156878519748E-3</v>
      </c>
    </row>
    <row r="1101" spans="2:8" x14ac:dyDescent="0.25">
      <c r="B1101" s="60">
        <v>45392</v>
      </c>
      <c r="C1101" s="5">
        <v>108.37</v>
      </c>
      <c r="D1101" s="54">
        <f t="shared" si="36"/>
        <v>-1.1403028644408009E-2</v>
      </c>
      <c r="F1101" s="59" t="s">
        <v>410</v>
      </c>
      <c r="G1101" s="5">
        <v>12.39</v>
      </c>
      <c r="H1101" s="54">
        <f t="shared" si="37"/>
        <v>-8.0645161290315848E-4</v>
      </c>
    </row>
    <row r="1102" spans="2:8" x14ac:dyDescent="0.25">
      <c r="B1102" s="60">
        <v>45393</v>
      </c>
      <c r="C1102" s="5">
        <v>109.01</v>
      </c>
      <c r="D1102" s="54">
        <f t="shared" si="36"/>
        <v>5.9056934575989484E-3</v>
      </c>
      <c r="F1102" s="59" t="s">
        <v>409</v>
      </c>
      <c r="G1102" s="5">
        <v>12.42</v>
      </c>
      <c r="H1102" s="54">
        <f t="shared" si="37"/>
        <v>2.421307506053294E-3</v>
      </c>
    </row>
    <row r="1103" spans="2:8" x14ac:dyDescent="0.25">
      <c r="B1103" s="60">
        <v>45394</v>
      </c>
      <c r="C1103" s="5">
        <v>107.33</v>
      </c>
      <c r="D1103" s="54">
        <f t="shared" si="36"/>
        <v>-1.5411430144023575E-2</v>
      </c>
      <c r="F1103" s="59" t="s">
        <v>408</v>
      </c>
      <c r="G1103" s="5">
        <v>12.35</v>
      </c>
      <c r="H1103" s="54">
        <f t="shared" si="37"/>
        <v>-5.6360708534621828E-3</v>
      </c>
    </row>
    <row r="1104" spans="2:8" x14ac:dyDescent="0.25">
      <c r="B1104" s="60">
        <v>45397</v>
      </c>
      <c r="C1104" s="5">
        <v>106.29</v>
      </c>
      <c r="D1104" s="54">
        <f t="shared" si="36"/>
        <v>-9.689741917450756E-3</v>
      </c>
      <c r="F1104" s="59" t="s">
        <v>407</v>
      </c>
      <c r="G1104" s="5">
        <v>12.27</v>
      </c>
      <c r="H1104" s="54">
        <f t="shared" si="37"/>
        <v>-6.4777327935222617E-3</v>
      </c>
    </row>
    <row r="1105" spans="2:8" x14ac:dyDescent="0.25">
      <c r="B1105" s="60">
        <v>45398</v>
      </c>
      <c r="C1105" s="5">
        <v>105.73</v>
      </c>
      <c r="D1105" s="54">
        <f t="shared" si="36"/>
        <v>-5.2686047605607911E-3</v>
      </c>
      <c r="F1105" s="59" t="s">
        <v>406</v>
      </c>
      <c r="G1105" s="5">
        <v>12.25</v>
      </c>
      <c r="H1105" s="54">
        <f t="shared" si="37"/>
        <v>-1.6299918500407573E-3</v>
      </c>
    </row>
    <row r="1106" spans="2:8" x14ac:dyDescent="0.25">
      <c r="B1106" s="60">
        <v>45399</v>
      </c>
      <c r="C1106" s="5">
        <v>105.34</v>
      </c>
      <c r="D1106" s="54">
        <f t="shared" si="36"/>
        <v>-3.688640877707372E-3</v>
      </c>
      <c r="F1106" s="59" t="s">
        <v>405</v>
      </c>
      <c r="G1106" s="5">
        <v>12.21</v>
      </c>
      <c r="H1106" s="54">
        <f t="shared" si="37"/>
        <v>-3.2653061224489077E-3</v>
      </c>
    </row>
    <row r="1107" spans="2:8" x14ac:dyDescent="0.25">
      <c r="B1107" s="60">
        <v>45400</v>
      </c>
      <c r="C1107" s="5">
        <v>105.19</v>
      </c>
      <c r="D1107" s="54">
        <f t="shared" si="36"/>
        <v>-1.4239605088286478E-3</v>
      </c>
      <c r="F1107" s="59" t="s">
        <v>404</v>
      </c>
      <c r="G1107" s="5">
        <v>12.13</v>
      </c>
      <c r="H1107" s="54">
        <f t="shared" si="37"/>
        <v>-6.5520065520066062E-3</v>
      </c>
    </row>
    <row r="1108" spans="2:8" x14ac:dyDescent="0.25">
      <c r="B1108" s="60">
        <v>45401</v>
      </c>
      <c r="C1108" s="5">
        <v>104.54</v>
      </c>
      <c r="D1108" s="54">
        <f t="shared" si="36"/>
        <v>-6.1792946097537493E-3</v>
      </c>
      <c r="F1108" s="59" t="s">
        <v>403</v>
      </c>
      <c r="G1108" s="5">
        <v>12.15</v>
      </c>
      <c r="H1108" s="54">
        <f t="shared" si="37"/>
        <v>1.6488046166529546E-3</v>
      </c>
    </row>
    <row r="1109" spans="2:8" x14ac:dyDescent="0.25">
      <c r="B1109" s="60">
        <v>45404</v>
      </c>
      <c r="C1109" s="5">
        <v>105.6</v>
      </c>
      <c r="D1109" s="54">
        <f t="shared" si="36"/>
        <v>1.0139659460493444E-2</v>
      </c>
      <c r="F1109" s="59" t="s">
        <v>402</v>
      </c>
      <c r="G1109" s="5">
        <v>12.18</v>
      </c>
      <c r="H1109" s="54">
        <f t="shared" si="37"/>
        <v>2.4691358024691024E-3</v>
      </c>
    </row>
    <row r="1110" spans="2:8" x14ac:dyDescent="0.25">
      <c r="B1110" s="60">
        <v>45405</v>
      </c>
      <c r="C1110" s="5">
        <v>106.78</v>
      </c>
      <c r="D1110" s="54">
        <f t="shared" si="36"/>
        <v>1.1174242424242475E-2</v>
      </c>
      <c r="F1110" s="59" t="s">
        <v>401</v>
      </c>
      <c r="G1110" s="5">
        <v>12.17</v>
      </c>
      <c r="H1110" s="54">
        <f t="shared" si="37"/>
        <v>-8.2101806239731623E-4</v>
      </c>
    </row>
    <row r="1111" spans="2:8" x14ac:dyDescent="0.25">
      <c r="B1111" s="60">
        <v>45406</v>
      </c>
      <c r="C1111" s="5">
        <v>106.72</v>
      </c>
      <c r="D1111" s="54">
        <f t="shared" si="36"/>
        <v>-5.6190297808578205E-4</v>
      </c>
      <c r="F1111" s="59" t="s">
        <v>400</v>
      </c>
      <c r="G1111" s="5">
        <v>12.16</v>
      </c>
      <c r="H1111" s="54">
        <f t="shared" si="37"/>
        <v>-8.2169268693510489E-4</v>
      </c>
    </row>
    <row r="1112" spans="2:8" x14ac:dyDescent="0.25">
      <c r="B1112" s="60">
        <v>45407</v>
      </c>
      <c r="C1112" s="5">
        <v>106.39</v>
      </c>
      <c r="D1112" s="54">
        <f t="shared" si="36"/>
        <v>-3.0922038980509825E-3</v>
      </c>
      <c r="F1112" s="59" t="s">
        <v>399</v>
      </c>
      <c r="G1112" s="5">
        <v>12.23</v>
      </c>
      <c r="H1112" s="54">
        <f t="shared" si="37"/>
        <v>5.7565789473683626E-3</v>
      </c>
    </row>
    <row r="1113" spans="2:8" x14ac:dyDescent="0.25">
      <c r="B1113" s="60">
        <v>45408</v>
      </c>
      <c r="C1113" s="5">
        <v>107.38</v>
      </c>
      <c r="D1113" s="54">
        <f t="shared" si="36"/>
        <v>9.3053858445342197E-3</v>
      </c>
      <c r="F1113" s="59" t="s">
        <v>398</v>
      </c>
      <c r="G1113" s="5">
        <v>12.18</v>
      </c>
      <c r="H1113" s="54">
        <f t="shared" si="37"/>
        <v>-4.0883074407196407E-3</v>
      </c>
    </row>
    <row r="1114" spans="2:8" x14ac:dyDescent="0.25">
      <c r="B1114" s="60">
        <v>45411</v>
      </c>
      <c r="C1114" s="5">
        <v>107.85</v>
      </c>
      <c r="D1114" s="54">
        <f t="shared" si="36"/>
        <v>4.3769789532501768E-3</v>
      </c>
      <c r="F1114" s="59" t="s">
        <v>397</v>
      </c>
      <c r="G1114" s="5">
        <v>12.15</v>
      </c>
      <c r="H1114" s="54">
        <f t="shared" si="37"/>
        <v>-2.4630541871920597E-3</v>
      </c>
    </row>
    <row r="1115" spans="2:8" x14ac:dyDescent="0.25">
      <c r="B1115" s="60">
        <v>45412</v>
      </c>
      <c r="C1115" s="5">
        <v>106.22</v>
      </c>
      <c r="D1115" s="54">
        <f t="shared" si="36"/>
        <v>-1.5113583681038434E-2</v>
      </c>
      <c r="F1115" s="59" t="s">
        <v>396</v>
      </c>
      <c r="G1115" s="5">
        <v>12.16</v>
      </c>
      <c r="H1115" s="54">
        <f t="shared" si="37"/>
        <v>8.230452674897748E-4</v>
      </c>
    </row>
    <row r="1116" spans="2:8" x14ac:dyDescent="0.25">
      <c r="B1116" s="60">
        <v>45413</v>
      </c>
      <c r="C1116" s="5">
        <v>105.94</v>
      </c>
      <c r="D1116" s="54">
        <f t="shared" si="36"/>
        <v>-2.636038410845476E-3</v>
      </c>
      <c r="F1116" s="59" t="s">
        <v>395</v>
      </c>
      <c r="G1116" s="5">
        <v>12.19</v>
      </c>
      <c r="H1116" s="54">
        <f t="shared" si="37"/>
        <v>2.4671052631577428E-3</v>
      </c>
    </row>
    <row r="1117" spans="2:8" x14ac:dyDescent="0.25">
      <c r="B1117" s="60">
        <v>45414</v>
      </c>
      <c r="C1117" s="5">
        <v>107.26</v>
      </c>
      <c r="D1117" s="54">
        <f t="shared" si="36"/>
        <v>1.2459882952614798E-2</v>
      </c>
      <c r="F1117" s="59" t="s">
        <v>394</v>
      </c>
      <c r="G1117" s="5">
        <v>12.18</v>
      </c>
      <c r="H1117" s="54">
        <f t="shared" si="37"/>
        <v>-8.2034454470880647E-4</v>
      </c>
    </row>
    <row r="1118" spans="2:8" x14ac:dyDescent="0.25">
      <c r="B1118" s="60">
        <v>45415</v>
      </c>
      <c r="C1118" s="5">
        <v>108.43</v>
      </c>
      <c r="D1118" s="54">
        <f t="shared" si="36"/>
        <v>1.0908073839269061E-2</v>
      </c>
      <c r="F1118" s="59" t="s">
        <v>393</v>
      </c>
      <c r="G1118" s="5">
        <v>12.15</v>
      </c>
      <c r="H1118" s="54">
        <f t="shared" si="37"/>
        <v>-2.4630541871920597E-3</v>
      </c>
    </row>
    <row r="1119" spans="2:8" x14ac:dyDescent="0.25">
      <c r="B1119" s="60">
        <v>45418</v>
      </c>
      <c r="C1119" s="5">
        <v>109.41</v>
      </c>
      <c r="D1119" s="54">
        <f t="shared" si="36"/>
        <v>9.0380890897352462E-3</v>
      </c>
      <c r="F1119" s="59" t="s">
        <v>392</v>
      </c>
      <c r="G1119" s="5">
        <v>12.21</v>
      </c>
      <c r="H1119" s="54">
        <f t="shared" si="37"/>
        <v>4.9382716049382047E-3</v>
      </c>
    </row>
    <row r="1120" spans="2:8" x14ac:dyDescent="0.25">
      <c r="B1120" s="60">
        <v>45419</v>
      </c>
      <c r="C1120" s="5">
        <v>109.44</v>
      </c>
      <c r="D1120" s="54">
        <f t="shared" si="36"/>
        <v>2.7419797093508613E-4</v>
      </c>
      <c r="F1120" s="59" t="s">
        <v>391</v>
      </c>
      <c r="G1120" s="5">
        <v>12.31</v>
      </c>
      <c r="H1120" s="54">
        <f t="shared" si="37"/>
        <v>8.1900081900081467E-3</v>
      </c>
    </row>
    <row r="1121" spans="2:8" x14ac:dyDescent="0.25">
      <c r="B1121" s="60">
        <v>45420</v>
      </c>
      <c r="C1121" s="5">
        <v>109.38</v>
      </c>
      <c r="D1121" s="54">
        <f t="shared" si="36"/>
        <v>-5.482456140351033E-4</v>
      </c>
      <c r="F1121" s="59" t="s">
        <v>390</v>
      </c>
      <c r="G1121" s="5">
        <v>12.33</v>
      </c>
      <c r="H1121" s="54">
        <f t="shared" si="37"/>
        <v>1.6246953696181787E-3</v>
      </c>
    </row>
    <row r="1122" spans="2:8" x14ac:dyDescent="0.25">
      <c r="B1122" s="60">
        <v>45421</v>
      </c>
      <c r="C1122" s="5">
        <v>110.04</v>
      </c>
      <c r="D1122" s="54">
        <f t="shared" si="36"/>
        <v>6.0340098738345116E-3</v>
      </c>
      <c r="F1122" s="59" t="s">
        <v>389</v>
      </c>
      <c r="G1122" s="5">
        <v>12.36</v>
      </c>
      <c r="H1122" s="54">
        <f t="shared" si="37"/>
        <v>2.4330900243307862E-3</v>
      </c>
    </row>
    <row r="1123" spans="2:8" x14ac:dyDescent="0.25">
      <c r="B1123" s="60">
        <v>45422</v>
      </c>
      <c r="C1123" s="5">
        <v>110.18</v>
      </c>
      <c r="D1123" s="54">
        <f t="shared" si="36"/>
        <v>1.2722646310432406E-3</v>
      </c>
      <c r="F1123" s="59" t="s">
        <v>388</v>
      </c>
      <c r="G1123" s="5">
        <v>12.32</v>
      </c>
      <c r="H1123" s="54">
        <f t="shared" si="37"/>
        <v>-3.2362459546925182E-3</v>
      </c>
    </row>
    <row r="1124" spans="2:8" x14ac:dyDescent="0.25">
      <c r="B1124" s="60">
        <v>45425</v>
      </c>
      <c r="C1124" s="5">
        <v>110.25</v>
      </c>
      <c r="D1124" s="54">
        <f t="shared" si="36"/>
        <v>6.3532401524768467E-4</v>
      </c>
      <c r="F1124" s="59" t="s">
        <v>387</v>
      </c>
      <c r="G1124" s="5">
        <v>12.31</v>
      </c>
      <c r="H1124" s="54">
        <f t="shared" si="37"/>
        <v>-8.116883116883189E-4</v>
      </c>
    </row>
    <row r="1125" spans="2:8" x14ac:dyDescent="0.25">
      <c r="B1125" s="60">
        <v>45426</v>
      </c>
      <c r="C1125" s="5">
        <v>110.86</v>
      </c>
      <c r="D1125" s="54">
        <f t="shared" si="36"/>
        <v>5.532879818594072E-3</v>
      </c>
      <c r="F1125" s="59" t="s">
        <v>386</v>
      </c>
      <c r="G1125" s="5">
        <v>12.33</v>
      </c>
      <c r="H1125" s="54">
        <f t="shared" si="37"/>
        <v>1.6246953696181787E-3</v>
      </c>
    </row>
    <row r="1126" spans="2:8" x14ac:dyDescent="0.25">
      <c r="B1126" s="60">
        <v>45427</v>
      </c>
      <c r="C1126" s="5">
        <v>112.13</v>
      </c>
      <c r="D1126" s="54">
        <f t="shared" si="36"/>
        <v>1.1455890312105366E-2</v>
      </c>
      <c r="F1126" s="59" t="s">
        <v>385</v>
      </c>
      <c r="G1126" s="5">
        <v>12.32</v>
      </c>
      <c r="H1126" s="54">
        <f t="shared" si="37"/>
        <v>-8.110300081103361E-4</v>
      </c>
    </row>
    <row r="1127" spans="2:8" x14ac:dyDescent="0.25">
      <c r="B1127" s="60">
        <v>45428</v>
      </c>
      <c r="C1127" s="5">
        <v>111.9</v>
      </c>
      <c r="D1127" s="54">
        <f t="shared" si="36"/>
        <v>-2.0511905823596965E-3</v>
      </c>
      <c r="F1127" s="59" t="s">
        <v>384</v>
      </c>
      <c r="G1127" s="5">
        <v>12.33</v>
      </c>
      <c r="H1127" s="54">
        <f t="shared" si="37"/>
        <v>8.1168831168820788E-4</v>
      </c>
    </row>
    <row r="1128" spans="2:8" x14ac:dyDescent="0.25">
      <c r="B1128" s="60">
        <v>45429</v>
      </c>
      <c r="C1128" s="5">
        <v>112.16</v>
      </c>
      <c r="D1128" s="54">
        <f t="shared" si="36"/>
        <v>2.3235031277926144E-3</v>
      </c>
      <c r="F1128" s="59" t="s">
        <v>383</v>
      </c>
      <c r="G1128" s="5">
        <v>12.39</v>
      </c>
      <c r="H1128" s="54">
        <f t="shared" si="37"/>
        <v>4.8661800486617945E-3</v>
      </c>
    </row>
    <row r="1129" spans="2:8" x14ac:dyDescent="0.25">
      <c r="B1129" s="60">
        <v>45432</v>
      </c>
      <c r="C1129" s="5">
        <v>112.23</v>
      </c>
      <c r="D1129" s="54">
        <f t="shared" si="36"/>
        <v>6.2410841654791938E-4</v>
      </c>
      <c r="F1129" s="59" t="s">
        <v>382</v>
      </c>
      <c r="G1129" s="5">
        <v>12.46</v>
      </c>
      <c r="H1129" s="54">
        <f t="shared" si="37"/>
        <v>5.6497175141243527E-3</v>
      </c>
    </row>
    <row r="1130" spans="2:8" x14ac:dyDescent="0.25">
      <c r="B1130" s="60">
        <v>45433</v>
      </c>
      <c r="C1130" s="5">
        <v>112.25</v>
      </c>
      <c r="D1130" s="54">
        <f t="shared" si="36"/>
        <v>1.782054709078551E-4</v>
      </c>
      <c r="F1130" s="59" t="s">
        <v>381</v>
      </c>
      <c r="G1130" s="5">
        <v>12.41</v>
      </c>
      <c r="H1130" s="54">
        <f t="shared" si="37"/>
        <v>-4.0128410914928025E-3</v>
      </c>
    </row>
    <row r="1131" spans="2:8" x14ac:dyDescent="0.25">
      <c r="B1131" s="60">
        <v>45434</v>
      </c>
      <c r="C1131" s="5">
        <v>111.72</v>
      </c>
      <c r="D1131" s="54">
        <f t="shared" si="36"/>
        <v>-4.7216035634743969E-3</v>
      </c>
      <c r="F1131" s="59" t="s">
        <v>380</v>
      </c>
      <c r="G1131" s="5">
        <v>12.39</v>
      </c>
      <c r="H1131" s="54">
        <f t="shared" si="37"/>
        <v>-1.6116035455278066E-3</v>
      </c>
    </row>
    <row r="1132" spans="2:8" x14ac:dyDescent="0.25">
      <c r="B1132" s="60">
        <v>45435</v>
      </c>
      <c r="C1132" s="5">
        <v>110.98</v>
      </c>
      <c r="D1132" s="54">
        <f t="shared" si="36"/>
        <v>-6.6237021124239126E-3</v>
      </c>
      <c r="F1132" s="59" t="s">
        <v>379</v>
      </c>
      <c r="G1132" s="5">
        <v>12.4</v>
      </c>
      <c r="H1132" s="54">
        <f t="shared" si="37"/>
        <v>8.0710250201776468E-4</v>
      </c>
    </row>
    <row r="1133" spans="2:8" x14ac:dyDescent="0.25">
      <c r="B1133" s="60">
        <v>45436</v>
      </c>
      <c r="C1133" s="5">
        <v>111.7</v>
      </c>
      <c r="D1133" s="54">
        <f t="shared" si="36"/>
        <v>6.4876554334114545E-3</v>
      </c>
      <c r="F1133" s="59" t="s">
        <v>378</v>
      </c>
      <c r="G1133" s="5">
        <v>12.38</v>
      </c>
      <c r="H1133" s="54">
        <f t="shared" si="37"/>
        <v>-1.612903225806428E-3</v>
      </c>
    </row>
    <row r="1134" spans="2:8" x14ac:dyDescent="0.25">
      <c r="B1134" s="60">
        <v>45440</v>
      </c>
      <c r="C1134" s="5">
        <v>111.73</v>
      </c>
      <c r="D1134" s="54">
        <f t="shared" si="36"/>
        <v>2.6857654431511335E-4</v>
      </c>
      <c r="F1134" s="59" t="s">
        <v>377</v>
      </c>
      <c r="G1134" s="5">
        <v>12.35</v>
      </c>
      <c r="H1134" s="54">
        <f t="shared" si="37"/>
        <v>-2.4232633279483995E-3</v>
      </c>
    </row>
    <row r="1135" spans="2:8" x14ac:dyDescent="0.25">
      <c r="B1135" s="60">
        <v>45441</v>
      </c>
      <c r="C1135" s="5">
        <v>110.6</v>
      </c>
      <c r="D1135" s="54">
        <f t="shared" si="36"/>
        <v>-1.0113666875503524E-2</v>
      </c>
      <c r="F1135" s="59" t="s">
        <v>376</v>
      </c>
      <c r="G1135" s="5">
        <v>12.33</v>
      </c>
      <c r="H1135" s="54">
        <f t="shared" si="37"/>
        <v>-1.6194331983805377E-3</v>
      </c>
    </row>
    <row r="1136" spans="2:8" x14ac:dyDescent="0.25">
      <c r="B1136" s="60">
        <v>45442</v>
      </c>
      <c r="C1136" s="5">
        <v>110.32</v>
      </c>
      <c r="D1136" s="54">
        <f t="shared" si="36"/>
        <v>-2.5316455696202667E-3</v>
      </c>
      <c r="F1136" s="59" t="s">
        <v>375</v>
      </c>
      <c r="G1136" s="5">
        <v>12.35</v>
      </c>
      <c r="H1136" s="54">
        <f t="shared" si="37"/>
        <v>1.6220600162206722E-3</v>
      </c>
    </row>
    <row r="1137" spans="2:8" x14ac:dyDescent="0.25">
      <c r="B1137" s="60">
        <v>45443</v>
      </c>
      <c r="C1137" s="5">
        <v>111.08</v>
      </c>
      <c r="D1137" s="54">
        <f t="shared" si="36"/>
        <v>6.8890500362581708E-3</v>
      </c>
      <c r="F1137" s="59" t="s">
        <v>374</v>
      </c>
      <c r="G1137" s="5">
        <v>12.28</v>
      </c>
      <c r="H1137" s="54">
        <f t="shared" si="37"/>
        <v>-5.6680161943319929E-3</v>
      </c>
    </row>
    <row r="1138" spans="2:8" x14ac:dyDescent="0.25">
      <c r="B1138" s="60">
        <v>45446</v>
      </c>
      <c r="C1138" s="5">
        <v>111.3</v>
      </c>
      <c r="D1138" s="54">
        <f t="shared" si="36"/>
        <v>1.980554555275571E-3</v>
      </c>
      <c r="F1138" s="59" t="s">
        <v>373</v>
      </c>
      <c r="G1138" s="5">
        <v>12.27</v>
      </c>
      <c r="H1138" s="54">
        <f t="shared" si="37"/>
        <v>-8.1433224755700362E-4</v>
      </c>
    </row>
    <row r="1139" spans="2:8" x14ac:dyDescent="0.25">
      <c r="B1139" s="60">
        <v>45447</v>
      </c>
      <c r="C1139" s="5">
        <v>111.15</v>
      </c>
      <c r="D1139" s="54">
        <f t="shared" si="36"/>
        <v>-1.3477088948786742E-3</v>
      </c>
      <c r="F1139" s="59" t="s">
        <v>372</v>
      </c>
      <c r="G1139" s="5">
        <v>12.32</v>
      </c>
      <c r="H1139" s="54">
        <f t="shared" si="37"/>
        <v>4.0749796251018378E-3</v>
      </c>
    </row>
    <row r="1140" spans="2:8" x14ac:dyDescent="0.25">
      <c r="B1140" s="60">
        <v>45448</v>
      </c>
      <c r="C1140" s="5">
        <v>112.43</v>
      </c>
      <c r="D1140" s="54">
        <f t="shared" si="36"/>
        <v>1.1515969410706317E-2</v>
      </c>
      <c r="F1140" s="59" t="s">
        <v>371</v>
      </c>
      <c r="G1140" s="5">
        <v>12.35</v>
      </c>
      <c r="H1140" s="54">
        <f t="shared" si="37"/>
        <v>2.4350649350648457E-3</v>
      </c>
    </row>
    <row r="1141" spans="2:8" x14ac:dyDescent="0.25">
      <c r="B1141" s="60">
        <v>45449</v>
      </c>
      <c r="C1141" s="5">
        <v>112.54</v>
      </c>
      <c r="D1141" s="54">
        <f t="shared" si="36"/>
        <v>9.7838655163218213E-4</v>
      </c>
      <c r="F1141" s="59" t="s">
        <v>370</v>
      </c>
      <c r="G1141" s="5">
        <v>12.41</v>
      </c>
      <c r="H1141" s="54">
        <f t="shared" si="37"/>
        <v>4.8582995951418351E-3</v>
      </c>
    </row>
    <row r="1142" spans="2:8" x14ac:dyDescent="0.25">
      <c r="B1142" s="60">
        <v>45450</v>
      </c>
      <c r="C1142" s="5">
        <v>111.98</v>
      </c>
      <c r="D1142" s="54">
        <f t="shared" si="36"/>
        <v>-4.9760085303003354E-3</v>
      </c>
      <c r="F1142" s="59" t="s">
        <v>369</v>
      </c>
      <c r="G1142" s="5">
        <v>12.43</v>
      </c>
      <c r="H1142" s="54">
        <f t="shared" si="37"/>
        <v>1.6116035455278066E-3</v>
      </c>
    </row>
    <row r="1143" spans="2:8" x14ac:dyDescent="0.25">
      <c r="B1143" s="60">
        <v>45453</v>
      </c>
      <c r="C1143" s="5">
        <v>112.31</v>
      </c>
      <c r="D1143" s="54">
        <f t="shared" si="36"/>
        <v>2.9469548133596035E-3</v>
      </c>
      <c r="F1143" s="59" t="s">
        <v>368</v>
      </c>
      <c r="G1143" s="5">
        <v>12.44</v>
      </c>
      <c r="H1143" s="54">
        <f t="shared" si="37"/>
        <v>8.045052292839916E-4</v>
      </c>
    </row>
    <row r="1144" spans="2:8" x14ac:dyDescent="0.25">
      <c r="B1144" s="60">
        <v>45454</v>
      </c>
      <c r="C1144" s="5">
        <v>111.15</v>
      </c>
      <c r="D1144" s="54">
        <f t="shared" si="36"/>
        <v>-1.0328554892707675E-2</v>
      </c>
      <c r="F1144" s="59" t="s">
        <v>367</v>
      </c>
      <c r="G1144" s="5">
        <v>12.36</v>
      </c>
      <c r="H1144" s="54">
        <f t="shared" si="37"/>
        <v>-6.4308681672026191E-3</v>
      </c>
    </row>
    <row r="1145" spans="2:8" x14ac:dyDescent="0.25">
      <c r="B1145" s="60">
        <v>45455</v>
      </c>
      <c r="C1145" s="5">
        <v>112.22</v>
      </c>
      <c r="D1145" s="54">
        <f t="shared" si="36"/>
        <v>9.6266306792622824E-3</v>
      </c>
      <c r="F1145" s="59" t="s">
        <v>366</v>
      </c>
      <c r="G1145" s="5">
        <v>12.29</v>
      </c>
      <c r="H1145" s="54">
        <f t="shared" si="37"/>
        <v>-5.6634304207120456E-3</v>
      </c>
    </row>
    <row r="1146" spans="2:8" x14ac:dyDescent="0.25">
      <c r="B1146" s="60">
        <v>45456</v>
      </c>
      <c r="C1146" s="5">
        <v>111.87</v>
      </c>
      <c r="D1146" s="54">
        <f t="shared" si="36"/>
        <v>-3.1188736410621143E-3</v>
      </c>
      <c r="F1146" s="59" t="s">
        <v>365</v>
      </c>
      <c r="G1146" s="5">
        <v>12.27</v>
      </c>
      <c r="H1146" s="54">
        <f t="shared" si="37"/>
        <v>-1.6273393002440573E-3</v>
      </c>
    </row>
    <row r="1147" spans="2:8" x14ac:dyDescent="0.25">
      <c r="B1147" s="60">
        <v>45457</v>
      </c>
      <c r="C1147" s="5">
        <v>111.66</v>
      </c>
      <c r="D1147" s="54">
        <f t="shared" si="36"/>
        <v>-1.8771788683293877E-3</v>
      </c>
      <c r="F1147" s="59" t="s">
        <v>364</v>
      </c>
      <c r="G1147" s="5">
        <v>12.39</v>
      </c>
      <c r="H1147" s="54">
        <f t="shared" si="37"/>
        <v>9.7799511002445438E-3</v>
      </c>
    </row>
    <row r="1148" spans="2:8" x14ac:dyDescent="0.25">
      <c r="B1148" s="60">
        <v>45460</v>
      </c>
      <c r="C1148" s="5">
        <v>112.37</v>
      </c>
      <c r="D1148" s="54">
        <f t="shared" si="36"/>
        <v>6.3585885724521951E-3</v>
      </c>
      <c r="F1148" s="59" t="s">
        <v>363</v>
      </c>
      <c r="G1148" s="5">
        <v>12.37</v>
      </c>
      <c r="H1148" s="54">
        <f t="shared" si="37"/>
        <v>-1.6142050040356404E-3</v>
      </c>
    </row>
    <row r="1149" spans="2:8" x14ac:dyDescent="0.25">
      <c r="B1149" s="60">
        <v>45461</v>
      </c>
      <c r="C1149" s="5">
        <v>112.83</v>
      </c>
      <c r="D1149" s="54">
        <f t="shared" si="36"/>
        <v>4.0936192934055704E-3</v>
      </c>
      <c r="F1149" s="59" t="s">
        <v>362</v>
      </c>
      <c r="G1149" s="5">
        <v>12.35</v>
      </c>
      <c r="H1149" s="54">
        <f t="shared" si="37"/>
        <v>-1.6168148746967814E-3</v>
      </c>
    </row>
    <row r="1150" spans="2:8" x14ac:dyDescent="0.25">
      <c r="B1150" s="60">
        <v>45463</v>
      </c>
      <c r="C1150" s="5">
        <v>112.6</v>
      </c>
      <c r="D1150" s="54">
        <f t="shared" si="36"/>
        <v>-2.0384649472657834E-3</v>
      </c>
      <c r="F1150" s="59" t="s">
        <v>361</v>
      </c>
      <c r="G1150" s="5">
        <v>12.34</v>
      </c>
      <c r="H1150" s="54">
        <f t="shared" si="37"/>
        <v>-8.0971659919026884E-4</v>
      </c>
    </row>
    <row r="1151" spans="2:8" x14ac:dyDescent="0.25">
      <c r="B1151" s="60">
        <v>45464</v>
      </c>
      <c r="C1151" s="5">
        <v>112.15</v>
      </c>
      <c r="D1151" s="54">
        <f t="shared" si="36"/>
        <v>-3.9964476021313589E-3</v>
      </c>
      <c r="F1151" s="59" t="s">
        <v>360</v>
      </c>
      <c r="G1151" s="5">
        <v>12.36</v>
      </c>
      <c r="H1151" s="54">
        <f t="shared" si="37"/>
        <v>1.6207455429497752E-3</v>
      </c>
    </row>
    <row r="1152" spans="2:8" x14ac:dyDescent="0.25">
      <c r="B1152" s="60">
        <v>45467</v>
      </c>
      <c r="C1152" s="5">
        <v>112.25</v>
      </c>
      <c r="D1152" s="54">
        <f t="shared" si="36"/>
        <v>8.9166295140441498E-4</v>
      </c>
      <c r="F1152" s="59" t="s">
        <v>359</v>
      </c>
      <c r="G1152" s="5">
        <v>12.34</v>
      </c>
      <c r="H1152" s="54">
        <f t="shared" si="37"/>
        <v>-1.6181229773462036E-3</v>
      </c>
    </row>
    <row r="1153" spans="2:8" x14ac:dyDescent="0.25">
      <c r="B1153" s="60">
        <v>45468</v>
      </c>
      <c r="C1153" s="5">
        <v>112.59</v>
      </c>
      <c r="D1153" s="54">
        <f t="shared" si="36"/>
        <v>3.0289532293987786E-3</v>
      </c>
      <c r="F1153" s="59" t="s">
        <v>358</v>
      </c>
      <c r="G1153" s="5">
        <v>12.33</v>
      </c>
      <c r="H1153" s="54">
        <f t="shared" si="37"/>
        <v>-8.1037277147488762E-4</v>
      </c>
    </row>
    <row r="1154" spans="2:8" x14ac:dyDescent="0.25">
      <c r="B1154" s="60">
        <v>45469</v>
      </c>
      <c r="C1154" s="5">
        <v>112.46</v>
      </c>
      <c r="D1154" s="54">
        <f t="shared" si="36"/>
        <v>-1.1546318500755826E-3</v>
      </c>
      <c r="F1154" s="59" t="s">
        <v>357</v>
      </c>
      <c r="G1154" s="5">
        <v>12.36</v>
      </c>
      <c r="H1154" s="54">
        <f t="shared" si="37"/>
        <v>2.4330900243307862E-3</v>
      </c>
    </row>
    <row r="1155" spans="2:8" x14ac:dyDescent="0.25">
      <c r="B1155" s="60">
        <v>45470</v>
      </c>
      <c r="C1155" s="5">
        <v>112.62</v>
      </c>
      <c r="D1155" s="54">
        <f t="shared" si="36"/>
        <v>1.4227280810956699E-3</v>
      </c>
      <c r="F1155" s="59" t="s">
        <v>356</v>
      </c>
      <c r="G1155" s="5">
        <v>12.35</v>
      </c>
      <c r="H1155" s="54">
        <f t="shared" si="37"/>
        <v>-8.0906148867310179E-4</v>
      </c>
    </row>
    <row r="1156" spans="2:8" x14ac:dyDescent="0.25">
      <c r="B1156" s="60">
        <v>45471</v>
      </c>
      <c r="C1156" s="5">
        <v>112.4</v>
      </c>
      <c r="D1156" s="54">
        <f t="shared" si="36"/>
        <v>-1.95347185224648E-3</v>
      </c>
      <c r="F1156" s="59" t="s">
        <v>355</v>
      </c>
      <c r="G1156" s="5">
        <v>12.28</v>
      </c>
      <c r="H1156" s="54">
        <f t="shared" si="37"/>
        <v>-5.6680161943319929E-3</v>
      </c>
    </row>
    <row r="1157" spans="2:8" x14ac:dyDescent="0.25">
      <c r="B1157" s="60">
        <v>45474</v>
      </c>
      <c r="C1157" s="5">
        <v>112.59</v>
      </c>
      <c r="D1157" s="54">
        <f t="shared" si="36"/>
        <v>1.6903914590746805E-3</v>
      </c>
      <c r="F1157" s="59" t="s">
        <v>354</v>
      </c>
      <c r="G1157" s="5">
        <v>12.3</v>
      </c>
      <c r="H1157" s="54">
        <f t="shared" si="37"/>
        <v>1.6286644951140072E-3</v>
      </c>
    </row>
    <row r="1158" spans="2:8" x14ac:dyDescent="0.25">
      <c r="B1158" s="60">
        <v>45475</v>
      </c>
      <c r="C1158" s="5">
        <v>113.19</v>
      </c>
      <c r="D1158" s="54">
        <f t="shared" si="36"/>
        <v>5.3290700772714583E-3</v>
      </c>
      <c r="F1158" s="59" t="s">
        <v>353</v>
      </c>
      <c r="G1158" s="5">
        <v>12.3</v>
      </c>
      <c r="H1158" s="54">
        <f t="shared" si="37"/>
        <v>0</v>
      </c>
    </row>
    <row r="1159" spans="2:8" x14ac:dyDescent="0.25">
      <c r="B1159" s="60">
        <v>45476</v>
      </c>
      <c r="C1159" s="5">
        <v>114.01</v>
      </c>
      <c r="D1159" s="54">
        <f t="shared" si="36"/>
        <v>7.2444562240481236E-3</v>
      </c>
      <c r="F1159" s="59" t="s">
        <v>352</v>
      </c>
      <c r="G1159" s="5">
        <v>12.3</v>
      </c>
      <c r="H1159" s="54">
        <f t="shared" si="37"/>
        <v>0</v>
      </c>
    </row>
    <row r="1160" spans="2:8" x14ac:dyDescent="0.25">
      <c r="B1160" s="60">
        <v>45478</v>
      </c>
      <c r="C1160" s="5">
        <v>114.66</v>
      </c>
      <c r="D1160" s="54">
        <f t="shared" si="36"/>
        <v>5.7012542759407037E-3</v>
      </c>
      <c r="F1160" s="59" t="s">
        <v>351</v>
      </c>
      <c r="G1160" s="5">
        <v>12.27</v>
      </c>
      <c r="H1160" s="54">
        <f t="shared" si="37"/>
        <v>-2.4390243902440156E-3</v>
      </c>
    </row>
    <row r="1161" spans="2:8" x14ac:dyDescent="0.25">
      <c r="B1161" s="60">
        <v>45481</v>
      </c>
      <c r="C1161" s="5">
        <v>114.66</v>
      </c>
      <c r="D1161" s="54">
        <f t="shared" si="36"/>
        <v>0</v>
      </c>
      <c r="F1161" s="59" t="s">
        <v>350</v>
      </c>
      <c r="G1161" s="5">
        <v>12.24</v>
      </c>
      <c r="H1161" s="54">
        <f t="shared" si="37"/>
        <v>-2.4449877750610804E-3</v>
      </c>
    </row>
    <row r="1162" spans="2:8" x14ac:dyDescent="0.25">
      <c r="B1162" s="60">
        <v>45482</v>
      </c>
      <c r="C1162" s="5">
        <v>114.63</v>
      </c>
      <c r="D1162" s="54">
        <f t="shared" ref="D1162:D1225" si="38">C1162/C1161-1</f>
        <v>-2.6164311878595914E-4</v>
      </c>
      <c r="F1162" s="59" t="s">
        <v>349</v>
      </c>
      <c r="G1162" s="5">
        <v>12.28</v>
      </c>
      <c r="H1162" s="54">
        <f t="shared" si="37"/>
        <v>3.2679738562091387E-3</v>
      </c>
    </row>
    <row r="1163" spans="2:8" x14ac:dyDescent="0.25">
      <c r="B1163" s="60">
        <v>45483</v>
      </c>
      <c r="C1163" s="5">
        <v>115.8</v>
      </c>
      <c r="D1163" s="54">
        <f t="shared" si="38"/>
        <v>1.0206752159120702E-2</v>
      </c>
      <c r="F1163" s="59" t="s">
        <v>348</v>
      </c>
      <c r="G1163" s="5">
        <v>12.34</v>
      </c>
      <c r="H1163" s="54">
        <f t="shared" si="37"/>
        <v>4.8859934853420217E-3</v>
      </c>
    </row>
    <row r="1164" spans="2:8" x14ac:dyDescent="0.25">
      <c r="B1164" s="60">
        <v>45484</v>
      </c>
      <c r="C1164" s="5">
        <v>115.35</v>
      </c>
      <c r="D1164" s="54">
        <f t="shared" si="38"/>
        <v>-3.8860103626943143E-3</v>
      </c>
      <c r="F1164" s="59" t="s">
        <v>347</v>
      </c>
      <c r="G1164" s="5">
        <v>12.39</v>
      </c>
      <c r="H1164" s="54">
        <f t="shared" ref="H1164:H1227" si="39">G1164/G1163-1</f>
        <v>4.0518638573745491E-3</v>
      </c>
    </row>
    <row r="1165" spans="2:8" x14ac:dyDescent="0.25">
      <c r="B1165" s="60">
        <v>45485</v>
      </c>
      <c r="C1165" s="5">
        <v>116.19</v>
      </c>
      <c r="D1165" s="54">
        <f t="shared" si="38"/>
        <v>7.2821846553965397E-3</v>
      </c>
      <c r="F1165" s="59" t="s">
        <v>346</v>
      </c>
      <c r="G1165" s="5">
        <v>12.37</v>
      </c>
      <c r="H1165" s="54">
        <f t="shared" si="39"/>
        <v>-1.6142050040356404E-3</v>
      </c>
    </row>
    <row r="1166" spans="2:8" x14ac:dyDescent="0.25">
      <c r="B1166" s="60">
        <v>45488</v>
      </c>
      <c r="C1166" s="5">
        <v>116.07</v>
      </c>
      <c r="D1166" s="54">
        <f t="shared" si="38"/>
        <v>-1.0327911179964788E-3</v>
      </c>
      <c r="F1166" s="59" t="s">
        <v>345</v>
      </c>
      <c r="G1166" s="5">
        <v>12.38</v>
      </c>
      <c r="H1166" s="54">
        <f t="shared" si="39"/>
        <v>8.0840743734844622E-4</v>
      </c>
    </row>
    <row r="1167" spans="2:8" x14ac:dyDescent="0.25">
      <c r="B1167" s="60">
        <v>45489</v>
      </c>
      <c r="C1167" s="5">
        <v>116.69</v>
      </c>
      <c r="D1167" s="54">
        <f t="shared" si="38"/>
        <v>5.3416042043594736E-3</v>
      </c>
      <c r="F1167" s="59" t="s">
        <v>344</v>
      </c>
      <c r="G1167" s="5">
        <v>12.48</v>
      </c>
      <c r="H1167" s="54">
        <f t="shared" si="39"/>
        <v>8.0775444264942209E-3</v>
      </c>
    </row>
    <row r="1168" spans="2:8" x14ac:dyDescent="0.25">
      <c r="B1168" s="60">
        <v>45490</v>
      </c>
      <c r="C1168" s="5">
        <v>115.22</v>
      </c>
      <c r="D1168" s="54">
        <f t="shared" si="38"/>
        <v>-1.2597480503899194E-2</v>
      </c>
      <c r="F1168" s="59" t="s">
        <v>343</v>
      </c>
      <c r="G1168" s="5">
        <v>12.49</v>
      </c>
      <c r="H1168" s="54">
        <f t="shared" si="39"/>
        <v>8.0128205128193741E-4</v>
      </c>
    </row>
    <row r="1169" spans="2:8" x14ac:dyDescent="0.25">
      <c r="B1169" s="60">
        <v>45491</v>
      </c>
      <c r="C1169" s="5">
        <v>114.24</v>
      </c>
      <c r="D1169" s="54">
        <f t="shared" si="38"/>
        <v>-8.5054678007290274E-3</v>
      </c>
      <c r="F1169" s="59" t="s">
        <v>342</v>
      </c>
      <c r="G1169" s="5">
        <v>12.51</v>
      </c>
      <c r="H1169" s="54">
        <f t="shared" si="39"/>
        <v>1.6012810248198228E-3</v>
      </c>
    </row>
    <row r="1170" spans="2:8" x14ac:dyDescent="0.25">
      <c r="B1170" s="60">
        <v>45492</v>
      </c>
      <c r="C1170" s="5">
        <v>113.49</v>
      </c>
      <c r="D1170" s="54">
        <f t="shared" si="38"/>
        <v>-6.5651260504201447E-3</v>
      </c>
      <c r="F1170" s="59" t="s">
        <v>341</v>
      </c>
      <c r="G1170" s="5">
        <v>12.51</v>
      </c>
      <c r="H1170" s="54">
        <f t="shared" si="39"/>
        <v>0</v>
      </c>
    </row>
    <row r="1171" spans="2:8" x14ac:dyDescent="0.25">
      <c r="B1171" s="60">
        <v>45495</v>
      </c>
      <c r="C1171" s="5">
        <v>114.66</v>
      </c>
      <c r="D1171" s="54">
        <f t="shared" si="38"/>
        <v>1.0309278350515427E-2</v>
      </c>
      <c r="F1171" s="59" t="s">
        <v>340</v>
      </c>
      <c r="G1171" s="5">
        <v>12.55</v>
      </c>
      <c r="H1171" s="54">
        <f t="shared" si="39"/>
        <v>3.1974420463629638E-3</v>
      </c>
    </row>
    <row r="1172" spans="2:8" x14ac:dyDescent="0.25">
      <c r="B1172" s="60">
        <v>45496</v>
      </c>
      <c r="C1172" s="5">
        <v>114.27</v>
      </c>
      <c r="D1172" s="54">
        <f t="shared" si="38"/>
        <v>-3.4013605442176909E-3</v>
      </c>
      <c r="F1172" s="59" t="s">
        <v>339</v>
      </c>
      <c r="G1172" s="5">
        <v>12.55</v>
      </c>
      <c r="H1172" s="54">
        <f t="shared" si="39"/>
        <v>0</v>
      </c>
    </row>
    <row r="1173" spans="2:8" x14ac:dyDescent="0.25">
      <c r="B1173" s="60">
        <v>45497</v>
      </c>
      <c r="C1173" s="5">
        <v>112.02</v>
      </c>
      <c r="D1173" s="54">
        <f t="shared" si="38"/>
        <v>-1.9690207403518012E-2</v>
      </c>
      <c r="F1173" s="59" t="s">
        <v>338</v>
      </c>
      <c r="G1173" s="5">
        <v>12.49</v>
      </c>
      <c r="H1173" s="54">
        <f t="shared" si="39"/>
        <v>-4.7808764940239223E-3</v>
      </c>
    </row>
    <row r="1174" spans="2:8" x14ac:dyDescent="0.25">
      <c r="B1174" s="60">
        <v>45498</v>
      </c>
      <c r="C1174" s="5">
        <v>111.45</v>
      </c>
      <c r="D1174" s="54">
        <f t="shared" si="38"/>
        <v>-5.0883770755221214E-3</v>
      </c>
      <c r="F1174" s="59" t="s">
        <v>337</v>
      </c>
      <c r="G1174" s="5">
        <v>12.49</v>
      </c>
      <c r="H1174" s="54">
        <f t="shared" si="39"/>
        <v>0</v>
      </c>
    </row>
    <row r="1175" spans="2:8" x14ac:dyDescent="0.25">
      <c r="B1175" s="60">
        <v>45499</v>
      </c>
      <c r="C1175" s="5">
        <v>112.77</v>
      </c>
      <c r="D1175" s="54">
        <f t="shared" si="38"/>
        <v>1.184387617765803E-2</v>
      </c>
      <c r="F1175" s="59" t="s">
        <v>336</v>
      </c>
      <c r="G1175" s="5">
        <v>12.48</v>
      </c>
      <c r="H1175" s="54">
        <f t="shared" si="39"/>
        <v>-8.0064051240991141E-4</v>
      </c>
    </row>
    <row r="1176" spans="2:8" x14ac:dyDescent="0.25">
      <c r="B1176" s="60">
        <v>45502</v>
      </c>
      <c r="C1176" s="5">
        <v>112.67</v>
      </c>
      <c r="D1176" s="54">
        <f t="shared" si="38"/>
        <v>-8.8676066329695935E-4</v>
      </c>
      <c r="F1176" s="59" t="s">
        <v>335</v>
      </c>
      <c r="G1176" s="5">
        <v>12.51</v>
      </c>
      <c r="H1176" s="54">
        <f t="shared" si="39"/>
        <v>2.4038461538460343E-3</v>
      </c>
    </row>
    <row r="1177" spans="2:8" x14ac:dyDescent="0.25">
      <c r="B1177" s="60">
        <v>45503</v>
      </c>
      <c r="C1177" s="5">
        <v>112.29</v>
      </c>
      <c r="D1177" s="54">
        <f t="shared" si="38"/>
        <v>-3.3726812816188279E-3</v>
      </c>
      <c r="F1177" s="59" t="s">
        <v>334</v>
      </c>
      <c r="G1177" s="5">
        <v>12.51</v>
      </c>
      <c r="H1177" s="54">
        <f t="shared" si="39"/>
        <v>0</v>
      </c>
    </row>
    <row r="1178" spans="2:8" x14ac:dyDescent="0.25">
      <c r="B1178" s="60">
        <v>45504</v>
      </c>
      <c r="C1178" s="5">
        <v>114.13</v>
      </c>
      <c r="D1178" s="54">
        <f t="shared" si="38"/>
        <v>1.6386143022530941E-2</v>
      </c>
      <c r="F1178" s="59" t="s">
        <v>333</v>
      </c>
      <c r="G1178" s="5">
        <v>12.52</v>
      </c>
      <c r="H1178" s="54">
        <f t="shared" si="39"/>
        <v>7.9936051159079646E-4</v>
      </c>
    </row>
    <row r="1179" spans="2:8" x14ac:dyDescent="0.25">
      <c r="B1179" s="60">
        <v>45505</v>
      </c>
      <c r="C1179" s="5">
        <v>112.1</v>
      </c>
      <c r="D1179" s="54">
        <f t="shared" si="38"/>
        <v>-1.7786734425654926E-2</v>
      </c>
      <c r="F1179" s="59" t="s">
        <v>332</v>
      </c>
      <c r="G1179" s="5">
        <v>12.53</v>
      </c>
      <c r="H1179" s="54">
        <f t="shared" si="39"/>
        <v>7.9872204472852815E-4</v>
      </c>
    </row>
    <row r="1180" spans="2:8" x14ac:dyDescent="0.25">
      <c r="B1180" s="60">
        <v>45506</v>
      </c>
      <c r="C1180" s="5">
        <v>110.13</v>
      </c>
      <c r="D1180" s="54">
        <f t="shared" si="38"/>
        <v>-1.7573595004460318E-2</v>
      </c>
      <c r="F1180" s="59" t="s">
        <v>331</v>
      </c>
      <c r="G1180" s="5">
        <v>12.54</v>
      </c>
      <c r="H1180" s="54">
        <f t="shared" si="39"/>
        <v>7.9808459696728562E-4</v>
      </c>
    </row>
    <row r="1181" spans="2:8" x14ac:dyDescent="0.25">
      <c r="B1181" s="60">
        <v>45509</v>
      </c>
      <c r="C1181" s="5">
        <v>107.24</v>
      </c>
      <c r="D1181" s="54">
        <f t="shared" si="38"/>
        <v>-2.624171433760103E-2</v>
      </c>
      <c r="F1181" s="59" t="s">
        <v>330</v>
      </c>
      <c r="G1181" s="5">
        <v>12.63</v>
      </c>
      <c r="H1181" s="54">
        <f t="shared" si="39"/>
        <v>7.1770334928231705E-3</v>
      </c>
    </row>
    <row r="1182" spans="2:8" x14ac:dyDescent="0.25">
      <c r="B1182" s="60">
        <v>45510</v>
      </c>
      <c r="C1182" s="5">
        <v>107.97</v>
      </c>
      <c r="D1182" s="54">
        <f t="shared" si="38"/>
        <v>6.8071615069005276E-3</v>
      </c>
      <c r="F1182" s="59" t="s">
        <v>329</v>
      </c>
      <c r="G1182" s="5">
        <v>12.66</v>
      </c>
      <c r="H1182" s="54">
        <f t="shared" si="39"/>
        <v>2.3752969121140222E-3</v>
      </c>
    </row>
    <row r="1183" spans="2:8" x14ac:dyDescent="0.25">
      <c r="B1183" s="60">
        <v>45511</v>
      </c>
      <c r="C1183" s="5">
        <v>107.77</v>
      </c>
      <c r="D1183" s="54">
        <f t="shared" si="38"/>
        <v>-1.8523663980735128E-3</v>
      </c>
      <c r="F1183" s="59" t="s">
        <v>328</v>
      </c>
      <c r="G1183" s="5">
        <v>12.8</v>
      </c>
      <c r="H1183" s="54">
        <f t="shared" si="39"/>
        <v>1.1058451816745807E-2</v>
      </c>
    </row>
    <row r="1184" spans="2:8" x14ac:dyDescent="0.25">
      <c r="B1184" s="60">
        <v>45512</v>
      </c>
      <c r="C1184" s="5">
        <v>110.04</v>
      </c>
      <c r="D1184" s="54">
        <f t="shared" si="38"/>
        <v>2.1063375707525367E-2</v>
      </c>
      <c r="F1184" s="59" t="s">
        <v>327</v>
      </c>
      <c r="G1184" s="5">
        <v>12.93</v>
      </c>
      <c r="H1184" s="54">
        <f t="shared" si="39"/>
        <v>1.0156249999999867E-2</v>
      </c>
    </row>
    <row r="1185" spans="2:8" x14ac:dyDescent="0.25">
      <c r="B1185" s="60">
        <v>45513</v>
      </c>
      <c r="C1185" s="5">
        <v>110.53</v>
      </c>
      <c r="D1185" s="54">
        <f t="shared" si="38"/>
        <v>4.4529262086514532E-3</v>
      </c>
      <c r="F1185" s="59" t="s">
        <v>326</v>
      </c>
      <c r="G1185" s="5">
        <v>12.84</v>
      </c>
      <c r="H1185" s="54">
        <f t="shared" si="39"/>
        <v>-6.9605568445475496E-3</v>
      </c>
    </row>
    <row r="1186" spans="2:8" x14ac:dyDescent="0.25">
      <c r="B1186" s="60">
        <v>45516</v>
      </c>
      <c r="C1186" s="5">
        <v>110.61</v>
      </c>
      <c r="D1186" s="54">
        <f t="shared" si="38"/>
        <v>7.2378539762962824E-4</v>
      </c>
      <c r="F1186" s="59" t="s">
        <v>325</v>
      </c>
      <c r="G1186" s="5">
        <v>12.77</v>
      </c>
      <c r="H1186" s="54">
        <f t="shared" si="39"/>
        <v>-5.4517133956386576E-3</v>
      </c>
    </row>
    <row r="1187" spans="2:8" x14ac:dyDescent="0.25">
      <c r="B1187" s="60">
        <v>45517</v>
      </c>
      <c r="C1187" s="5">
        <v>112.31</v>
      </c>
      <c r="D1187" s="54">
        <f t="shared" si="38"/>
        <v>1.5369315613416479E-2</v>
      </c>
      <c r="F1187" s="59" t="s">
        <v>324</v>
      </c>
      <c r="G1187" s="5">
        <v>12.76</v>
      </c>
      <c r="H1187" s="54">
        <f t="shared" si="39"/>
        <v>-7.8308535630378096E-4</v>
      </c>
    </row>
    <row r="1188" spans="2:8" x14ac:dyDescent="0.25">
      <c r="B1188" s="60">
        <v>45518</v>
      </c>
      <c r="C1188" s="5">
        <v>112.61</v>
      </c>
      <c r="D1188" s="54">
        <f t="shared" si="38"/>
        <v>2.6711779894932342E-3</v>
      </c>
      <c r="F1188" s="59" t="s">
        <v>323</v>
      </c>
      <c r="G1188" s="5">
        <v>12.8</v>
      </c>
      <c r="H1188" s="54">
        <f t="shared" si="39"/>
        <v>3.1347962382446415E-3</v>
      </c>
    </row>
    <row r="1189" spans="2:8" x14ac:dyDescent="0.25">
      <c r="B1189" s="60">
        <v>45519</v>
      </c>
      <c r="C1189" s="5">
        <v>114.4</v>
      </c>
      <c r="D1189" s="54">
        <f t="shared" si="38"/>
        <v>1.5895568777195779E-2</v>
      </c>
      <c r="F1189" s="59" t="s">
        <v>322</v>
      </c>
      <c r="G1189" s="5">
        <v>12.8</v>
      </c>
      <c r="H1189" s="54">
        <f t="shared" si="39"/>
        <v>0</v>
      </c>
    </row>
    <row r="1190" spans="2:8" x14ac:dyDescent="0.25">
      <c r="B1190" s="60">
        <v>45520</v>
      </c>
      <c r="C1190" s="5">
        <v>114.8</v>
      </c>
      <c r="D1190" s="54">
        <f t="shared" si="38"/>
        <v>3.4965034965033226E-3</v>
      </c>
      <c r="F1190" s="59" t="s">
        <v>321</v>
      </c>
      <c r="G1190" s="5">
        <v>12.85</v>
      </c>
      <c r="H1190" s="54">
        <f t="shared" si="39"/>
        <v>3.90625E-3</v>
      </c>
    </row>
    <row r="1191" spans="2:8" x14ac:dyDescent="0.25">
      <c r="B1191" s="60">
        <v>45523</v>
      </c>
      <c r="C1191" s="5">
        <v>115.95</v>
      </c>
      <c r="D1191" s="54">
        <f t="shared" si="38"/>
        <v>1.0017421602787513E-2</v>
      </c>
      <c r="F1191" s="59" t="s">
        <v>320</v>
      </c>
      <c r="G1191" s="5">
        <v>12.93</v>
      </c>
      <c r="H1191" s="54">
        <f t="shared" si="39"/>
        <v>6.225680933852118E-3</v>
      </c>
    </row>
    <row r="1192" spans="2:8" x14ac:dyDescent="0.25">
      <c r="B1192" s="60">
        <v>45524</v>
      </c>
      <c r="C1192" s="5">
        <v>115.66</v>
      </c>
      <c r="D1192" s="54">
        <f t="shared" si="38"/>
        <v>-2.5010780508840647E-3</v>
      </c>
      <c r="F1192" s="59" t="s">
        <v>319</v>
      </c>
      <c r="G1192" s="5">
        <v>12.84</v>
      </c>
      <c r="H1192" s="54">
        <f t="shared" si="39"/>
        <v>-6.9605568445475496E-3</v>
      </c>
    </row>
    <row r="1193" spans="2:8" x14ac:dyDescent="0.25">
      <c r="B1193" s="60">
        <v>45525</v>
      </c>
      <c r="C1193" s="5">
        <v>116.26</v>
      </c>
      <c r="D1193" s="54">
        <f t="shared" si="38"/>
        <v>5.1876188829327319E-3</v>
      </c>
      <c r="F1193" s="59" t="s">
        <v>318</v>
      </c>
      <c r="G1193" s="5">
        <v>12.86</v>
      </c>
      <c r="H1193" s="54">
        <f t="shared" si="39"/>
        <v>1.5576323987538387E-3</v>
      </c>
    </row>
    <row r="1194" spans="2:8" x14ac:dyDescent="0.25">
      <c r="B1194" s="60">
        <v>45526</v>
      </c>
      <c r="C1194" s="5">
        <v>115.34</v>
      </c>
      <c r="D1194" s="54">
        <f t="shared" si="38"/>
        <v>-7.9132977808360483E-3</v>
      </c>
      <c r="F1194" s="59" t="s">
        <v>317</v>
      </c>
      <c r="G1194" s="5">
        <v>12.92</v>
      </c>
      <c r="H1194" s="54">
        <f t="shared" si="39"/>
        <v>4.6656298600311619E-3</v>
      </c>
    </row>
    <row r="1195" spans="2:8" x14ac:dyDescent="0.25">
      <c r="B1195" s="60">
        <v>45527</v>
      </c>
      <c r="C1195" s="5">
        <v>116.9</v>
      </c>
      <c r="D1195" s="54">
        <f t="shared" si="38"/>
        <v>1.3525229755505519E-2</v>
      </c>
      <c r="F1195" s="59" t="s">
        <v>316</v>
      </c>
      <c r="G1195" s="5">
        <v>12.96</v>
      </c>
      <c r="H1195" s="54">
        <f t="shared" si="39"/>
        <v>3.0959752321981782E-3</v>
      </c>
    </row>
    <row r="1196" spans="2:8" x14ac:dyDescent="0.25">
      <c r="B1196" s="60">
        <v>45530</v>
      </c>
      <c r="C1196" s="5">
        <v>116.47</v>
      </c>
      <c r="D1196" s="54">
        <f t="shared" si="38"/>
        <v>-3.6783575705732208E-3</v>
      </c>
      <c r="F1196" s="59" t="s">
        <v>315</v>
      </c>
      <c r="G1196" s="5">
        <v>12.99</v>
      </c>
      <c r="H1196" s="54">
        <f t="shared" si="39"/>
        <v>2.3148148148146586E-3</v>
      </c>
    </row>
    <row r="1197" spans="2:8" x14ac:dyDescent="0.25">
      <c r="B1197" s="60">
        <v>45531</v>
      </c>
      <c r="C1197" s="5">
        <v>116.7</v>
      </c>
      <c r="D1197" s="54">
        <f t="shared" si="38"/>
        <v>1.9747574482700259E-3</v>
      </c>
      <c r="F1197" s="59" t="s">
        <v>314</v>
      </c>
      <c r="G1197" s="5">
        <v>12.98</v>
      </c>
      <c r="H1197" s="54">
        <f t="shared" si="39"/>
        <v>-7.698229407235857E-4</v>
      </c>
    </row>
    <row r="1198" spans="2:8" x14ac:dyDescent="0.25">
      <c r="B1198" s="60">
        <v>45532</v>
      </c>
      <c r="C1198" s="5">
        <v>116.06</v>
      </c>
      <c r="D1198" s="54">
        <f t="shared" si="38"/>
        <v>-5.4841473864609691E-3</v>
      </c>
      <c r="F1198" s="59" t="s">
        <v>313</v>
      </c>
      <c r="G1198" s="5">
        <v>12.98</v>
      </c>
      <c r="H1198" s="54">
        <f t="shared" si="39"/>
        <v>0</v>
      </c>
    </row>
    <row r="1199" spans="2:8" x14ac:dyDescent="0.25">
      <c r="B1199" s="60">
        <v>45533</v>
      </c>
      <c r="C1199" s="5">
        <v>116.16</v>
      </c>
      <c r="D1199" s="54">
        <f t="shared" si="38"/>
        <v>8.6162329829386763E-4</v>
      </c>
      <c r="F1199" s="59" t="s">
        <v>312</v>
      </c>
      <c r="G1199" s="5">
        <v>13.05</v>
      </c>
      <c r="H1199" s="54">
        <f t="shared" si="39"/>
        <v>5.3929121725733165E-3</v>
      </c>
    </row>
    <row r="1200" spans="2:8" x14ac:dyDescent="0.25">
      <c r="B1200" s="60">
        <v>45534</v>
      </c>
      <c r="C1200" s="5">
        <v>116.98</v>
      </c>
      <c r="D1200" s="54">
        <f t="shared" si="38"/>
        <v>7.0592286501378609E-3</v>
      </c>
      <c r="F1200" s="59" t="s">
        <v>311</v>
      </c>
      <c r="G1200" s="5">
        <v>13.02</v>
      </c>
      <c r="H1200" s="54">
        <f t="shared" si="39"/>
        <v>-2.2988505747126853E-3</v>
      </c>
    </row>
    <row r="1201" spans="2:8" x14ac:dyDescent="0.25">
      <c r="B1201" s="60">
        <v>45538</v>
      </c>
      <c r="C1201" s="5">
        <v>114.74</v>
      </c>
      <c r="D1201" s="54">
        <f t="shared" si="38"/>
        <v>-1.9148572405539466E-2</v>
      </c>
      <c r="F1201" s="59" t="s">
        <v>310</v>
      </c>
      <c r="G1201" s="5">
        <v>13.01</v>
      </c>
      <c r="H1201" s="54">
        <f t="shared" si="39"/>
        <v>-7.6804915514594452E-4</v>
      </c>
    </row>
    <row r="1202" spans="2:8" x14ac:dyDescent="0.25">
      <c r="B1202" s="60">
        <v>45539</v>
      </c>
      <c r="C1202" s="5">
        <v>114.39</v>
      </c>
      <c r="D1202" s="54">
        <f t="shared" si="38"/>
        <v>-3.0503747603276565E-3</v>
      </c>
      <c r="F1202" s="59" t="s">
        <v>309</v>
      </c>
      <c r="G1202" s="5">
        <v>12.99</v>
      </c>
      <c r="H1202" s="54">
        <f t="shared" si="39"/>
        <v>-1.537279016141424E-3</v>
      </c>
    </row>
    <row r="1203" spans="2:8" x14ac:dyDescent="0.25">
      <c r="B1203" s="60">
        <v>45540</v>
      </c>
      <c r="C1203" s="5">
        <v>114.25</v>
      </c>
      <c r="D1203" s="54">
        <f t="shared" si="38"/>
        <v>-1.2238832065739613E-3</v>
      </c>
      <c r="F1203" s="59" t="s">
        <v>308</v>
      </c>
      <c r="G1203" s="5">
        <v>12.98</v>
      </c>
      <c r="H1203" s="54">
        <f t="shared" si="39"/>
        <v>-7.698229407235857E-4</v>
      </c>
    </row>
    <row r="1204" spans="2:8" x14ac:dyDescent="0.25">
      <c r="B1204" s="60">
        <v>45541</v>
      </c>
      <c r="C1204" s="5">
        <v>112.31</v>
      </c>
      <c r="D1204" s="54">
        <f t="shared" si="38"/>
        <v>-1.6980306345732998E-2</v>
      </c>
      <c r="F1204" s="59" t="s">
        <v>307</v>
      </c>
      <c r="G1204" s="5">
        <v>12.98</v>
      </c>
      <c r="H1204" s="54">
        <f t="shared" si="39"/>
        <v>0</v>
      </c>
    </row>
    <row r="1205" spans="2:8" x14ac:dyDescent="0.25">
      <c r="B1205" s="60">
        <v>45544</v>
      </c>
      <c r="C1205" s="5">
        <v>113.47</v>
      </c>
      <c r="D1205" s="54">
        <f t="shared" si="38"/>
        <v>1.0328554892707675E-2</v>
      </c>
      <c r="F1205" s="59" t="s">
        <v>306</v>
      </c>
      <c r="G1205" s="5">
        <v>12.97</v>
      </c>
      <c r="H1205" s="54">
        <f t="shared" si="39"/>
        <v>-7.7041602465333092E-4</v>
      </c>
    </row>
    <row r="1206" spans="2:8" x14ac:dyDescent="0.25">
      <c r="B1206" s="60">
        <v>45545</v>
      </c>
      <c r="C1206" s="5">
        <v>113.63</v>
      </c>
      <c r="D1206" s="54">
        <f t="shared" si="38"/>
        <v>1.4100643341852237E-3</v>
      </c>
      <c r="F1206" s="59" t="s">
        <v>305</v>
      </c>
      <c r="G1206" s="5">
        <v>13.01</v>
      </c>
      <c r="H1206" s="54">
        <f t="shared" si="39"/>
        <v>3.0840400925211675E-3</v>
      </c>
    </row>
    <row r="1207" spans="2:8" x14ac:dyDescent="0.25">
      <c r="B1207" s="60">
        <v>45546</v>
      </c>
      <c r="C1207" s="5">
        <v>114.63</v>
      </c>
      <c r="D1207" s="54">
        <f t="shared" si="38"/>
        <v>8.8004928275984273E-3</v>
      </c>
      <c r="F1207" s="59" t="s">
        <v>304</v>
      </c>
      <c r="G1207" s="5">
        <v>13.08</v>
      </c>
      <c r="H1207" s="54">
        <f t="shared" si="39"/>
        <v>5.3804765564950952E-3</v>
      </c>
    </row>
    <row r="1208" spans="2:8" x14ac:dyDescent="0.25">
      <c r="B1208" s="60">
        <v>45547</v>
      </c>
      <c r="C1208" s="5">
        <v>115.63</v>
      </c>
      <c r="D1208" s="54">
        <f t="shared" si="38"/>
        <v>8.7237197941201217E-3</v>
      </c>
      <c r="F1208" s="59" t="s">
        <v>303</v>
      </c>
      <c r="G1208" s="5">
        <v>13.08</v>
      </c>
      <c r="H1208" s="54">
        <f t="shared" si="39"/>
        <v>0</v>
      </c>
    </row>
    <row r="1209" spans="2:8" x14ac:dyDescent="0.25">
      <c r="B1209" s="60">
        <v>45548</v>
      </c>
      <c r="C1209" s="5">
        <v>116.21</v>
      </c>
      <c r="D1209" s="54">
        <f t="shared" si="38"/>
        <v>5.0159993081380083E-3</v>
      </c>
      <c r="F1209" s="59" t="s">
        <v>302</v>
      </c>
      <c r="G1209" s="5">
        <v>13.09</v>
      </c>
      <c r="H1209" s="54">
        <f t="shared" si="39"/>
        <v>7.6452599388376896E-4</v>
      </c>
    </row>
    <row r="1210" spans="2:8" x14ac:dyDescent="0.25">
      <c r="B1210" s="60">
        <v>45551</v>
      </c>
      <c r="C1210" s="5">
        <v>116.61</v>
      </c>
      <c r="D1210" s="54">
        <f t="shared" si="38"/>
        <v>3.4420445744773875E-3</v>
      </c>
      <c r="F1210" s="59" t="s">
        <v>301</v>
      </c>
      <c r="G1210" s="5">
        <v>13.09</v>
      </c>
      <c r="H1210" s="54">
        <f t="shared" si="39"/>
        <v>0</v>
      </c>
    </row>
    <row r="1211" spans="2:8" x14ac:dyDescent="0.25">
      <c r="B1211" s="60">
        <v>45552</v>
      </c>
      <c r="C1211" s="5">
        <v>116.49</v>
      </c>
      <c r="D1211" s="54">
        <f t="shared" si="38"/>
        <v>-1.0290712631849663E-3</v>
      </c>
      <c r="F1211" s="59" t="s">
        <v>300</v>
      </c>
      <c r="G1211" s="5">
        <v>13.16</v>
      </c>
      <c r="H1211" s="54">
        <f t="shared" si="39"/>
        <v>5.3475935828877219E-3</v>
      </c>
    </row>
    <row r="1212" spans="2:8" x14ac:dyDescent="0.25">
      <c r="B1212" s="60">
        <v>45553</v>
      </c>
      <c r="C1212" s="5">
        <v>116.16</v>
      </c>
      <c r="D1212" s="54">
        <f t="shared" si="38"/>
        <v>-2.8328611898016387E-3</v>
      </c>
      <c r="F1212" s="59" t="s">
        <v>299</v>
      </c>
      <c r="G1212" s="5">
        <v>13.14</v>
      </c>
      <c r="H1212" s="54">
        <f t="shared" si="39"/>
        <v>-1.5197568389057059E-3</v>
      </c>
    </row>
    <row r="1213" spans="2:8" x14ac:dyDescent="0.25">
      <c r="B1213" s="60">
        <v>45554</v>
      </c>
      <c r="C1213" s="5">
        <v>118.23</v>
      </c>
      <c r="D1213" s="54">
        <f t="shared" si="38"/>
        <v>1.7820247933884259E-2</v>
      </c>
      <c r="F1213" s="59" t="s">
        <v>298</v>
      </c>
      <c r="G1213" s="5">
        <v>13.2</v>
      </c>
      <c r="H1213" s="54">
        <f t="shared" si="39"/>
        <v>4.5662100456620447E-3</v>
      </c>
    </row>
    <row r="1214" spans="2:8" x14ac:dyDescent="0.25">
      <c r="B1214" s="60">
        <v>45555</v>
      </c>
      <c r="C1214" s="5">
        <v>117.76</v>
      </c>
      <c r="D1214" s="54">
        <f t="shared" si="38"/>
        <v>-3.9753023767232776E-3</v>
      </c>
      <c r="F1214" s="59" t="s">
        <v>297</v>
      </c>
      <c r="G1214" s="5">
        <v>13.23</v>
      </c>
      <c r="H1214" s="54">
        <f t="shared" si="39"/>
        <v>2.2727272727274261E-3</v>
      </c>
    </row>
    <row r="1215" spans="2:8" x14ac:dyDescent="0.25">
      <c r="B1215" s="60">
        <v>45558</v>
      </c>
      <c r="C1215" s="5">
        <v>118.21</v>
      </c>
      <c r="D1215" s="54">
        <f t="shared" si="38"/>
        <v>3.8213315217390242E-3</v>
      </c>
      <c r="F1215" s="59" t="s">
        <v>296</v>
      </c>
      <c r="G1215" s="5">
        <v>13.22</v>
      </c>
      <c r="H1215" s="54">
        <f t="shared" si="39"/>
        <v>-7.5585789871501774E-4</v>
      </c>
    </row>
    <row r="1216" spans="2:8" x14ac:dyDescent="0.25">
      <c r="B1216" s="60">
        <v>45559</v>
      </c>
      <c r="C1216" s="5">
        <v>119.02</v>
      </c>
      <c r="D1216" s="54">
        <f t="shared" si="38"/>
        <v>6.8522121647915935E-3</v>
      </c>
      <c r="F1216" s="59" t="s">
        <v>295</v>
      </c>
      <c r="G1216" s="5">
        <v>13.2</v>
      </c>
      <c r="H1216" s="54">
        <f t="shared" si="39"/>
        <v>-1.5128593040848459E-3</v>
      </c>
    </row>
    <row r="1217" spans="2:8" x14ac:dyDescent="0.25">
      <c r="B1217" s="60">
        <v>45560</v>
      </c>
      <c r="C1217" s="5">
        <v>118.52</v>
      </c>
      <c r="D1217" s="54">
        <f t="shared" si="38"/>
        <v>-4.2009746261132408E-3</v>
      </c>
      <c r="F1217" s="59" t="s">
        <v>294</v>
      </c>
      <c r="G1217" s="5">
        <v>13.17</v>
      </c>
      <c r="H1217" s="54">
        <f t="shared" si="39"/>
        <v>-2.2727272727272041E-3</v>
      </c>
    </row>
    <row r="1218" spans="2:8" x14ac:dyDescent="0.25">
      <c r="B1218" s="60">
        <v>45561</v>
      </c>
      <c r="C1218" s="5">
        <v>119.84</v>
      </c>
      <c r="D1218" s="54">
        <f t="shared" si="38"/>
        <v>1.1137360782990324E-2</v>
      </c>
      <c r="F1218" s="59" t="s">
        <v>293</v>
      </c>
      <c r="G1218" s="5">
        <v>13.18</v>
      </c>
      <c r="H1218" s="54">
        <f t="shared" si="39"/>
        <v>7.5930144267277733E-4</v>
      </c>
    </row>
    <row r="1219" spans="2:8" x14ac:dyDescent="0.25">
      <c r="B1219" s="60">
        <v>45562</v>
      </c>
      <c r="C1219" s="5">
        <v>119.56</v>
      </c>
      <c r="D1219" s="54">
        <f t="shared" si="38"/>
        <v>-2.3364485981308691E-3</v>
      </c>
      <c r="F1219" s="59" t="s">
        <v>292</v>
      </c>
      <c r="G1219" s="5">
        <v>13.17</v>
      </c>
      <c r="H1219" s="54">
        <f t="shared" si="39"/>
        <v>-7.587253414264028E-4</v>
      </c>
    </row>
    <row r="1220" spans="2:8" x14ac:dyDescent="0.25">
      <c r="B1220" s="60">
        <v>45565</v>
      </c>
      <c r="C1220" s="5">
        <v>119.55</v>
      </c>
      <c r="D1220" s="54">
        <f t="shared" si="38"/>
        <v>-8.3640013382457745E-5</v>
      </c>
      <c r="F1220" s="59" t="s">
        <v>291</v>
      </c>
      <c r="G1220" s="5">
        <v>13.19</v>
      </c>
      <c r="H1220" s="54">
        <f t="shared" si="39"/>
        <v>1.5186028853455547E-3</v>
      </c>
    </row>
    <row r="1221" spans="2:8" x14ac:dyDescent="0.25">
      <c r="B1221" s="60">
        <v>45566</v>
      </c>
      <c r="C1221" s="5">
        <v>118.79</v>
      </c>
      <c r="D1221" s="54">
        <f t="shared" si="38"/>
        <v>-6.3571727310748338E-3</v>
      </c>
      <c r="F1221" s="59" t="s">
        <v>290</v>
      </c>
      <c r="G1221" s="5">
        <v>13.23</v>
      </c>
      <c r="H1221" s="54">
        <f t="shared" si="39"/>
        <v>3.0326004548901775E-3</v>
      </c>
    </row>
    <row r="1222" spans="2:8" x14ac:dyDescent="0.25">
      <c r="B1222" s="60">
        <v>45567</v>
      </c>
      <c r="C1222" s="5">
        <v>119.07</v>
      </c>
      <c r="D1222" s="54">
        <f t="shared" si="38"/>
        <v>2.3571007660576626E-3</v>
      </c>
      <c r="F1222" s="59" t="s">
        <v>289</v>
      </c>
      <c r="G1222" s="5">
        <v>13.2</v>
      </c>
      <c r="H1222" s="54">
        <f t="shared" si="39"/>
        <v>-2.2675736961451642E-3</v>
      </c>
    </row>
    <row r="1223" spans="2:8" x14ac:dyDescent="0.25">
      <c r="B1223" s="60">
        <v>45568</v>
      </c>
      <c r="C1223" s="5">
        <v>118.48</v>
      </c>
      <c r="D1223" s="54">
        <f t="shared" si="38"/>
        <v>-4.955068447131894E-3</v>
      </c>
      <c r="F1223" s="59" t="s">
        <v>288</v>
      </c>
      <c r="G1223" s="5">
        <v>13.24</v>
      </c>
      <c r="H1223" s="54">
        <f t="shared" si="39"/>
        <v>3.0303030303031608E-3</v>
      </c>
    </row>
    <row r="1224" spans="2:8" x14ac:dyDescent="0.25">
      <c r="B1224" s="60">
        <v>45569</v>
      </c>
      <c r="C1224" s="5">
        <v>119.48</v>
      </c>
      <c r="D1224" s="54">
        <f t="shared" si="38"/>
        <v>8.4402430790007088E-3</v>
      </c>
      <c r="F1224" s="59" t="s">
        <v>287</v>
      </c>
      <c r="G1224" s="5">
        <v>13.21</v>
      </c>
      <c r="H1224" s="54">
        <f t="shared" si="39"/>
        <v>-2.2658610271902857E-3</v>
      </c>
    </row>
    <row r="1225" spans="2:8" x14ac:dyDescent="0.25">
      <c r="B1225" s="60">
        <v>45572</v>
      </c>
      <c r="C1225" s="5">
        <v>118.73</v>
      </c>
      <c r="D1225" s="54">
        <f t="shared" si="38"/>
        <v>-6.2772012052226822E-3</v>
      </c>
      <c r="F1225" s="59" t="s">
        <v>286</v>
      </c>
      <c r="G1225" s="5">
        <v>13.19</v>
      </c>
      <c r="H1225" s="54">
        <f t="shared" si="39"/>
        <v>-1.5140045420137804E-3</v>
      </c>
    </row>
    <row r="1226" spans="2:8" x14ac:dyDescent="0.25">
      <c r="B1226" s="60">
        <v>45573</v>
      </c>
      <c r="C1226" s="5">
        <v>119.04</v>
      </c>
      <c r="D1226" s="54">
        <f t="shared" ref="D1226:D1284" si="40">C1226/C1225-1</f>
        <v>2.6109660574413773E-3</v>
      </c>
      <c r="F1226" s="59" t="s">
        <v>285</v>
      </c>
      <c r="G1226" s="5">
        <v>13.13</v>
      </c>
      <c r="H1226" s="54">
        <f t="shared" si="39"/>
        <v>-4.5489006823350442E-3</v>
      </c>
    </row>
    <row r="1227" spans="2:8" x14ac:dyDescent="0.25">
      <c r="B1227" s="60">
        <v>45574</v>
      </c>
      <c r="C1227" s="5">
        <v>119.53</v>
      </c>
      <c r="D1227" s="54">
        <f t="shared" si="40"/>
        <v>4.1162634408602461E-3</v>
      </c>
      <c r="F1227" s="59" t="s">
        <v>284</v>
      </c>
      <c r="G1227" s="5">
        <v>13.08</v>
      </c>
      <c r="H1227" s="54">
        <f t="shared" si="39"/>
        <v>-3.8080731150038627E-3</v>
      </c>
    </row>
    <row r="1228" spans="2:8" x14ac:dyDescent="0.25">
      <c r="B1228" s="60">
        <v>45575</v>
      </c>
      <c r="C1228" s="5">
        <v>119.41</v>
      </c>
      <c r="D1228" s="54">
        <f t="shared" si="40"/>
        <v>-1.0039320672634577E-3</v>
      </c>
      <c r="F1228" s="59" t="s">
        <v>283</v>
      </c>
      <c r="G1228" s="5">
        <v>12.98</v>
      </c>
      <c r="H1228" s="54">
        <f t="shared" ref="H1228:H1284" si="41">G1228/G1227-1</f>
        <v>-7.6452599388379117E-3</v>
      </c>
    </row>
    <row r="1229" spans="2:8" x14ac:dyDescent="0.25">
      <c r="B1229" s="60">
        <v>45576</v>
      </c>
      <c r="C1229" s="5">
        <v>120.16</v>
      </c>
      <c r="D1229" s="54">
        <f t="shared" si="40"/>
        <v>6.2808809982413116E-3</v>
      </c>
      <c r="F1229" s="59" t="s">
        <v>282</v>
      </c>
      <c r="G1229" s="5">
        <v>12.92</v>
      </c>
      <c r="H1229" s="54">
        <f t="shared" si="41"/>
        <v>-4.6224961479198745E-3</v>
      </c>
    </row>
    <row r="1230" spans="2:8" x14ac:dyDescent="0.25">
      <c r="B1230" s="60">
        <v>45579</v>
      </c>
      <c r="C1230" s="5">
        <v>120.78</v>
      </c>
      <c r="D1230" s="54">
        <f t="shared" si="40"/>
        <v>5.1597869507324923E-3</v>
      </c>
      <c r="F1230" s="59" t="s">
        <v>281</v>
      </c>
      <c r="G1230" s="5">
        <v>12.89</v>
      </c>
      <c r="H1230" s="54">
        <f t="shared" si="41"/>
        <v>-2.3219814241485226E-3</v>
      </c>
    </row>
    <row r="1231" spans="2:8" x14ac:dyDescent="0.25">
      <c r="B1231" s="60">
        <v>45580</v>
      </c>
      <c r="C1231" s="5">
        <v>119.52</v>
      </c>
      <c r="D1231" s="54">
        <f t="shared" si="40"/>
        <v>-1.0432190760059634E-2</v>
      </c>
      <c r="F1231" s="59" t="s">
        <v>280</v>
      </c>
      <c r="G1231" s="5">
        <v>12.88</v>
      </c>
      <c r="H1231" s="54">
        <f t="shared" si="41"/>
        <v>-7.7579519006976128E-4</v>
      </c>
    </row>
    <row r="1232" spans="2:8" x14ac:dyDescent="0.25">
      <c r="B1232" s="60">
        <v>45581</v>
      </c>
      <c r="C1232" s="5">
        <v>120</v>
      </c>
      <c r="D1232" s="54">
        <f t="shared" si="40"/>
        <v>4.0160642570281624E-3</v>
      </c>
      <c r="F1232" s="59" t="s">
        <v>279</v>
      </c>
      <c r="G1232" s="5">
        <v>12.86</v>
      </c>
      <c r="H1232" s="54">
        <f t="shared" si="41"/>
        <v>-1.5527950310559868E-3</v>
      </c>
    </row>
    <row r="1233" spans="2:8" x14ac:dyDescent="0.25">
      <c r="B1233" s="60">
        <v>45582</v>
      </c>
      <c r="C1233" s="5">
        <v>119.95</v>
      </c>
      <c r="D1233" s="54">
        <f t="shared" si="40"/>
        <v>-4.1666666666662078E-4</v>
      </c>
      <c r="F1233" s="59" t="s">
        <v>278</v>
      </c>
      <c r="G1233" s="5">
        <v>12.87</v>
      </c>
      <c r="H1233" s="54">
        <f t="shared" si="41"/>
        <v>7.7760497667189732E-4</v>
      </c>
    </row>
    <row r="1234" spans="2:8" x14ac:dyDescent="0.25">
      <c r="B1234" s="60">
        <v>45583</v>
      </c>
      <c r="C1234" s="5">
        <v>120.65</v>
      </c>
      <c r="D1234" s="54">
        <f t="shared" si="40"/>
        <v>5.8357649020426283E-3</v>
      </c>
      <c r="F1234" s="59" t="s">
        <v>277</v>
      </c>
      <c r="G1234" s="5">
        <v>12.88</v>
      </c>
      <c r="H1234" s="54">
        <f t="shared" si="41"/>
        <v>7.7700077700093573E-4</v>
      </c>
    </row>
    <row r="1235" spans="2:8" x14ac:dyDescent="0.25">
      <c r="B1235" s="60">
        <v>45586</v>
      </c>
      <c r="C1235" s="5">
        <v>120.07</v>
      </c>
      <c r="D1235" s="54">
        <f t="shared" si="40"/>
        <v>-4.8072938251140229E-3</v>
      </c>
      <c r="F1235" s="59" t="s">
        <v>276</v>
      </c>
      <c r="G1235" s="5">
        <v>12.9</v>
      </c>
      <c r="H1235" s="54">
        <f t="shared" si="41"/>
        <v>1.5527950310558758E-3</v>
      </c>
    </row>
    <row r="1236" spans="2:8" x14ac:dyDescent="0.25">
      <c r="B1236" s="60">
        <v>45587</v>
      </c>
      <c r="C1236" s="5">
        <v>119.81</v>
      </c>
      <c r="D1236" s="54">
        <f t="shared" si="40"/>
        <v>-2.1654035146163597E-3</v>
      </c>
      <c r="F1236" s="59" t="s">
        <v>275</v>
      </c>
      <c r="G1236" s="5">
        <v>12.87</v>
      </c>
      <c r="H1236" s="54">
        <f t="shared" si="41"/>
        <v>-2.3255813953488857E-3</v>
      </c>
    </row>
    <row r="1237" spans="2:8" x14ac:dyDescent="0.25">
      <c r="B1237" s="60">
        <v>45588</v>
      </c>
      <c r="C1237" s="5">
        <v>118.75</v>
      </c>
      <c r="D1237" s="54">
        <f t="shared" si="40"/>
        <v>-8.8473416242383918E-3</v>
      </c>
      <c r="F1237" s="59" t="s">
        <v>274</v>
      </c>
      <c r="G1237" s="5">
        <v>12.89</v>
      </c>
      <c r="H1237" s="54">
        <f t="shared" si="41"/>
        <v>1.5540015540016494E-3</v>
      </c>
    </row>
    <row r="1238" spans="2:8" x14ac:dyDescent="0.25">
      <c r="B1238" s="60">
        <v>45589</v>
      </c>
      <c r="C1238" s="5">
        <v>119.03</v>
      </c>
      <c r="D1238" s="54">
        <f t="shared" si="40"/>
        <v>2.3578947368421144E-3</v>
      </c>
      <c r="F1238" s="59" t="s">
        <v>273</v>
      </c>
      <c r="G1238" s="5">
        <v>12.84</v>
      </c>
      <c r="H1238" s="54">
        <f t="shared" si="41"/>
        <v>-3.8789759503491394E-3</v>
      </c>
    </row>
    <row r="1239" spans="2:8" x14ac:dyDescent="0.25">
      <c r="B1239" s="60">
        <v>45590</v>
      </c>
      <c r="C1239" s="5">
        <v>118.82</v>
      </c>
      <c r="D1239" s="54">
        <f t="shared" si="40"/>
        <v>-1.7642611106444273E-3</v>
      </c>
      <c r="F1239" s="59" t="s">
        <v>272</v>
      </c>
      <c r="G1239" s="5">
        <v>12.78</v>
      </c>
      <c r="H1239" s="54">
        <f t="shared" si="41"/>
        <v>-4.6728971962617383E-3</v>
      </c>
    </row>
    <row r="1240" spans="2:8" x14ac:dyDescent="0.25">
      <c r="B1240" s="60">
        <v>45593</v>
      </c>
      <c r="C1240" s="5">
        <v>119.44</v>
      </c>
      <c r="D1240" s="54">
        <f t="shared" si="40"/>
        <v>5.2179767715874181E-3</v>
      </c>
      <c r="F1240" s="59" t="s">
        <v>271</v>
      </c>
      <c r="G1240" s="5">
        <v>12.73</v>
      </c>
      <c r="H1240" s="54">
        <f t="shared" si="41"/>
        <v>-3.9123630672925902E-3</v>
      </c>
    </row>
    <row r="1241" spans="2:8" x14ac:dyDescent="0.25">
      <c r="B1241" s="60">
        <v>45594</v>
      </c>
      <c r="C1241" s="5">
        <v>119.37</v>
      </c>
      <c r="D1241" s="54">
        <f t="shared" si="40"/>
        <v>-5.8606831882113131E-4</v>
      </c>
      <c r="F1241" s="59" t="s">
        <v>270</v>
      </c>
      <c r="G1241" s="5">
        <v>12.76</v>
      </c>
      <c r="H1241" s="54">
        <f t="shared" si="41"/>
        <v>2.3566378633148588E-3</v>
      </c>
    </row>
    <row r="1242" spans="2:8" x14ac:dyDescent="0.25">
      <c r="B1242" s="60">
        <v>45595</v>
      </c>
      <c r="C1242" s="5">
        <v>118.84</v>
      </c>
      <c r="D1242" s="54">
        <f t="shared" si="40"/>
        <v>-4.4399765435201299E-3</v>
      </c>
      <c r="F1242" s="59" t="s">
        <v>269</v>
      </c>
      <c r="G1242" s="5">
        <v>12.78</v>
      </c>
      <c r="H1242" s="54">
        <f t="shared" si="41"/>
        <v>1.5673981191222097E-3</v>
      </c>
    </row>
    <row r="1243" spans="2:8" x14ac:dyDescent="0.25">
      <c r="B1243" s="60">
        <v>45596</v>
      </c>
      <c r="C1243" s="5">
        <v>117.05</v>
      </c>
      <c r="D1243" s="54">
        <f t="shared" si="40"/>
        <v>-1.5062268596432227E-2</v>
      </c>
      <c r="F1243" s="59" t="s">
        <v>268</v>
      </c>
      <c r="G1243" s="5">
        <v>12.75</v>
      </c>
      <c r="H1243" s="54">
        <f t="shared" si="41"/>
        <v>-2.3474178403755097E-3</v>
      </c>
    </row>
    <row r="1244" spans="2:8" x14ac:dyDescent="0.25">
      <c r="B1244" s="60">
        <v>45597</v>
      </c>
      <c r="C1244" s="5">
        <v>117.5</v>
      </c>
      <c r="D1244" s="54">
        <f t="shared" si="40"/>
        <v>3.8445108927809279E-3</v>
      </c>
      <c r="F1244" s="59" t="s">
        <v>267</v>
      </c>
      <c r="G1244" s="5">
        <v>12.71</v>
      </c>
      <c r="H1244" s="54">
        <f t="shared" si="41"/>
        <v>-3.1372549019607066E-3</v>
      </c>
    </row>
    <row r="1245" spans="2:8" x14ac:dyDescent="0.25">
      <c r="B1245" s="60">
        <v>45600</v>
      </c>
      <c r="C1245" s="5">
        <v>117.48</v>
      </c>
      <c r="D1245" s="54">
        <f t="shared" si="40"/>
        <v>-1.7021276595741153E-4</v>
      </c>
      <c r="F1245" s="59" t="s">
        <v>266</v>
      </c>
      <c r="G1245" s="5">
        <v>12.73</v>
      </c>
      <c r="H1245" s="54">
        <f t="shared" si="41"/>
        <v>1.5735641227379027E-3</v>
      </c>
    </row>
    <row r="1246" spans="2:8" x14ac:dyDescent="0.25">
      <c r="B1246" s="60">
        <v>45601</v>
      </c>
      <c r="C1246" s="5">
        <v>118.85</v>
      </c>
      <c r="D1246" s="54">
        <f t="shared" si="40"/>
        <v>1.1661559414368305E-2</v>
      </c>
      <c r="F1246" s="59" t="s">
        <v>265</v>
      </c>
      <c r="G1246" s="5">
        <v>12.7</v>
      </c>
      <c r="H1246" s="54">
        <f t="shared" si="41"/>
        <v>-2.3566378633150808E-3</v>
      </c>
    </row>
    <row r="1247" spans="2:8" x14ac:dyDescent="0.25">
      <c r="B1247" s="60">
        <v>45602</v>
      </c>
      <c r="C1247" s="5">
        <v>120.27</v>
      </c>
      <c r="D1247" s="54">
        <f t="shared" si="40"/>
        <v>1.1947833403449737E-2</v>
      </c>
      <c r="F1247" s="59" t="s">
        <v>264</v>
      </c>
      <c r="G1247" s="5">
        <v>12.7</v>
      </c>
      <c r="H1247" s="54">
        <f t="shared" si="41"/>
        <v>0</v>
      </c>
    </row>
    <row r="1248" spans="2:8" x14ac:dyDescent="0.25">
      <c r="B1248" s="60">
        <v>45603</v>
      </c>
      <c r="C1248" s="5">
        <v>121.62</v>
      </c>
      <c r="D1248" s="54">
        <f t="shared" si="40"/>
        <v>1.122474432526821E-2</v>
      </c>
      <c r="F1248" s="59" t="s">
        <v>263</v>
      </c>
      <c r="G1248" s="5">
        <v>12.74</v>
      </c>
      <c r="H1248" s="54">
        <f t="shared" si="41"/>
        <v>3.1496062992126816E-3</v>
      </c>
    </row>
    <row r="1249" spans="2:8" x14ac:dyDescent="0.25">
      <c r="B1249" s="60">
        <v>45604</v>
      </c>
      <c r="C1249" s="5">
        <v>121.3</v>
      </c>
      <c r="D1249" s="54">
        <f t="shared" si="40"/>
        <v>-2.6311461930603741E-3</v>
      </c>
      <c r="F1249" s="59" t="s">
        <v>262</v>
      </c>
      <c r="G1249" s="5">
        <v>12.73</v>
      </c>
      <c r="H1249" s="54">
        <f t="shared" si="41"/>
        <v>-7.8492935635787742E-4</v>
      </c>
    </row>
    <row r="1250" spans="2:8" x14ac:dyDescent="0.25">
      <c r="B1250" s="60">
        <v>45607</v>
      </c>
      <c r="C1250" s="5">
        <v>121.45</v>
      </c>
      <c r="D1250" s="54">
        <f t="shared" si="40"/>
        <v>1.2366034624897715E-3</v>
      </c>
      <c r="F1250" s="59" t="s">
        <v>261</v>
      </c>
      <c r="G1250" s="5">
        <v>12.6</v>
      </c>
      <c r="H1250" s="54">
        <f t="shared" si="41"/>
        <v>-1.0212097407698462E-2</v>
      </c>
    </row>
    <row r="1251" spans="2:8" x14ac:dyDescent="0.25">
      <c r="B1251" s="60">
        <v>45608</v>
      </c>
      <c r="C1251" s="5">
        <v>120.55</v>
      </c>
      <c r="D1251" s="54">
        <f t="shared" si="40"/>
        <v>-7.4104569781803242E-3</v>
      </c>
      <c r="F1251" s="59" t="s">
        <v>260</v>
      </c>
      <c r="G1251" s="5">
        <v>12.67</v>
      </c>
      <c r="H1251" s="54">
        <f t="shared" si="41"/>
        <v>5.5555555555555358E-3</v>
      </c>
    </row>
    <row r="1252" spans="2:8" x14ac:dyDescent="0.25">
      <c r="B1252" s="60">
        <v>45609</v>
      </c>
      <c r="C1252" s="5">
        <v>120.31</v>
      </c>
      <c r="D1252" s="54">
        <f t="shared" si="40"/>
        <v>-1.9908751555370863E-3</v>
      </c>
      <c r="F1252" s="59" t="s">
        <v>259</v>
      </c>
      <c r="G1252" s="5">
        <v>12.7</v>
      </c>
      <c r="H1252" s="54">
        <f t="shared" si="41"/>
        <v>2.3677979479084232E-3</v>
      </c>
    </row>
    <row r="1253" spans="2:8" x14ac:dyDescent="0.25">
      <c r="B1253" s="60">
        <v>45610</v>
      </c>
      <c r="C1253" s="5">
        <v>119.75</v>
      </c>
      <c r="D1253" s="54">
        <f t="shared" si="40"/>
        <v>-4.6546421743828281E-3</v>
      </c>
      <c r="F1253" s="59" t="s">
        <v>258</v>
      </c>
      <c r="G1253" s="5">
        <v>12.64</v>
      </c>
      <c r="H1253" s="54">
        <f t="shared" si="41"/>
        <v>-4.7244094488188004E-3</v>
      </c>
    </row>
    <row r="1254" spans="2:8" x14ac:dyDescent="0.25">
      <c r="B1254" s="60">
        <v>45611</v>
      </c>
      <c r="C1254" s="5">
        <v>118.64</v>
      </c>
      <c r="D1254" s="54">
        <f t="shared" si="40"/>
        <v>-9.2693110647181776E-3</v>
      </c>
      <c r="F1254" s="59" t="s">
        <v>257</v>
      </c>
      <c r="G1254" s="5">
        <v>12.59</v>
      </c>
      <c r="H1254" s="54">
        <f t="shared" si="41"/>
        <v>-3.9556962025316666E-3</v>
      </c>
    </row>
    <row r="1255" spans="2:8" x14ac:dyDescent="0.25">
      <c r="B1255" s="60">
        <v>45614</v>
      </c>
      <c r="C1255" s="5">
        <v>119.23</v>
      </c>
      <c r="D1255" s="54">
        <f t="shared" si="40"/>
        <v>4.973027646662187E-3</v>
      </c>
      <c r="F1255" s="59" t="s">
        <v>256</v>
      </c>
      <c r="G1255" s="5">
        <v>12.56</v>
      </c>
      <c r="H1255" s="54">
        <f t="shared" si="41"/>
        <v>-2.3828435266083359E-3</v>
      </c>
    </row>
    <row r="1256" spans="2:8" x14ac:dyDescent="0.25">
      <c r="B1256" s="60">
        <v>45615</v>
      </c>
      <c r="C1256" s="5">
        <v>119.56</v>
      </c>
      <c r="D1256" s="54">
        <f t="shared" si="40"/>
        <v>2.7677597919986141E-3</v>
      </c>
      <c r="F1256" s="59" t="s">
        <v>255</v>
      </c>
      <c r="G1256" s="5">
        <v>12.55</v>
      </c>
      <c r="H1256" s="54">
        <f t="shared" si="41"/>
        <v>-7.9617834394907216E-4</v>
      </c>
    </row>
    <row r="1257" spans="2:8" x14ac:dyDescent="0.25">
      <c r="B1257" s="60">
        <v>45616</v>
      </c>
      <c r="C1257" s="5">
        <v>119.56</v>
      </c>
      <c r="D1257" s="54">
        <f t="shared" si="40"/>
        <v>0</v>
      </c>
      <c r="F1257" s="59" t="s">
        <v>254</v>
      </c>
      <c r="G1257" s="5">
        <v>12.56</v>
      </c>
      <c r="H1257" s="54">
        <f t="shared" si="41"/>
        <v>7.9681274900389454E-4</v>
      </c>
    </row>
    <row r="1258" spans="2:8" x14ac:dyDescent="0.25">
      <c r="B1258" s="60">
        <v>45617</v>
      </c>
      <c r="C1258" s="5">
        <v>120.01</v>
      </c>
      <c r="D1258" s="54">
        <f t="shared" si="40"/>
        <v>3.763800602208045E-3</v>
      </c>
      <c r="F1258" s="59" t="s">
        <v>253</v>
      </c>
      <c r="G1258" s="5">
        <v>12.59</v>
      </c>
      <c r="H1258" s="54">
        <f t="shared" si="41"/>
        <v>2.3885350318471055E-3</v>
      </c>
    </row>
    <row r="1259" spans="2:8" x14ac:dyDescent="0.25">
      <c r="B1259" s="60">
        <v>45618</v>
      </c>
      <c r="C1259" s="5">
        <v>120.44</v>
      </c>
      <c r="D1259" s="54">
        <f t="shared" si="40"/>
        <v>3.5830347471044188E-3</v>
      </c>
      <c r="F1259" s="59" t="s">
        <v>252</v>
      </c>
      <c r="G1259" s="5">
        <v>12.55</v>
      </c>
      <c r="H1259" s="54">
        <f t="shared" si="41"/>
        <v>-3.1771247021444848E-3</v>
      </c>
    </row>
    <row r="1260" spans="2:8" x14ac:dyDescent="0.25">
      <c r="B1260" s="60">
        <v>45621</v>
      </c>
      <c r="C1260" s="5">
        <v>120.86</v>
      </c>
      <c r="D1260" s="54">
        <f t="shared" si="40"/>
        <v>3.4872135503154489E-3</v>
      </c>
      <c r="F1260" s="59" t="s">
        <v>251</v>
      </c>
      <c r="G1260" s="5">
        <v>12.57</v>
      </c>
      <c r="H1260" s="54">
        <f t="shared" si="41"/>
        <v>1.5936254980080111E-3</v>
      </c>
    </row>
    <row r="1261" spans="2:8" x14ac:dyDescent="0.25">
      <c r="B1261" s="60">
        <v>45622</v>
      </c>
      <c r="C1261" s="5">
        <v>121.04</v>
      </c>
      <c r="D1261" s="54">
        <f t="shared" si="40"/>
        <v>1.4893264934636719E-3</v>
      </c>
      <c r="F1261" s="59" t="s">
        <v>250</v>
      </c>
      <c r="G1261" s="5">
        <v>12.53</v>
      </c>
      <c r="H1261" s="54">
        <f t="shared" si="41"/>
        <v>-3.1821797931583795E-3</v>
      </c>
    </row>
    <row r="1262" spans="2:8" x14ac:dyDescent="0.25">
      <c r="B1262" s="60">
        <v>45623</v>
      </c>
      <c r="C1262" s="5">
        <v>120.95</v>
      </c>
      <c r="D1262" s="54">
        <f t="shared" si="40"/>
        <v>-7.4355584930607677E-4</v>
      </c>
      <c r="F1262" s="59" t="s">
        <v>249</v>
      </c>
      <c r="G1262" s="5">
        <v>12.61</v>
      </c>
      <c r="H1262" s="54">
        <f t="shared" si="41"/>
        <v>6.384676775738285E-3</v>
      </c>
    </row>
    <row r="1263" spans="2:8" x14ac:dyDescent="0.25">
      <c r="B1263" s="60">
        <v>45625</v>
      </c>
      <c r="C1263" s="5">
        <v>121.77</v>
      </c>
      <c r="D1263" s="54">
        <f t="shared" si="40"/>
        <v>6.7796610169490457E-3</v>
      </c>
      <c r="F1263" s="59" t="s">
        <v>248</v>
      </c>
      <c r="G1263" s="5">
        <v>12.62</v>
      </c>
      <c r="H1263" s="54">
        <f t="shared" si="41"/>
        <v>7.9302141157810979E-4</v>
      </c>
    </row>
    <row r="1264" spans="2:8" x14ac:dyDescent="0.25">
      <c r="B1264" s="60">
        <v>45628</v>
      </c>
      <c r="C1264" s="5">
        <v>122.03</v>
      </c>
      <c r="D1264" s="54">
        <f t="shared" si="40"/>
        <v>2.1351728668801417E-3</v>
      </c>
      <c r="F1264" s="59" t="s">
        <v>247</v>
      </c>
      <c r="G1264" s="5">
        <v>12.67</v>
      </c>
      <c r="H1264" s="54">
        <f t="shared" si="41"/>
        <v>3.961965134706924E-3</v>
      </c>
    </row>
    <row r="1265" spans="2:8" x14ac:dyDescent="0.25">
      <c r="B1265" s="60">
        <v>45629</v>
      </c>
      <c r="C1265" s="5">
        <v>122.25</v>
      </c>
      <c r="D1265" s="54">
        <f t="shared" si="40"/>
        <v>1.8028353683521292E-3</v>
      </c>
      <c r="F1265" s="59" t="s">
        <v>246</v>
      </c>
      <c r="G1265" s="5">
        <v>12.73</v>
      </c>
      <c r="H1265" s="54">
        <f t="shared" si="41"/>
        <v>4.7355958958168465E-3</v>
      </c>
    </row>
    <row r="1266" spans="2:8" x14ac:dyDescent="0.25">
      <c r="B1266" s="60">
        <v>45630</v>
      </c>
      <c r="C1266" s="5">
        <v>122.9</v>
      </c>
      <c r="D1266" s="54">
        <f t="shared" si="40"/>
        <v>5.3169734151330417E-3</v>
      </c>
      <c r="F1266" s="59" t="s">
        <v>245</v>
      </c>
      <c r="G1266" s="5">
        <v>12.71</v>
      </c>
      <c r="H1266" s="54">
        <f t="shared" si="41"/>
        <v>-1.5710919088766095E-3</v>
      </c>
    </row>
    <row r="1267" spans="2:8" x14ac:dyDescent="0.25">
      <c r="B1267" s="60">
        <v>45631</v>
      </c>
      <c r="C1267" s="5">
        <v>122.97</v>
      </c>
      <c r="D1267" s="54">
        <f t="shared" si="40"/>
        <v>5.6956875508529237E-4</v>
      </c>
      <c r="F1267" s="59" t="s">
        <v>244</v>
      </c>
      <c r="G1267" s="5">
        <v>12.75</v>
      </c>
      <c r="H1267" s="54">
        <f t="shared" si="41"/>
        <v>3.1471282454760274E-3</v>
      </c>
    </row>
    <row r="1268" spans="2:8" x14ac:dyDescent="0.25">
      <c r="B1268" s="60">
        <v>45632</v>
      </c>
      <c r="C1268" s="5">
        <v>123.12</v>
      </c>
      <c r="D1268" s="54">
        <f t="shared" si="40"/>
        <v>1.2198097096853822E-3</v>
      </c>
      <c r="F1268" s="59" t="s">
        <v>243</v>
      </c>
      <c r="G1268" s="5">
        <v>12.73</v>
      </c>
      <c r="H1268" s="54">
        <f t="shared" si="41"/>
        <v>-1.5686274509804088E-3</v>
      </c>
    </row>
    <row r="1269" spans="2:8" x14ac:dyDescent="0.25">
      <c r="B1269" s="60">
        <v>45635</v>
      </c>
      <c r="C1269" s="5">
        <v>122.83</v>
      </c>
      <c r="D1269" s="54">
        <f t="shared" si="40"/>
        <v>-2.3554256010397401E-3</v>
      </c>
      <c r="F1269" s="59" t="s">
        <v>242</v>
      </c>
      <c r="G1269" s="5">
        <v>12.78</v>
      </c>
      <c r="H1269" s="54">
        <f t="shared" si="41"/>
        <v>3.9277297721915794E-3</v>
      </c>
    </row>
    <row r="1270" spans="2:8" x14ac:dyDescent="0.25">
      <c r="B1270" s="60">
        <v>45636</v>
      </c>
      <c r="C1270" s="5">
        <v>122.1</v>
      </c>
      <c r="D1270" s="54">
        <f t="shared" si="40"/>
        <v>-5.9431734918179435E-3</v>
      </c>
      <c r="F1270" s="59" t="s">
        <v>241</v>
      </c>
      <c r="G1270" s="5">
        <v>12.8</v>
      </c>
      <c r="H1270" s="54">
        <f t="shared" si="41"/>
        <v>1.5649452269170805E-3</v>
      </c>
    </row>
    <row r="1271" spans="2:8" x14ac:dyDescent="0.25">
      <c r="B1271" s="60">
        <v>45637</v>
      </c>
      <c r="C1271" s="5">
        <v>122.97</v>
      </c>
      <c r="D1271" s="54">
        <f t="shared" si="40"/>
        <v>7.1253071253072342E-3</v>
      </c>
      <c r="F1271" s="59" t="s">
        <v>240</v>
      </c>
      <c r="G1271" s="5">
        <v>12.8</v>
      </c>
      <c r="H1271" s="54">
        <f t="shared" si="41"/>
        <v>0</v>
      </c>
    </row>
    <row r="1272" spans="2:8" x14ac:dyDescent="0.25">
      <c r="B1272" s="60">
        <v>45638</v>
      </c>
      <c r="C1272" s="5">
        <v>122.2</v>
      </c>
      <c r="D1272" s="54">
        <f t="shared" si="40"/>
        <v>-6.2616898430510881E-3</v>
      </c>
      <c r="F1272" s="59" t="s">
        <v>239</v>
      </c>
      <c r="G1272" s="5">
        <v>12.76</v>
      </c>
      <c r="H1272" s="54">
        <f t="shared" si="41"/>
        <v>-3.1250000000000444E-3</v>
      </c>
    </row>
    <row r="1273" spans="2:8" x14ac:dyDescent="0.25">
      <c r="B1273" s="60">
        <v>45639</v>
      </c>
      <c r="C1273" s="5">
        <v>122.06</v>
      </c>
      <c r="D1273" s="54">
        <f t="shared" si="40"/>
        <v>-1.1456628477904962E-3</v>
      </c>
      <c r="F1273" s="59" t="s">
        <v>238</v>
      </c>
      <c r="G1273" s="5">
        <v>12.76</v>
      </c>
      <c r="H1273" s="54">
        <f t="shared" si="41"/>
        <v>0</v>
      </c>
    </row>
    <row r="1274" spans="2:8" x14ac:dyDescent="0.25">
      <c r="B1274" s="60">
        <v>45642</v>
      </c>
      <c r="C1274" s="5">
        <v>122.31</v>
      </c>
      <c r="D1274" s="54">
        <f t="shared" si="40"/>
        <v>2.0481730296575407E-3</v>
      </c>
      <c r="F1274" s="59" t="s">
        <v>237</v>
      </c>
      <c r="G1274" s="5">
        <v>12.73</v>
      </c>
      <c r="H1274" s="54">
        <f t="shared" si="41"/>
        <v>-2.3510971786833146E-3</v>
      </c>
    </row>
    <row r="1275" spans="2:8" x14ac:dyDescent="0.25">
      <c r="B1275" s="60">
        <v>45643</v>
      </c>
      <c r="C1275" s="5">
        <v>120.78</v>
      </c>
      <c r="D1275" s="54">
        <f t="shared" si="40"/>
        <v>-1.2509197939661543E-2</v>
      </c>
      <c r="F1275" s="59" t="s">
        <v>236</v>
      </c>
      <c r="G1275" s="5">
        <v>12.66</v>
      </c>
      <c r="H1275" s="54">
        <f t="shared" si="41"/>
        <v>-5.498821681068411E-3</v>
      </c>
    </row>
    <row r="1276" spans="2:8" x14ac:dyDescent="0.25">
      <c r="B1276" s="60">
        <v>45644</v>
      </c>
      <c r="C1276" s="5">
        <v>117.19</v>
      </c>
      <c r="D1276" s="54">
        <f t="shared" si="40"/>
        <v>-2.9723464149693735E-2</v>
      </c>
      <c r="F1276" s="59" t="s">
        <v>235</v>
      </c>
      <c r="G1276" s="5">
        <v>12.64</v>
      </c>
      <c r="H1276" s="54">
        <f t="shared" si="41"/>
        <v>-1.5797788309636074E-3</v>
      </c>
    </row>
    <row r="1277" spans="2:8" x14ac:dyDescent="0.25">
      <c r="B1277" s="60">
        <v>45645</v>
      </c>
      <c r="C1277" s="5">
        <v>117.2</v>
      </c>
      <c r="D1277" s="54">
        <f t="shared" si="40"/>
        <v>8.5331512927666608E-5</v>
      </c>
      <c r="F1277" s="59" t="s">
        <v>234</v>
      </c>
      <c r="G1277" s="5">
        <v>12.64</v>
      </c>
      <c r="H1277" s="54">
        <f t="shared" si="41"/>
        <v>0</v>
      </c>
    </row>
    <row r="1278" spans="2:8" x14ac:dyDescent="0.25">
      <c r="B1278" s="60">
        <v>45646</v>
      </c>
      <c r="C1278" s="5">
        <v>118.12</v>
      </c>
      <c r="D1278" s="54">
        <f t="shared" si="40"/>
        <v>7.8498293515358863E-3</v>
      </c>
      <c r="F1278" s="59" t="s">
        <v>233</v>
      </c>
      <c r="G1278" s="5">
        <v>12.63</v>
      </c>
      <c r="H1278" s="54">
        <f t="shared" si="41"/>
        <v>-7.9113924050633333E-4</v>
      </c>
    </row>
    <row r="1279" spans="2:8" x14ac:dyDescent="0.25">
      <c r="B1279" s="60">
        <v>45649</v>
      </c>
      <c r="C1279" s="5">
        <v>118.85</v>
      </c>
      <c r="D1279" s="54">
        <f t="shared" si="40"/>
        <v>6.1801557737892754E-3</v>
      </c>
      <c r="F1279" s="59" t="s">
        <v>232</v>
      </c>
      <c r="G1279" s="5">
        <v>12.49</v>
      </c>
      <c r="H1279" s="54">
        <f t="shared" si="41"/>
        <v>-1.1084718923198733E-2</v>
      </c>
    </row>
    <row r="1280" spans="2:8" x14ac:dyDescent="0.25">
      <c r="B1280" s="60">
        <v>45650</v>
      </c>
      <c r="C1280" s="5">
        <v>119.85</v>
      </c>
      <c r="D1280" s="54">
        <f t="shared" si="40"/>
        <v>8.413967185527893E-3</v>
      </c>
      <c r="F1280" s="59" t="s">
        <v>231</v>
      </c>
      <c r="G1280" s="5">
        <v>12.5</v>
      </c>
      <c r="H1280" s="54">
        <f t="shared" si="41"/>
        <v>8.0064051240991141E-4</v>
      </c>
    </row>
    <row r="1281" spans="2:8" x14ac:dyDescent="0.25">
      <c r="B1281" s="60">
        <v>45652</v>
      </c>
      <c r="C1281" s="5">
        <v>119.95</v>
      </c>
      <c r="D1281" s="54">
        <f t="shared" si="40"/>
        <v>8.3437630371308025E-4</v>
      </c>
      <c r="F1281" s="59" t="s">
        <v>230</v>
      </c>
      <c r="G1281" s="5">
        <v>12.49</v>
      </c>
      <c r="H1281" s="54">
        <f t="shared" si="41"/>
        <v>-8.0000000000002292E-4</v>
      </c>
    </row>
    <row r="1282" spans="2:8" x14ac:dyDescent="0.25">
      <c r="B1282" s="60">
        <v>45653</v>
      </c>
      <c r="C1282" s="5">
        <v>119.04</v>
      </c>
      <c r="D1282" s="54">
        <f t="shared" si="40"/>
        <v>-7.5864943726552392E-3</v>
      </c>
      <c r="F1282" s="59" t="s">
        <v>229</v>
      </c>
      <c r="G1282" s="5">
        <v>12.47</v>
      </c>
      <c r="H1282" s="54">
        <f t="shared" si="41"/>
        <v>-1.6012810248198228E-3</v>
      </c>
    </row>
    <row r="1283" spans="2:8" x14ac:dyDescent="0.25">
      <c r="B1283" s="60">
        <v>45656</v>
      </c>
      <c r="C1283" s="5">
        <v>117.82</v>
      </c>
      <c r="D1283" s="54">
        <f t="shared" si="40"/>
        <v>-1.024865591397861E-2</v>
      </c>
      <c r="F1283" s="59" t="s">
        <v>228</v>
      </c>
      <c r="G1283" s="5">
        <v>12.48</v>
      </c>
      <c r="H1283" s="54">
        <f t="shared" si="41"/>
        <v>8.0192461908579205E-4</v>
      </c>
    </row>
    <row r="1284" spans="2:8" x14ac:dyDescent="0.25">
      <c r="B1284" s="60">
        <v>45657</v>
      </c>
      <c r="C1284" s="5">
        <v>117.5</v>
      </c>
      <c r="D1284" s="54">
        <f t="shared" si="40"/>
        <v>-2.7160074690204539E-3</v>
      </c>
      <c r="F1284" s="59" t="s">
        <v>227</v>
      </c>
      <c r="G1284" s="5">
        <v>12.49</v>
      </c>
      <c r="H1284" s="54">
        <f t="shared" si="41"/>
        <v>8.0128205128193741E-4</v>
      </c>
    </row>
    <row r="1285" spans="2:8" x14ac:dyDescent="0.25">
      <c r="B1285" s="58"/>
      <c r="C1285" s="19"/>
      <c r="D1285" s="57"/>
      <c r="F1285" s="58"/>
      <c r="G1285" s="19"/>
      <c r="H1285" s="57"/>
    </row>
    <row r="1286" spans="2:8" x14ac:dyDescent="0.25">
      <c r="B1286" s="60">
        <v>45659</v>
      </c>
      <c r="C1286" s="5">
        <v>117.27</v>
      </c>
      <c r="D1286" s="54">
        <v>-2E-3</v>
      </c>
      <c r="F1286" s="84">
        <v>2025</v>
      </c>
      <c r="G1286" s="5">
        <v>12.45</v>
      </c>
      <c r="H1286" s="54">
        <v>-3.2000000000000002E-3</v>
      </c>
    </row>
    <row r="1287" spans="2:8" x14ac:dyDescent="0.25">
      <c r="B1287" s="60">
        <v>45660</v>
      </c>
      <c r="C1287" s="5">
        <v>118.49</v>
      </c>
      <c r="D1287" s="54">
        <f>C1287/C1286-1</f>
        <v>1.0403342713396491E-2</v>
      </c>
      <c r="F1287" s="84">
        <v>2025</v>
      </c>
      <c r="G1287" s="5">
        <v>12.44</v>
      </c>
      <c r="H1287" s="54">
        <v>-8.0000000000000004E-4</v>
      </c>
    </row>
    <row r="1288" spans="2:8" x14ac:dyDescent="0.25">
      <c r="B1288" s="60">
        <v>45663</v>
      </c>
      <c r="C1288" s="5">
        <v>119.31</v>
      </c>
      <c r="D1288" s="54">
        <f t="shared" ref="D1288:D1351" si="42">C1288/C1287-1</f>
        <v>6.9204152249136008E-3</v>
      </c>
      <c r="F1288" s="84">
        <v>2025</v>
      </c>
      <c r="G1288" s="5">
        <v>12.46</v>
      </c>
      <c r="H1288" s="54">
        <v>1.6000000000000001E-3</v>
      </c>
    </row>
    <row r="1289" spans="2:8" x14ac:dyDescent="0.25">
      <c r="B1289" s="60">
        <v>45664</v>
      </c>
      <c r="C1289" s="5">
        <v>118.16</v>
      </c>
      <c r="D1289" s="54">
        <f t="shared" si="42"/>
        <v>-9.6387561813763289E-3</v>
      </c>
      <c r="F1289" s="84">
        <v>2025</v>
      </c>
      <c r="G1289" s="5">
        <v>12.44</v>
      </c>
      <c r="H1289" s="54">
        <v>-1.6000000000000001E-3</v>
      </c>
    </row>
    <row r="1290" spans="2:8" x14ac:dyDescent="0.25">
      <c r="B1290" s="60">
        <v>45665</v>
      </c>
      <c r="C1290" s="5">
        <v>118.17</v>
      </c>
      <c r="D1290" s="54">
        <f t="shared" si="42"/>
        <v>8.4631008801627772E-5</v>
      </c>
      <c r="F1290" s="84">
        <v>2025</v>
      </c>
      <c r="G1290" s="5">
        <v>12.36</v>
      </c>
      <c r="H1290" s="54">
        <v>-6.4000000000000003E-3</v>
      </c>
    </row>
    <row r="1291" spans="2:8" x14ac:dyDescent="0.25">
      <c r="B1291" s="60">
        <v>45667</v>
      </c>
      <c r="C1291" s="5">
        <v>116.37</v>
      </c>
      <c r="D1291" s="54">
        <f t="shared" si="42"/>
        <v>-1.5232292460015229E-2</v>
      </c>
      <c r="F1291" s="84">
        <v>2025</v>
      </c>
      <c r="G1291" s="5">
        <v>12.37</v>
      </c>
      <c r="H1291" s="54">
        <v>8.0000000000000004E-4</v>
      </c>
    </row>
    <row r="1292" spans="2:8" x14ac:dyDescent="0.25">
      <c r="B1292" s="60">
        <v>45670</v>
      </c>
      <c r="C1292" s="5">
        <v>116.35</v>
      </c>
      <c r="D1292" s="54">
        <f t="shared" si="42"/>
        <v>-1.7186560110005189E-4</v>
      </c>
      <c r="F1292" s="84">
        <v>2025</v>
      </c>
      <c r="G1292" s="5">
        <v>12.31</v>
      </c>
      <c r="H1292" s="54">
        <v>-4.8999999999999998E-3</v>
      </c>
    </row>
    <row r="1293" spans="2:8" x14ac:dyDescent="0.25">
      <c r="B1293" s="60">
        <v>45671</v>
      </c>
      <c r="C1293" s="5">
        <v>116.68</v>
      </c>
      <c r="D1293" s="54">
        <f t="shared" si="42"/>
        <v>2.8362698753761073E-3</v>
      </c>
      <c r="F1293" s="84">
        <v>2025</v>
      </c>
      <c r="G1293" s="5">
        <v>12.26</v>
      </c>
      <c r="H1293" s="54">
        <v>-4.1000000000000003E-3</v>
      </c>
    </row>
    <row r="1294" spans="2:8" x14ac:dyDescent="0.25">
      <c r="B1294" s="60">
        <v>45672</v>
      </c>
      <c r="C1294" s="5">
        <v>118.58</v>
      </c>
      <c r="D1294" s="54">
        <f t="shared" si="42"/>
        <v>1.6283853273911575E-2</v>
      </c>
      <c r="F1294" s="84">
        <v>2025</v>
      </c>
      <c r="G1294" s="5">
        <v>12.26</v>
      </c>
      <c r="H1294" s="54">
        <v>0</v>
      </c>
    </row>
    <row r="1295" spans="2:8" x14ac:dyDescent="0.25">
      <c r="B1295" s="60">
        <v>45673</v>
      </c>
      <c r="C1295" s="5">
        <v>118.59</v>
      </c>
      <c r="D1295" s="54">
        <f t="shared" si="42"/>
        <v>8.433125316242851E-5</v>
      </c>
      <c r="F1295" s="84">
        <v>2025</v>
      </c>
      <c r="G1295" s="5">
        <v>12.36</v>
      </c>
      <c r="H1295" s="54">
        <v>8.2000000000000007E-3</v>
      </c>
    </row>
    <row r="1296" spans="2:8" x14ac:dyDescent="0.25">
      <c r="B1296" s="60">
        <v>45674</v>
      </c>
      <c r="C1296" s="5">
        <v>119.6</v>
      </c>
      <c r="D1296" s="54">
        <f t="shared" si="42"/>
        <v>8.5167383421873577E-3</v>
      </c>
      <c r="F1296" s="84">
        <v>2025</v>
      </c>
      <c r="G1296" s="5">
        <v>12.38</v>
      </c>
      <c r="H1296" s="54">
        <v>1.6000000000000001E-3</v>
      </c>
    </row>
    <row r="1297" spans="2:8" x14ac:dyDescent="0.25">
      <c r="B1297" s="60">
        <v>45678</v>
      </c>
      <c r="C1297" s="5">
        <v>120.96</v>
      </c>
      <c r="D1297" s="54">
        <f t="shared" si="42"/>
        <v>1.1371237458194017E-2</v>
      </c>
      <c r="F1297" s="84">
        <v>2025</v>
      </c>
      <c r="G1297" s="5">
        <v>12.41</v>
      </c>
      <c r="H1297" s="54">
        <v>2.3999999999999998E-3</v>
      </c>
    </row>
    <row r="1298" spans="2:8" x14ac:dyDescent="0.25">
      <c r="B1298" s="60">
        <v>45679</v>
      </c>
      <c r="C1298" s="5">
        <v>121.4</v>
      </c>
      <c r="D1298" s="54">
        <f t="shared" si="42"/>
        <v>3.6375661375662727E-3</v>
      </c>
      <c r="F1298" s="84">
        <v>2025</v>
      </c>
      <c r="G1298" s="5">
        <v>12.48</v>
      </c>
      <c r="H1298" s="54">
        <v>5.5999999999999999E-3</v>
      </c>
    </row>
    <row r="1299" spans="2:8" x14ac:dyDescent="0.25">
      <c r="B1299" s="60">
        <v>45680</v>
      </c>
      <c r="C1299" s="5">
        <v>122.07</v>
      </c>
      <c r="D1299" s="54">
        <f t="shared" si="42"/>
        <v>5.5189456342668031E-3</v>
      </c>
      <c r="F1299" s="84">
        <v>2025</v>
      </c>
      <c r="G1299" s="5">
        <v>12.51</v>
      </c>
      <c r="H1299" s="54">
        <v>2.3999999999999998E-3</v>
      </c>
    </row>
    <row r="1300" spans="2:8" x14ac:dyDescent="0.25">
      <c r="B1300" s="60">
        <v>45681</v>
      </c>
      <c r="C1300" s="5">
        <v>122.06</v>
      </c>
      <c r="D1300" s="54">
        <f t="shared" si="42"/>
        <v>-8.1920209715646841E-5</v>
      </c>
      <c r="F1300" s="84">
        <v>2025</v>
      </c>
      <c r="G1300" s="5">
        <v>12.47</v>
      </c>
      <c r="H1300" s="54">
        <v>-3.2000000000000002E-3</v>
      </c>
    </row>
    <row r="1301" spans="2:8" x14ac:dyDescent="0.25">
      <c r="B1301" s="60">
        <v>45684</v>
      </c>
      <c r="C1301" s="5">
        <v>120.6</v>
      </c>
      <c r="D1301" s="54">
        <f t="shared" si="42"/>
        <v>-1.196133049320014E-2</v>
      </c>
      <c r="F1301" s="84">
        <v>2025</v>
      </c>
      <c r="G1301" s="5">
        <v>12.51</v>
      </c>
      <c r="H1301" s="54">
        <v>3.2000000000000002E-3</v>
      </c>
    </row>
    <row r="1302" spans="2:8" x14ac:dyDescent="0.25">
      <c r="B1302" s="60">
        <v>45685</v>
      </c>
      <c r="C1302" s="5">
        <v>121.4</v>
      </c>
      <c r="D1302" s="54">
        <f t="shared" si="42"/>
        <v>6.6334991708127955E-3</v>
      </c>
      <c r="F1302" s="84">
        <v>2025</v>
      </c>
      <c r="G1302" s="5">
        <v>12.55</v>
      </c>
      <c r="H1302" s="54">
        <v>3.2000000000000002E-3</v>
      </c>
    </row>
    <row r="1303" spans="2:8" x14ac:dyDescent="0.25">
      <c r="B1303" s="60">
        <v>45686</v>
      </c>
      <c r="C1303" s="5">
        <v>121.04</v>
      </c>
      <c r="D1303" s="54">
        <f t="shared" si="42"/>
        <v>-2.9654036243822457E-3</v>
      </c>
      <c r="F1303" s="84">
        <v>2025</v>
      </c>
      <c r="G1303" s="5">
        <v>12.53</v>
      </c>
      <c r="H1303" s="54">
        <v>-1.6000000000000001E-3</v>
      </c>
    </row>
    <row r="1304" spans="2:8" x14ac:dyDescent="0.25">
      <c r="B1304" s="60">
        <v>45687</v>
      </c>
      <c r="C1304" s="5">
        <v>121.97</v>
      </c>
      <c r="D1304" s="54">
        <f t="shared" si="42"/>
        <v>7.6834104428287198E-3</v>
      </c>
      <c r="F1304" s="84">
        <v>2025</v>
      </c>
      <c r="G1304" s="5">
        <v>12.53</v>
      </c>
      <c r="H1304" s="54">
        <v>0</v>
      </c>
    </row>
    <row r="1305" spans="2:8" x14ac:dyDescent="0.25">
      <c r="B1305" s="60">
        <v>45688</v>
      </c>
      <c r="C1305" s="5">
        <v>121.19</v>
      </c>
      <c r="D1305" s="54">
        <f t="shared" si="42"/>
        <v>-6.3950151676641642E-3</v>
      </c>
      <c r="F1305" s="84">
        <v>2025</v>
      </c>
      <c r="G1305" s="5">
        <v>12.56</v>
      </c>
      <c r="H1305" s="54">
        <v>2.3999999999999998E-3</v>
      </c>
    </row>
    <row r="1306" spans="2:8" x14ac:dyDescent="0.25">
      <c r="B1306" s="60">
        <v>45691</v>
      </c>
      <c r="C1306" s="5">
        <v>120.21</v>
      </c>
      <c r="D1306" s="54">
        <f t="shared" si="42"/>
        <v>-8.0864757818301936E-3</v>
      </c>
      <c r="F1306" s="84">
        <v>2025</v>
      </c>
      <c r="G1306" s="5">
        <v>12.54</v>
      </c>
      <c r="H1306" s="54">
        <v>-1.6000000000000001E-3</v>
      </c>
    </row>
    <row r="1307" spans="2:8" x14ac:dyDescent="0.25">
      <c r="B1307" s="60">
        <v>45692</v>
      </c>
      <c r="C1307" s="5">
        <v>121.3</v>
      </c>
      <c r="D1307" s="54">
        <f t="shared" si="42"/>
        <v>9.0674652691125068E-3</v>
      </c>
      <c r="F1307" s="84">
        <v>2025</v>
      </c>
      <c r="G1307" s="5">
        <v>12.49</v>
      </c>
      <c r="H1307" s="54">
        <v>-4.0000000000000001E-3</v>
      </c>
    </row>
    <row r="1308" spans="2:8" x14ac:dyDescent="0.25">
      <c r="B1308" s="60">
        <v>45693</v>
      </c>
      <c r="C1308" s="5">
        <v>121.89</v>
      </c>
      <c r="D1308" s="54">
        <f t="shared" si="42"/>
        <v>4.8639736191262717E-3</v>
      </c>
      <c r="F1308" s="84">
        <v>2025</v>
      </c>
      <c r="G1308" s="5">
        <v>12.54</v>
      </c>
      <c r="H1308" s="54">
        <v>4.0000000000000001E-3</v>
      </c>
    </row>
    <row r="1309" spans="2:8" x14ac:dyDescent="0.25">
      <c r="B1309" s="60">
        <v>45694</v>
      </c>
      <c r="C1309" s="5">
        <v>122.31</v>
      </c>
      <c r="D1309" s="54">
        <f t="shared" si="42"/>
        <v>3.4457297563377232E-3</v>
      </c>
      <c r="F1309" s="84">
        <v>2025</v>
      </c>
      <c r="G1309" s="5">
        <v>12.64</v>
      </c>
      <c r="H1309" s="54">
        <v>8.0000000000000002E-3</v>
      </c>
    </row>
    <row r="1310" spans="2:8" x14ac:dyDescent="0.25">
      <c r="B1310" s="60">
        <v>45695</v>
      </c>
      <c r="C1310" s="5">
        <v>121.33</v>
      </c>
      <c r="D1310" s="54">
        <f t="shared" si="42"/>
        <v>-8.0124274384760774E-3</v>
      </c>
      <c r="F1310" s="84">
        <v>2025</v>
      </c>
      <c r="G1310" s="5">
        <v>12.64</v>
      </c>
      <c r="H1310" s="54">
        <v>0</v>
      </c>
    </row>
    <row r="1311" spans="2:8" x14ac:dyDescent="0.25">
      <c r="B1311" s="60">
        <v>45698</v>
      </c>
      <c r="C1311" s="5">
        <v>122.31</v>
      </c>
      <c r="D1311" s="54">
        <f t="shared" si="42"/>
        <v>8.0771449765104641E-3</v>
      </c>
      <c r="F1311" s="84">
        <v>2025</v>
      </c>
      <c r="G1311" s="5">
        <v>12.64</v>
      </c>
      <c r="H1311" s="54">
        <v>0</v>
      </c>
    </row>
    <row r="1312" spans="2:8" x14ac:dyDescent="0.25">
      <c r="B1312" s="60">
        <v>45699</v>
      </c>
      <c r="C1312" s="5">
        <v>122.33</v>
      </c>
      <c r="D1312" s="54">
        <f t="shared" si="42"/>
        <v>1.6351892731569784E-4</v>
      </c>
      <c r="F1312" s="84">
        <v>2025</v>
      </c>
      <c r="G1312" s="5">
        <v>12.6</v>
      </c>
      <c r="H1312" s="54">
        <v>-3.2000000000000002E-3</v>
      </c>
    </row>
    <row r="1313" spans="2:8" x14ac:dyDescent="0.25">
      <c r="B1313" s="60">
        <v>45700</v>
      </c>
      <c r="C1313" s="5">
        <v>122.22</v>
      </c>
      <c r="D1313" s="54">
        <f t="shared" si="42"/>
        <v>-8.99207062862728E-4</v>
      </c>
      <c r="F1313" s="84">
        <v>2025</v>
      </c>
      <c r="G1313" s="5">
        <v>12.58</v>
      </c>
      <c r="H1313" s="54">
        <v>-1.6000000000000001E-3</v>
      </c>
    </row>
    <row r="1314" spans="2:8" x14ac:dyDescent="0.25">
      <c r="B1314" s="60">
        <v>45701</v>
      </c>
      <c r="C1314" s="5">
        <v>123.64</v>
      </c>
      <c r="D1314" s="54">
        <f t="shared" si="42"/>
        <v>1.1618393061691989E-2</v>
      </c>
      <c r="F1314" s="84">
        <v>2025</v>
      </c>
      <c r="G1314" s="5">
        <v>12.54</v>
      </c>
      <c r="H1314" s="54">
        <v>-3.2000000000000002E-3</v>
      </c>
    </row>
    <row r="1315" spans="2:8" x14ac:dyDescent="0.25">
      <c r="B1315" s="60">
        <v>45702</v>
      </c>
      <c r="C1315" s="5">
        <v>123.62</v>
      </c>
      <c r="D1315" s="54">
        <f t="shared" si="42"/>
        <v>-1.6175994823675044E-4</v>
      </c>
      <c r="F1315" s="84">
        <v>2025</v>
      </c>
      <c r="G1315" s="5">
        <v>12.57</v>
      </c>
      <c r="H1315" s="54">
        <v>2.3999999999999998E-3</v>
      </c>
    </row>
    <row r="1316" spans="2:8" x14ac:dyDescent="0.25">
      <c r="B1316" s="60">
        <v>45706</v>
      </c>
      <c r="C1316" s="5">
        <v>124.13</v>
      </c>
      <c r="D1316" s="54">
        <f t="shared" si="42"/>
        <v>4.1255460281506284E-3</v>
      </c>
      <c r="F1316" s="84">
        <v>2025</v>
      </c>
      <c r="G1316" s="5">
        <v>12.67</v>
      </c>
      <c r="H1316" s="54">
        <v>8.0000000000000002E-3</v>
      </c>
    </row>
    <row r="1317" spans="2:8" x14ac:dyDescent="0.25">
      <c r="B1317" s="60">
        <v>45707</v>
      </c>
      <c r="C1317" s="5">
        <v>123.98</v>
      </c>
      <c r="D1317" s="54">
        <f t="shared" si="42"/>
        <v>-1.2084105373397769E-3</v>
      </c>
      <c r="F1317" s="84">
        <v>2025</v>
      </c>
      <c r="G1317" s="5">
        <v>12.64</v>
      </c>
      <c r="H1317" s="54">
        <v>-2.3999999999999998E-3</v>
      </c>
    </row>
    <row r="1318" spans="2:8" x14ac:dyDescent="0.25">
      <c r="B1318" s="60">
        <v>45708</v>
      </c>
      <c r="C1318" s="5">
        <v>123.81</v>
      </c>
      <c r="D1318" s="54">
        <f t="shared" si="42"/>
        <v>-1.371188901435727E-3</v>
      </c>
      <c r="F1318" s="84">
        <v>2025</v>
      </c>
      <c r="G1318" s="5">
        <v>12.6</v>
      </c>
      <c r="H1318" s="54">
        <v>-3.2000000000000002E-3</v>
      </c>
    </row>
    <row r="1319" spans="2:8" x14ac:dyDescent="0.25">
      <c r="B1319" s="60">
        <v>45709</v>
      </c>
      <c r="C1319" s="5">
        <v>122.13</v>
      </c>
      <c r="D1319" s="54">
        <f t="shared" si="42"/>
        <v>-1.3569178580082442E-2</v>
      </c>
      <c r="F1319" s="84">
        <v>2025</v>
      </c>
      <c r="G1319" s="5">
        <v>12.65</v>
      </c>
      <c r="H1319" s="54">
        <v>4.0000000000000001E-3</v>
      </c>
    </row>
    <row r="1320" spans="2:8" x14ac:dyDescent="0.25">
      <c r="B1320" s="60">
        <v>45712</v>
      </c>
      <c r="C1320" s="5">
        <v>121.48</v>
      </c>
      <c r="D1320" s="54">
        <f t="shared" si="42"/>
        <v>-5.3221976582329411E-3</v>
      </c>
      <c r="F1320" s="84">
        <v>2025</v>
      </c>
      <c r="G1320" s="5">
        <v>12.68</v>
      </c>
      <c r="H1320" s="54">
        <v>2.3999999999999998E-3</v>
      </c>
    </row>
    <row r="1321" spans="2:8" x14ac:dyDescent="0.25">
      <c r="B1321" s="60">
        <v>45713</v>
      </c>
      <c r="C1321" s="5">
        <v>121.29</v>
      </c>
      <c r="D1321" s="54">
        <f t="shared" si="42"/>
        <v>-1.5640434639446754E-3</v>
      </c>
      <c r="F1321" s="84">
        <v>2025</v>
      </c>
      <c r="G1321" s="5">
        <v>12.69</v>
      </c>
      <c r="H1321" s="54">
        <v>8.0000000000000004E-4</v>
      </c>
    </row>
    <row r="1322" spans="2:8" x14ac:dyDescent="0.25">
      <c r="B1322" s="60">
        <v>45714</v>
      </c>
      <c r="C1322" s="5">
        <v>121.52</v>
      </c>
      <c r="D1322" s="54">
        <f t="shared" si="42"/>
        <v>1.8962816390468706E-3</v>
      </c>
      <c r="F1322" s="84">
        <v>2025</v>
      </c>
      <c r="G1322" s="5">
        <v>12.74</v>
      </c>
      <c r="H1322" s="54">
        <v>3.8999999999999998E-3</v>
      </c>
    </row>
    <row r="1323" spans="2:8" x14ac:dyDescent="0.25">
      <c r="B1323" s="60">
        <v>45715</v>
      </c>
      <c r="C1323" s="5">
        <v>119.67</v>
      </c>
      <c r="D1323" s="54">
        <f t="shared" si="42"/>
        <v>-1.5223831468071047E-2</v>
      </c>
      <c r="F1323" s="84">
        <v>2025</v>
      </c>
      <c r="G1323" s="5">
        <v>12.76</v>
      </c>
      <c r="H1323" s="54">
        <v>1.6000000000000001E-3</v>
      </c>
    </row>
    <row r="1324" spans="2:8" x14ac:dyDescent="0.25">
      <c r="B1324" s="60">
        <v>45716</v>
      </c>
      <c r="C1324" s="5">
        <v>120.83</v>
      </c>
      <c r="D1324" s="54">
        <f t="shared" si="42"/>
        <v>9.6933233057574508E-3</v>
      </c>
      <c r="F1324" s="84">
        <v>2025</v>
      </c>
      <c r="G1324" s="5">
        <v>12.72</v>
      </c>
      <c r="H1324" s="54">
        <v>-3.0999999999999999E-3</v>
      </c>
    </row>
    <row r="1325" spans="2:8" x14ac:dyDescent="0.25">
      <c r="B1325" s="60">
        <v>45719</v>
      </c>
      <c r="C1325" s="5">
        <v>119.55</v>
      </c>
      <c r="D1325" s="54">
        <f t="shared" si="42"/>
        <v>-1.0593395679880824E-2</v>
      </c>
      <c r="F1325" s="84">
        <v>2025</v>
      </c>
      <c r="G1325" s="5">
        <v>12.7</v>
      </c>
      <c r="H1325" s="54">
        <v>-1.6000000000000001E-3</v>
      </c>
    </row>
    <row r="1326" spans="2:8" x14ac:dyDescent="0.25">
      <c r="B1326" s="60">
        <v>45720</v>
      </c>
      <c r="C1326" s="5">
        <v>118.68</v>
      </c>
      <c r="D1326" s="54">
        <f t="shared" si="42"/>
        <v>-7.2772898368882455E-3</v>
      </c>
      <c r="F1326" s="84">
        <v>2025</v>
      </c>
      <c r="G1326" s="5">
        <v>12.73</v>
      </c>
      <c r="H1326" s="54">
        <v>2.3999999999999998E-3</v>
      </c>
    </row>
    <row r="1327" spans="2:8" x14ac:dyDescent="0.25">
      <c r="B1327" s="60">
        <v>45721</v>
      </c>
      <c r="C1327" s="5">
        <v>120.56</v>
      </c>
      <c r="D1327" s="54">
        <f t="shared" si="42"/>
        <v>1.5840916750926803E-2</v>
      </c>
      <c r="F1327" s="84">
        <v>2025</v>
      </c>
      <c r="G1327" s="5">
        <v>12.79</v>
      </c>
      <c r="H1327" s="54">
        <v>4.7000000000000002E-3</v>
      </c>
    </row>
    <row r="1328" spans="2:8" x14ac:dyDescent="0.25">
      <c r="B1328" s="60">
        <v>45722</v>
      </c>
      <c r="C1328" s="5">
        <v>118.7</v>
      </c>
      <c r="D1328" s="54">
        <f t="shared" si="42"/>
        <v>-1.5428002654280015E-2</v>
      </c>
      <c r="F1328" s="84">
        <v>2025</v>
      </c>
      <c r="G1328" s="5">
        <v>12.82</v>
      </c>
      <c r="H1328" s="54">
        <v>2.3E-3</v>
      </c>
    </row>
    <row r="1329" spans="2:8" x14ac:dyDescent="0.25">
      <c r="B1329" s="60">
        <v>45723</v>
      </c>
      <c r="C1329" s="5">
        <v>119.5</v>
      </c>
      <c r="D1329" s="54">
        <f t="shared" si="42"/>
        <v>6.7396798652064049E-3</v>
      </c>
      <c r="F1329" s="84">
        <v>2025</v>
      </c>
      <c r="G1329" s="5">
        <v>12.79</v>
      </c>
      <c r="H1329" s="54">
        <v>-2.3E-3</v>
      </c>
    </row>
    <row r="1330" spans="2:8" x14ac:dyDescent="0.25">
      <c r="B1330" s="60">
        <v>45726</v>
      </c>
      <c r="C1330" s="5">
        <v>116.41</v>
      </c>
      <c r="D1330" s="54">
        <f t="shared" si="42"/>
        <v>-2.5857740585774058E-2</v>
      </c>
      <c r="F1330" s="84">
        <v>2025</v>
      </c>
      <c r="G1330" s="5">
        <v>12.8</v>
      </c>
      <c r="H1330" s="54">
        <v>8.0000000000000004E-4</v>
      </c>
    </row>
    <row r="1331" spans="2:8" x14ac:dyDescent="0.25">
      <c r="B1331" s="60">
        <v>45727</v>
      </c>
      <c r="C1331" s="5">
        <v>115.8</v>
      </c>
      <c r="D1331" s="54">
        <f t="shared" si="42"/>
        <v>-5.2400996477965922E-3</v>
      </c>
      <c r="F1331" s="84">
        <v>2025</v>
      </c>
      <c r="G1331" s="5">
        <v>12.8</v>
      </c>
      <c r="H1331" s="54">
        <v>0</v>
      </c>
    </row>
    <row r="1332" spans="2:8" x14ac:dyDescent="0.25">
      <c r="B1332" s="60">
        <v>45728</v>
      </c>
      <c r="C1332" s="5">
        <v>116.49</v>
      </c>
      <c r="D1332" s="54">
        <f t="shared" si="42"/>
        <v>5.9585492227978154E-3</v>
      </c>
      <c r="F1332" s="84">
        <v>2025</v>
      </c>
      <c r="G1332" s="5">
        <v>12.83</v>
      </c>
      <c r="H1332" s="54">
        <v>2.3E-3</v>
      </c>
    </row>
    <row r="1333" spans="2:8" x14ac:dyDescent="0.25">
      <c r="B1333" s="60">
        <v>45729</v>
      </c>
      <c r="C1333" s="5">
        <v>115.16</v>
      </c>
      <c r="D1333" s="54">
        <f t="shared" si="42"/>
        <v>-1.1417289037685574E-2</v>
      </c>
      <c r="F1333" s="84">
        <v>2025</v>
      </c>
      <c r="G1333" s="5">
        <v>12.77</v>
      </c>
      <c r="H1333" s="54">
        <v>-4.7000000000000002E-3</v>
      </c>
    </row>
    <row r="1334" spans="2:8" x14ac:dyDescent="0.25">
      <c r="B1334" s="60">
        <v>45730</v>
      </c>
      <c r="C1334" s="5">
        <v>117.45</v>
      </c>
      <c r="D1334" s="54">
        <f t="shared" si="42"/>
        <v>1.9885376866967786E-2</v>
      </c>
      <c r="F1334" s="84">
        <v>2025</v>
      </c>
      <c r="G1334" s="5">
        <v>12.75</v>
      </c>
      <c r="H1334" s="54">
        <v>-1.6000000000000001E-3</v>
      </c>
    </row>
    <row r="1335" spans="2:8" x14ac:dyDescent="0.25">
      <c r="B1335" s="60">
        <v>45733</v>
      </c>
      <c r="C1335" s="5">
        <v>118.62</v>
      </c>
      <c r="D1335" s="54">
        <f t="shared" si="42"/>
        <v>9.9616858237547845E-3</v>
      </c>
      <c r="F1335" s="84">
        <v>2025</v>
      </c>
      <c r="G1335" s="5">
        <v>12.76</v>
      </c>
      <c r="H1335" s="54">
        <v>8.0000000000000004E-4</v>
      </c>
    </row>
    <row r="1336" spans="2:8" x14ac:dyDescent="0.25">
      <c r="B1336" s="60">
        <v>45734</v>
      </c>
      <c r="C1336" s="5">
        <v>117.77</v>
      </c>
      <c r="D1336" s="54">
        <f t="shared" si="42"/>
        <v>-7.1657393356938659E-3</v>
      </c>
      <c r="F1336" s="84">
        <v>2025</v>
      </c>
      <c r="G1336" s="5">
        <v>12.8</v>
      </c>
      <c r="H1336" s="54">
        <v>3.0999999999999999E-3</v>
      </c>
    </row>
    <row r="1337" spans="2:8" x14ac:dyDescent="0.25">
      <c r="B1337" s="60">
        <v>45735</v>
      </c>
      <c r="C1337" s="5">
        <v>118.73</v>
      </c>
      <c r="D1337" s="54">
        <f t="shared" si="42"/>
        <v>8.1514817016219432E-3</v>
      </c>
      <c r="F1337" s="84">
        <v>2025</v>
      </c>
      <c r="G1337" s="5">
        <v>12.78</v>
      </c>
      <c r="H1337" s="54">
        <v>-1.6000000000000001E-3</v>
      </c>
    </row>
    <row r="1338" spans="2:8" x14ac:dyDescent="0.25">
      <c r="B1338" s="60">
        <v>45736</v>
      </c>
      <c r="C1338" s="5">
        <v>118.23</v>
      </c>
      <c r="D1338" s="54">
        <f t="shared" si="42"/>
        <v>-4.2112355765181464E-3</v>
      </c>
      <c r="F1338" s="84">
        <v>2025</v>
      </c>
      <c r="G1338" s="5">
        <v>12.78</v>
      </c>
      <c r="H1338" s="54">
        <v>0</v>
      </c>
    </row>
    <row r="1339" spans="2:8" x14ac:dyDescent="0.25">
      <c r="B1339" s="60">
        <v>45737</v>
      </c>
      <c r="C1339" s="5">
        <v>117.98</v>
      </c>
      <c r="D1339" s="54">
        <f t="shared" si="42"/>
        <v>-2.1145225408102375E-3</v>
      </c>
      <c r="F1339" s="84">
        <v>2025</v>
      </c>
      <c r="G1339" s="5">
        <v>12.8</v>
      </c>
      <c r="H1339" s="54">
        <v>1.6000000000000001E-3</v>
      </c>
    </row>
    <row r="1340" spans="2:8" x14ac:dyDescent="0.25">
      <c r="B1340" s="60">
        <v>45740</v>
      </c>
      <c r="C1340" s="5">
        <v>119.71</v>
      </c>
      <c r="D1340" s="54">
        <f t="shared" si="42"/>
        <v>1.4663502288523311E-2</v>
      </c>
      <c r="F1340" s="84">
        <v>2025</v>
      </c>
      <c r="G1340" s="5">
        <v>12.78</v>
      </c>
      <c r="H1340" s="54">
        <v>-1.6000000000000001E-3</v>
      </c>
    </row>
    <row r="1341" spans="2:8" x14ac:dyDescent="0.25">
      <c r="B1341" s="60">
        <v>45741</v>
      </c>
      <c r="C1341" s="5">
        <v>119.77</v>
      </c>
      <c r="D1341" s="54">
        <f t="shared" si="42"/>
        <v>5.0121126054625265E-4</v>
      </c>
      <c r="F1341" s="84">
        <v>2025</v>
      </c>
      <c r="G1341" s="5">
        <v>12.74</v>
      </c>
      <c r="H1341" s="54">
        <v>-3.0999999999999999E-3</v>
      </c>
    </row>
    <row r="1342" spans="2:8" x14ac:dyDescent="0.25">
      <c r="B1342" s="60">
        <v>45742</v>
      </c>
      <c r="C1342" s="5">
        <v>118.45</v>
      </c>
      <c r="D1342" s="54">
        <f t="shared" si="42"/>
        <v>-1.1021123820656231E-2</v>
      </c>
      <c r="F1342" s="84">
        <v>2025</v>
      </c>
      <c r="G1342" s="5">
        <v>12.75</v>
      </c>
      <c r="H1342" s="54">
        <v>8.0000000000000004E-4</v>
      </c>
    </row>
    <row r="1343" spans="2:8" x14ac:dyDescent="0.25">
      <c r="B1343" s="60">
        <v>45743</v>
      </c>
      <c r="C1343" s="5">
        <v>118.28</v>
      </c>
      <c r="D1343" s="54">
        <f t="shared" si="42"/>
        <v>-1.4352047277332858E-3</v>
      </c>
      <c r="F1343" s="84">
        <v>2025</v>
      </c>
      <c r="G1343" s="5">
        <v>12.72</v>
      </c>
      <c r="H1343" s="54">
        <v>-2.3999999999999998E-3</v>
      </c>
    </row>
    <row r="1344" spans="2:8" x14ac:dyDescent="0.25">
      <c r="B1344" s="60">
        <v>45744</v>
      </c>
      <c r="C1344" s="5">
        <v>116.24</v>
      </c>
      <c r="D1344" s="54">
        <f t="shared" si="42"/>
        <v>-1.7247210010145508E-2</v>
      </c>
      <c r="F1344" s="84">
        <v>2025</v>
      </c>
      <c r="G1344" s="5">
        <v>12.7</v>
      </c>
      <c r="H1344" s="54">
        <v>-1.6000000000000001E-3</v>
      </c>
    </row>
    <row r="1345" spans="2:8" x14ac:dyDescent="0.25">
      <c r="B1345" s="60">
        <v>45747</v>
      </c>
      <c r="C1345" s="5">
        <v>116.39</v>
      </c>
      <c r="D1345" s="54">
        <f t="shared" si="42"/>
        <v>1.2904335856849247E-3</v>
      </c>
      <c r="F1345" s="84">
        <v>2025</v>
      </c>
      <c r="G1345" s="5">
        <v>12.77</v>
      </c>
      <c r="H1345" s="54">
        <v>5.4999999999999997E-3</v>
      </c>
    </row>
    <row r="1346" spans="2:8" x14ac:dyDescent="0.25">
      <c r="B1346" s="60">
        <v>45748</v>
      </c>
      <c r="C1346" s="5">
        <v>116.8</v>
      </c>
      <c r="D1346" s="54">
        <f t="shared" si="42"/>
        <v>3.5226394020104745E-3</v>
      </c>
      <c r="F1346" s="84">
        <v>2025</v>
      </c>
      <c r="G1346" s="5">
        <v>12.78</v>
      </c>
      <c r="H1346" s="54">
        <v>8.0000000000000004E-4</v>
      </c>
    </row>
    <row r="1347" spans="2:8" x14ac:dyDescent="0.25">
      <c r="B1347" s="60">
        <v>45749</v>
      </c>
      <c r="C1347" s="5">
        <v>117.4</v>
      </c>
      <c r="D1347" s="54">
        <f t="shared" si="42"/>
        <v>5.1369863013699391E-3</v>
      </c>
      <c r="F1347" s="84">
        <v>2025</v>
      </c>
      <c r="G1347" s="5">
        <v>12.79</v>
      </c>
      <c r="H1347" s="54">
        <v>8.0000000000000004E-4</v>
      </c>
    </row>
    <row r="1348" spans="2:8" x14ac:dyDescent="0.25">
      <c r="B1348" s="60">
        <v>45750</v>
      </c>
      <c r="C1348" s="5">
        <v>112.91</v>
      </c>
      <c r="D1348" s="54">
        <f t="shared" si="42"/>
        <v>-3.8245315161839932E-2</v>
      </c>
      <c r="F1348" s="84">
        <v>2025</v>
      </c>
      <c r="G1348" s="5">
        <v>12.83</v>
      </c>
      <c r="H1348" s="54">
        <v>3.0999999999999999E-3</v>
      </c>
    </row>
    <row r="1349" spans="2:8" x14ac:dyDescent="0.25">
      <c r="B1349" s="60">
        <v>45751</v>
      </c>
      <c r="C1349" s="5">
        <v>106</v>
      </c>
      <c r="D1349" s="54">
        <f t="shared" si="42"/>
        <v>-6.1199185191745609E-2</v>
      </c>
      <c r="F1349" s="84">
        <v>2025</v>
      </c>
      <c r="G1349" s="5">
        <v>13</v>
      </c>
      <c r="H1349" s="54">
        <v>1.3299999999999999E-2</v>
      </c>
    </row>
    <row r="1350" spans="2:8" x14ac:dyDescent="0.25">
      <c r="B1350" s="60">
        <v>45754</v>
      </c>
      <c r="C1350" s="5">
        <v>104.97</v>
      </c>
      <c r="D1350" s="54">
        <f t="shared" si="42"/>
        <v>-9.7169811320755306E-3</v>
      </c>
      <c r="F1350" s="84">
        <v>2025</v>
      </c>
      <c r="G1350" s="5">
        <v>12.97</v>
      </c>
      <c r="H1350" s="54">
        <v>-2.3E-3</v>
      </c>
    </row>
    <row r="1351" spans="2:8" x14ac:dyDescent="0.25">
      <c r="B1351" s="60">
        <v>45755</v>
      </c>
      <c r="C1351" s="5">
        <v>103.59</v>
      </c>
      <c r="D1351" s="54">
        <f t="shared" si="42"/>
        <v>-1.3146613318090861E-2</v>
      </c>
      <c r="F1351" s="84">
        <v>2025</v>
      </c>
      <c r="G1351" s="5">
        <v>12.88</v>
      </c>
      <c r="H1351" s="54">
        <v>-6.8999999999999999E-3</v>
      </c>
    </row>
    <row r="1352" spans="2:8" x14ac:dyDescent="0.25">
      <c r="B1352" s="60">
        <v>45756</v>
      </c>
      <c r="C1352" s="5">
        <v>112.7</v>
      </c>
      <c r="D1352" s="54">
        <f t="shared" ref="D1352:D1415" si="43">C1352/C1351-1</f>
        <v>8.7942851626604979E-2</v>
      </c>
      <c r="F1352" s="84">
        <v>2025</v>
      </c>
      <c r="G1352" s="5">
        <v>12.75</v>
      </c>
      <c r="H1352" s="54">
        <v>-1.01E-2</v>
      </c>
    </row>
    <row r="1353" spans="2:8" x14ac:dyDescent="0.25">
      <c r="B1353" s="60">
        <v>45757</v>
      </c>
      <c r="C1353" s="5">
        <v>109.25</v>
      </c>
      <c r="D1353" s="54">
        <f t="shared" si="43"/>
        <v>-3.0612244897959218E-2</v>
      </c>
      <c r="F1353" s="84">
        <v>2025</v>
      </c>
      <c r="G1353" s="5">
        <v>12.74</v>
      </c>
      <c r="H1353" s="54">
        <v>-8.0000000000000004E-4</v>
      </c>
    </row>
    <row r="1354" spans="2:8" x14ac:dyDescent="0.25">
      <c r="B1354" s="60">
        <v>45758</v>
      </c>
      <c r="C1354" s="5">
        <v>111.1</v>
      </c>
      <c r="D1354" s="54">
        <f t="shared" si="43"/>
        <v>1.6933638443935806E-2</v>
      </c>
      <c r="F1354" s="84">
        <v>2025</v>
      </c>
      <c r="G1354" s="5">
        <v>12.82</v>
      </c>
      <c r="H1354" s="54">
        <v>6.3E-3</v>
      </c>
    </row>
    <row r="1355" spans="2:8" x14ac:dyDescent="0.25">
      <c r="B1355" s="60">
        <v>45761</v>
      </c>
      <c r="C1355" s="5">
        <v>112.65</v>
      </c>
      <c r="D1355" s="54">
        <f t="shared" si="43"/>
        <v>1.3951395139514045E-2</v>
      </c>
      <c r="F1355" s="84">
        <v>2025</v>
      </c>
      <c r="G1355" s="5">
        <v>12.89</v>
      </c>
      <c r="H1355" s="54">
        <v>5.4999999999999997E-3</v>
      </c>
    </row>
    <row r="1356" spans="2:8" x14ac:dyDescent="0.25">
      <c r="B1356" s="60">
        <v>45762</v>
      </c>
      <c r="C1356" s="5">
        <v>112.72</v>
      </c>
      <c r="D1356" s="54">
        <f t="shared" si="43"/>
        <v>6.2139369729252714E-4</v>
      </c>
      <c r="F1356" s="84">
        <v>2025</v>
      </c>
      <c r="G1356" s="5">
        <v>12.89</v>
      </c>
      <c r="H1356" s="54">
        <v>0</v>
      </c>
    </row>
    <row r="1357" spans="2:8" x14ac:dyDescent="0.25">
      <c r="B1357" s="60">
        <v>45763</v>
      </c>
      <c r="C1357" s="5">
        <v>110.93</v>
      </c>
      <c r="D1357" s="54">
        <f t="shared" si="43"/>
        <v>-1.5880056777856533E-2</v>
      </c>
      <c r="F1357" s="84">
        <v>2025</v>
      </c>
      <c r="G1357" s="5">
        <v>12.93</v>
      </c>
      <c r="H1357" s="54">
        <v>3.0999999999999999E-3</v>
      </c>
    </row>
    <row r="1358" spans="2:8" x14ac:dyDescent="0.25">
      <c r="B1358" s="60">
        <v>45764</v>
      </c>
      <c r="C1358" s="5">
        <v>111.4</v>
      </c>
      <c r="D1358" s="54">
        <f t="shared" si="43"/>
        <v>4.2369061570359801E-3</v>
      </c>
      <c r="F1358" s="84">
        <v>2025</v>
      </c>
      <c r="G1358" s="5">
        <v>13.02</v>
      </c>
      <c r="H1358" s="54">
        <v>7.0000000000000001E-3</v>
      </c>
    </row>
    <row r="1359" spans="2:8" x14ac:dyDescent="0.25">
      <c r="B1359" s="60">
        <v>45768</v>
      </c>
      <c r="C1359" s="5">
        <v>109.6</v>
      </c>
      <c r="D1359" s="54">
        <f t="shared" si="43"/>
        <v>-1.6157989228007263E-2</v>
      </c>
      <c r="F1359" s="84">
        <v>2025</v>
      </c>
      <c r="G1359" s="5">
        <v>13.03</v>
      </c>
      <c r="H1359" s="54">
        <v>8.0000000000000004E-4</v>
      </c>
    </row>
    <row r="1360" spans="2:8" x14ac:dyDescent="0.25">
      <c r="B1360" s="60">
        <v>45769</v>
      </c>
      <c r="C1360" s="5">
        <v>112.07</v>
      </c>
      <c r="D1360" s="54">
        <f t="shared" si="43"/>
        <v>2.2536496350364921E-2</v>
      </c>
      <c r="F1360" s="84">
        <v>2025</v>
      </c>
      <c r="G1360" s="5">
        <v>13.06</v>
      </c>
      <c r="H1360" s="54">
        <v>2.3E-3</v>
      </c>
    </row>
    <row r="1361" spans="2:8" x14ac:dyDescent="0.25">
      <c r="B1361" s="60">
        <v>45770</v>
      </c>
      <c r="C1361" s="5">
        <v>113.44</v>
      </c>
      <c r="D1361" s="54">
        <f t="shared" si="43"/>
        <v>1.2224502543053406E-2</v>
      </c>
      <c r="F1361" s="84">
        <v>2025</v>
      </c>
      <c r="G1361" s="5">
        <v>13.01</v>
      </c>
      <c r="H1361" s="54">
        <v>-3.8E-3</v>
      </c>
    </row>
    <row r="1362" spans="2:8" x14ac:dyDescent="0.25">
      <c r="B1362" s="60">
        <v>45771</v>
      </c>
      <c r="C1362" s="5">
        <v>115.51</v>
      </c>
      <c r="D1362" s="54">
        <f t="shared" si="43"/>
        <v>1.8247531734837841E-2</v>
      </c>
      <c r="F1362" s="84">
        <v>2025</v>
      </c>
      <c r="G1362" s="5">
        <v>13.05</v>
      </c>
      <c r="H1362" s="54">
        <v>3.0999999999999999E-3</v>
      </c>
    </row>
    <row r="1363" spans="2:8" x14ac:dyDescent="0.25">
      <c r="B1363" s="60">
        <v>45772</v>
      </c>
      <c r="C1363" s="5">
        <v>116.18</v>
      </c>
      <c r="D1363" s="54">
        <f t="shared" si="43"/>
        <v>5.8003636048826746E-3</v>
      </c>
      <c r="F1363" s="84">
        <v>2025</v>
      </c>
      <c r="G1363" s="5">
        <v>13.04</v>
      </c>
      <c r="H1363" s="54">
        <v>-8.0000000000000004E-4</v>
      </c>
    </row>
    <row r="1364" spans="2:8" x14ac:dyDescent="0.25">
      <c r="B1364" s="60">
        <v>45775</v>
      </c>
      <c r="C1364" s="5">
        <v>116.4</v>
      </c>
      <c r="D1364" s="54">
        <f t="shared" si="43"/>
        <v>1.893613358581403E-3</v>
      </c>
      <c r="F1364" s="84">
        <v>2025</v>
      </c>
      <c r="G1364" s="5">
        <v>13.06</v>
      </c>
      <c r="H1364" s="54">
        <v>1.5E-3</v>
      </c>
    </row>
    <row r="1365" spans="2:8" x14ac:dyDescent="0.25">
      <c r="B1365" s="60">
        <v>45776</v>
      </c>
      <c r="C1365" s="5">
        <v>116.99</v>
      </c>
      <c r="D1365" s="54">
        <f t="shared" si="43"/>
        <v>5.0687285223367518E-3</v>
      </c>
      <c r="F1365" s="84">
        <v>2025</v>
      </c>
      <c r="G1365" s="5">
        <v>13.12</v>
      </c>
      <c r="H1365" s="54">
        <v>4.5999999999999999E-3</v>
      </c>
    </row>
    <row r="1366" spans="2:8" x14ac:dyDescent="0.25">
      <c r="B1366" s="60">
        <v>45777</v>
      </c>
      <c r="C1366" s="5">
        <v>116.99</v>
      </c>
      <c r="D1366" s="54">
        <f t="shared" si="43"/>
        <v>0</v>
      </c>
      <c r="F1366" s="84">
        <v>2025</v>
      </c>
      <c r="G1366" s="5">
        <v>13.13</v>
      </c>
      <c r="H1366" s="54">
        <v>8.0000000000000004E-4</v>
      </c>
    </row>
    <row r="1367" spans="2:8" x14ac:dyDescent="0.25">
      <c r="B1367" s="60">
        <v>45778</v>
      </c>
      <c r="C1367" s="5">
        <v>117.42</v>
      </c>
      <c r="D1367" s="54">
        <f t="shared" si="43"/>
        <v>3.6755278228908228E-3</v>
      </c>
      <c r="F1367" s="84">
        <v>2025</v>
      </c>
      <c r="G1367" s="5">
        <v>13.09</v>
      </c>
      <c r="H1367" s="54">
        <v>-3.0000000000000001E-3</v>
      </c>
    </row>
    <row r="1368" spans="2:8" x14ac:dyDescent="0.25">
      <c r="B1368" s="60">
        <v>45779</v>
      </c>
      <c r="C1368" s="5">
        <v>119.41</v>
      </c>
      <c r="D1368" s="54">
        <f t="shared" si="43"/>
        <v>1.69477090785215E-2</v>
      </c>
      <c r="F1368" s="84">
        <v>2025</v>
      </c>
      <c r="G1368" s="5">
        <v>13.07</v>
      </c>
      <c r="H1368" s="54">
        <v>-1.5E-3</v>
      </c>
    </row>
    <row r="1369" spans="2:8" x14ac:dyDescent="0.25">
      <c r="B1369" s="60">
        <v>45782</v>
      </c>
      <c r="C1369" s="5">
        <v>119.17</v>
      </c>
      <c r="D1369" s="54">
        <f t="shared" si="43"/>
        <v>-2.0098819194371842E-3</v>
      </c>
      <c r="F1369" s="84">
        <v>2025</v>
      </c>
      <c r="G1369" s="5">
        <v>13.04</v>
      </c>
      <c r="H1369" s="54">
        <v>-2.3E-3</v>
      </c>
    </row>
    <row r="1370" spans="2:8" x14ac:dyDescent="0.25">
      <c r="B1370" s="60">
        <v>45783</v>
      </c>
      <c r="C1370" s="5">
        <v>118.48</v>
      </c>
      <c r="D1370" s="54">
        <f t="shared" si="43"/>
        <v>-5.7900478308299252E-3</v>
      </c>
      <c r="F1370" s="84">
        <v>2025</v>
      </c>
      <c r="G1370" s="5">
        <v>13.06</v>
      </c>
      <c r="H1370" s="54">
        <v>1.5E-3</v>
      </c>
    </row>
    <row r="1371" spans="2:8" x14ac:dyDescent="0.25">
      <c r="B1371" s="60">
        <v>45784</v>
      </c>
      <c r="C1371" s="5">
        <v>118.58</v>
      </c>
      <c r="D1371" s="54">
        <f t="shared" si="43"/>
        <v>8.4402430789998206E-4</v>
      </c>
      <c r="F1371" s="84">
        <v>2025</v>
      </c>
      <c r="G1371" s="5">
        <v>13.08</v>
      </c>
      <c r="H1371" s="54">
        <v>1.5E-3</v>
      </c>
    </row>
    <row r="1372" spans="2:8" x14ac:dyDescent="0.25">
      <c r="B1372" s="60">
        <v>45785</v>
      </c>
      <c r="C1372" s="5">
        <v>118.97</v>
      </c>
      <c r="D1372" s="54">
        <f t="shared" si="43"/>
        <v>3.2889188733344898E-3</v>
      </c>
      <c r="F1372" s="84">
        <v>2025</v>
      </c>
      <c r="G1372" s="5">
        <v>13.03</v>
      </c>
      <c r="H1372" s="54">
        <v>-3.8E-3</v>
      </c>
    </row>
    <row r="1373" spans="2:8" x14ac:dyDescent="0.25">
      <c r="B1373" s="60">
        <v>45786</v>
      </c>
      <c r="C1373" s="5">
        <v>119.13</v>
      </c>
      <c r="D1373" s="54">
        <f t="shared" si="43"/>
        <v>1.3448768597124072E-3</v>
      </c>
      <c r="F1373" s="84">
        <v>2025</v>
      </c>
      <c r="G1373" s="5">
        <v>12.98</v>
      </c>
      <c r="H1373" s="54">
        <v>-3.8E-3</v>
      </c>
    </row>
    <row r="1374" spans="2:8" x14ac:dyDescent="0.25">
      <c r="B1374" s="60">
        <v>45789</v>
      </c>
      <c r="C1374" s="5">
        <v>122.03</v>
      </c>
      <c r="D1374" s="54">
        <f t="shared" si="43"/>
        <v>2.4343154537060485E-2</v>
      </c>
      <c r="F1374" s="84">
        <v>2025</v>
      </c>
      <c r="G1374" s="5">
        <v>12.86</v>
      </c>
      <c r="H1374" s="54">
        <v>-9.1999999999999998E-3</v>
      </c>
    </row>
    <row r="1375" spans="2:8" x14ac:dyDescent="0.25">
      <c r="B1375" s="60">
        <v>45790</v>
      </c>
      <c r="C1375" s="5">
        <v>122.68</v>
      </c>
      <c r="D1375" s="54">
        <f t="shared" si="43"/>
        <v>5.326559042858392E-3</v>
      </c>
      <c r="F1375" s="84">
        <v>2025</v>
      </c>
      <c r="G1375" s="5">
        <v>12.83</v>
      </c>
      <c r="H1375" s="54">
        <v>-2.3E-3</v>
      </c>
    </row>
    <row r="1376" spans="2:8" x14ac:dyDescent="0.25">
      <c r="B1376" s="60">
        <v>45791</v>
      </c>
      <c r="C1376" s="5">
        <v>122.79</v>
      </c>
      <c r="D1376" s="54">
        <f t="shared" si="43"/>
        <v>8.9664166938385748E-4</v>
      </c>
      <c r="F1376" s="84">
        <v>2025</v>
      </c>
      <c r="G1376" s="5">
        <v>12.89</v>
      </c>
      <c r="H1376" s="54">
        <v>4.7000000000000002E-3</v>
      </c>
    </row>
    <row r="1377" spans="2:8" x14ac:dyDescent="0.25">
      <c r="B1377" s="60">
        <v>45792</v>
      </c>
      <c r="C1377" s="5">
        <v>123.45</v>
      </c>
      <c r="D1377" s="54">
        <f t="shared" si="43"/>
        <v>5.3750305399462572E-3</v>
      </c>
      <c r="F1377" s="84">
        <v>2025</v>
      </c>
      <c r="G1377" s="5">
        <v>12.88</v>
      </c>
      <c r="H1377" s="54">
        <v>-8.0000000000000004E-4</v>
      </c>
    </row>
    <row r="1378" spans="2:8" x14ac:dyDescent="0.25">
      <c r="B1378" s="60">
        <v>45793</v>
      </c>
      <c r="C1378" s="5">
        <v>124.04</v>
      </c>
      <c r="D1378" s="54">
        <f t="shared" si="43"/>
        <v>4.7792628594574005E-3</v>
      </c>
      <c r="F1378" s="84">
        <v>2025</v>
      </c>
      <c r="G1378" s="5">
        <v>12.93</v>
      </c>
      <c r="H1378" s="54">
        <v>3.8999999999999998E-3</v>
      </c>
    </row>
    <row r="1379" spans="2:8" x14ac:dyDescent="0.25">
      <c r="B1379" s="60">
        <v>45796</v>
      </c>
      <c r="C1379" s="5">
        <v>124.43</v>
      </c>
      <c r="D1379" s="54">
        <f t="shared" si="43"/>
        <v>3.1441470493389634E-3</v>
      </c>
      <c r="F1379" s="84">
        <v>2025</v>
      </c>
      <c r="G1379" s="5">
        <v>12.92</v>
      </c>
      <c r="H1379" s="54">
        <v>-8.0000000000000004E-4</v>
      </c>
    </row>
    <row r="1380" spans="2:8" x14ac:dyDescent="0.25">
      <c r="B1380" s="60">
        <v>45797</v>
      </c>
      <c r="C1380" s="5">
        <v>124.29</v>
      </c>
      <c r="D1380" s="54">
        <f t="shared" si="43"/>
        <v>-1.1251305955155555E-3</v>
      </c>
      <c r="F1380" s="84">
        <v>2025</v>
      </c>
      <c r="G1380" s="5">
        <v>12.92</v>
      </c>
      <c r="H1380" s="54">
        <v>0</v>
      </c>
    </row>
    <row r="1381" spans="2:8" x14ac:dyDescent="0.25">
      <c r="B1381" s="60">
        <v>45798</v>
      </c>
      <c r="C1381" s="5">
        <v>122.75</v>
      </c>
      <c r="D1381" s="54">
        <f t="shared" si="43"/>
        <v>-1.2390377343310055E-2</v>
      </c>
      <c r="F1381" s="84">
        <v>2025</v>
      </c>
      <c r="G1381" s="5">
        <v>12.95</v>
      </c>
      <c r="H1381" s="54">
        <v>2.3E-3</v>
      </c>
    </row>
    <row r="1382" spans="2:8" x14ac:dyDescent="0.25">
      <c r="B1382" s="60">
        <v>45799</v>
      </c>
      <c r="C1382" s="5">
        <v>122.68</v>
      </c>
      <c r="D1382" s="54">
        <f t="shared" si="43"/>
        <v>-5.7026476578403429E-4</v>
      </c>
      <c r="F1382" s="84">
        <v>2025</v>
      </c>
      <c r="G1382" s="5">
        <v>12.89</v>
      </c>
      <c r="H1382" s="54">
        <v>-4.5999999999999999E-3</v>
      </c>
    </row>
    <row r="1383" spans="2:8" x14ac:dyDescent="0.25">
      <c r="B1383" s="60">
        <v>45800</v>
      </c>
      <c r="C1383" s="5">
        <v>122.3</v>
      </c>
      <c r="D1383" s="54">
        <f t="shared" si="43"/>
        <v>-3.0974894033257705E-3</v>
      </c>
      <c r="F1383" s="84">
        <v>2025</v>
      </c>
      <c r="G1383" s="5">
        <v>12.96</v>
      </c>
      <c r="H1383" s="54">
        <v>5.4000000000000003E-3</v>
      </c>
    </row>
    <row r="1384" spans="2:8" x14ac:dyDescent="0.25">
      <c r="B1384" s="60">
        <v>45804</v>
      </c>
      <c r="C1384" s="5">
        <v>124.35</v>
      </c>
      <c r="D1384" s="54">
        <f t="shared" si="43"/>
        <v>1.6762060506950061E-2</v>
      </c>
      <c r="F1384" s="84">
        <v>2025</v>
      </c>
      <c r="G1384" s="5">
        <v>12.98</v>
      </c>
      <c r="H1384" s="54">
        <v>1.5E-3</v>
      </c>
    </row>
    <row r="1385" spans="2:8" x14ac:dyDescent="0.25">
      <c r="B1385" s="60">
        <v>45805</v>
      </c>
      <c r="C1385" s="5">
        <v>123.46</v>
      </c>
      <c r="D1385" s="54">
        <f t="shared" si="43"/>
        <v>-7.1572175311620523E-3</v>
      </c>
      <c r="F1385" s="84">
        <v>2025</v>
      </c>
      <c r="G1385" s="5">
        <v>12.97</v>
      </c>
      <c r="H1385" s="54">
        <v>-8.0000000000000004E-4</v>
      </c>
    </row>
    <row r="1386" spans="2:8" x14ac:dyDescent="0.25">
      <c r="B1386" s="60">
        <v>45806</v>
      </c>
      <c r="C1386" s="5">
        <v>123.91</v>
      </c>
      <c r="D1386" s="54">
        <f t="shared" si="43"/>
        <v>3.6449052324640796E-3</v>
      </c>
      <c r="F1386" s="84">
        <v>2025</v>
      </c>
      <c r="G1386" s="5">
        <v>13</v>
      </c>
      <c r="H1386" s="54">
        <v>2.3E-3</v>
      </c>
    </row>
    <row r="1387" spans="2:8" x14ac:dyDescent="0.25">
      <c r="B1387" s="60">
        <v>45807</v>
      </c>
      <c r="C1387" s="5">
        <v>123.65</v>
      </c>
      <c r="D1387" s="54">
        <f t="shared" si="43"/>
        <v>-2.0982971511580573E-3</v>
      </c>
      <c r="F1387" s="84">
        <v>2025</v>
      </c>
      <c r="G1387" s="5">
        <v>13</v>
      </c>
      <c r="H1387" s="54">
        <v>0</v>
      </c>
    </row>
    <row r="1388" spans="2:8" x14ac:dyDescent="0.25">
      <c r="B1388" s="60">
        <v>45810</v>
      </c>
      <c r="C1388" s="5">
        <v>124.57</v>
      </c>
      <c r="D1388" s="54">
        <f t="shared" si="43"/>
        <v>7.4403558431055394E-3</v>
      </c>
      <c r="F1388" s="84">
        <v>2025</v>
      </c>
      <c r="G1388" s="5">
        <v>13.06</v>
      </c>
      <c r="H1388" s="54">
        <v>4.5999999999999999E-3</v>
      </c>
    </row>
    <row r="1389" spans="2:8" x14ac:dyDescent="0.25">
      <c r="B1389" s="60">
        <v>45811</v>
      </c>
      <c r="C1389" s="5">
        <v>124.85</v>
      </c>
      <c r="D1389" s="54">
        <f t="shared" si="43"/>
        <v>2.24773219876373E-3</v>
      </c>
      <c r="F1389" s="84">
        <v>2025</v>
      </c>
      <c r="G1389" s="5">
        <v>13.05</v>
      </c>
      <c r="H1389" s="54">
        <v>-8.0000000000000004E-4</v>
      </c>
    </row>
    <row r="1390" spans="2:8" x14ac:dyDescent="0.25">
      <c r="B1390" s="60">
        <v>45812</v>
      </c>
      <c r="C1390" s="5">
        <v>125.17</v>
      </c>
      <c r="D1390" s="54">
        <f t="shared" si="43"/>
        <v>2.5630756908290309E-3</v>
      </c>
      <c r="F1390" s="84">
        <v>2025</v>
      </c>
      <c r="G1390" s="5">
        <v>13.06</v>
      </c>
      <c r="H1390" s="54">
        <v>8.0000000000000004E-4</v>
      </c>
    </row>
    <row r="1391" spans="2:8" x14ac:dyDescent="0.25">
      <c r="B1391" s="60">
        <v>45813</v>
      </c>
      <c r="C1391" s="5">
        <v>124.8</v>
      </c>
      <c r="D1391" s="54">
        <f t="shared" si="43"/>
        <v>-2.9559798673803872E-3</v>
      </c>
      <c r="F1391" s="84">
        <v>2025</v>
      </c>
      <c r="G1391" s="5">
        <v>13.13</v>
      </c>
      <c r="H1391" s="54">
        <v>5.4000000000000003E-3</v>
      </c>
    </row>
    <row r="1392" spans="2:8" x14ac:dyDescent="0.25">
      <c r="B1392" s="60">
        <v>45814</v>
      </c>
      <c r="C1392" s="5">
        <v>125.76</v>
      </c>
      <c r="D1392" s="54">
        <f t="shared" si="43"/>
        <v>7.692307692307665E-3</v>
      </c>
      <c r="F1392" s="84">
        <v>2025</v>
      </c>
      <c r="G1392" s="5">
        <v>13.03</v>
      </c>
      <c r="H1392" s="54">
        <v>-7.6E-3</v>
      </c>
    </row>
    <row r="1393" spans="2:8" x14ac:dyDescent="0.25">
      <c r="B1393" s="60">
        <v>45817</v>
      </c>
      <c r="C1393" s="5">
        <v>125.92</v>
      </c>
      <c r="D1393" s="54">
        <f t="shared" si="43"/>
        <v>1.2722646310432406E-3</v>
      </c>
      <c r="F1393" s="84">
        <v>2025</v>
      </c>
      <c r="G1393" s="5">
        <v>13.03</v>
      </c>
      <c r="H1393" s="54">
        <v>0</v>
      </c>
    </row>
    <row r="1394" spans="2:8" x14ac:dyDescent="0.25">
      <c r="B1394" s="60">
        <v>45818</v>
      </c>
      <c r="C1394" s="5">
        <v>126.52</v>
      </c>
      <c r="D1394" s="54">
        <f t="shared" si="43"/>
        <v>4.7649301143581901E-3</v>
      </c>
      <c r="F1394" s="84">
        <v>2025</v>
      </c>
      <c r="G1394" s="5">
        <v>13.08</v>
      </c>
      <c r="H1394" s="54">
        <v>3.8E-3</v>
      </c>
    </row>
    <row r="1395" spans="2:8" x14ac:dyDescent="0.25">
      <c r="B1395" s="60">
        <v>45819</v>
      </c>
      <c r="C1395" s="5">
        <v>126.35</v>
      </c>
      <c r="D1395" s="54">
        <f t="shared" si="43"/>
        <v>-1.3436610812519456E-3</v>
      </c>
      <c r="F1395" s="84">
        <v>2025</v>
      </c>
      <c r="G1395" s="5">
        <v>13.08</v>
      </c>
      <c r="H1395" s="54">
        <v>0</v>
      </c>
    </row>
    <row r="1396" spans="2:8" x14ac:dyDescent="0.25">
      <c r="B1396" s="60">
        <v>45820</v>
      </c>
      <c r="C1396" s="5">
        <v>126.85</v>
      </c>
      <c r="D1396" s="54">
        <f t="shared" si="43"/>
        <v>3.9572615749901008E-3</v>
      </c>
      <c r="F1396" s="84">
        <v>2025</v>
      </c>
      <c r="G1396" s="5">
        <v>13.16</v>
      </c>
      <c r="H1396" s="54">
        <v>6.1000000000000004E-3</v>
      </c>
    </row>
    <row r="1397" spans="2:8" x14ac:dyDescent="0.25">
      <c r="B1397" s="60">
        <v>45821</v>
      </c>
      <c r="C1397" s="5">
        <v>125.39</v>
      </c>
      <c r="D1397" s="54">
        <f t="shared" si="43"/>
        <v>-1.1509657075285729E-2</v>
      </c>
      <c r="F1397" s="84">
        <v>2025</v>
      </c>
      <c r="G1397" s="5">
        <v>13.12</v>
      </c>
      <c r="H1397" s="54">
        <v>-3.0000000000000001E-3</v>
      </c>
    </row>
    <row r="1398" spans="2:8" x14ac:dyDescent="0.25">
      <c r="B1398" s="60">
        <v>45824</v>
      </c>
      <c r="C1398" s="5">
        <v>125.52</v>
      </c>
      <c r="D1398" s="54">
        <f t="shared" si="43"/>
        <v>1.0367652922880222E-3</v>
      </c>
      <c r="F1398" s="84">
        <v>2025</v>
      </c>
      <c r="G1398" s="5">
        <v>13.13</v>
      </c>
      <c r="H1398" s="54">
        <v>8.0000000000000004E-4</v>
      </c>
    </row>
    <row r="1399" spans="2:8" x14ac:dyDescent="0.25">
      <c r="B1399" s="60">
        <v>45825</v>
      </c>
      <c r="C1399" s="5">
        <v>124.25</v>
      </c>
      <c r="D1399" s="54">
        <f t="shared" si="43"/>
        <v>-1.0117909496494604E-2</v>
      </c>
      <c r="F1399" s="84">
        <v>2025</v>
      </c>
      <c r="G1399" s="5">
        <v>13.11</v>
      </c>
      <c r="H1399" s="54">
        <v>-1.5E-3</v>
      </c>
    </row>
    <row r="1400" spans="2:8" x14ac:dyDescent="0.25">
      <c r="B1400" s="60">
        <v>45826</v>
      </c>
      <c r="C1400" s="5">
        <v>124.29</v>
      </c>
      <c r="D1400" s="54">
        <f t="shared" si="43"/>
        <v>3.2193158953730538E-4</v>
      </c>
      <c r="F1400" s="84">
        <v>2025</v>
      </c>
      <c r="G1400" s="5">
        <v>13.1</v>
      </c>
      <c r="H1400" s="54">
        <v>-8.0000000000000004E-4</v>
      </c>
    </row>
    <row r="1401" spans="2:8" x14ac:dyDescent="0.25">
      <c r="B1401" s="60">
        <v>45828</v>
      </c>
      <c r="C1401" s="5">
        <v>123.74</v>
      </c>
      <c r="D1401" s="54">
        <f t="shared" si="43"/>
        <v>-4.4251347654679085E-3</v>
      </c>
      <c r="F1401" s="84">
        <v>2025</v>
      </c>
      <c r="G1401" s="5">
        <v>13.09</v>
      </c>
      <c r="H1401" s="54">
        <v>-8.0000000000000004E-4</v>
      </c>
    </row>
    <row r="1402" spans="2:8" x14ac:dyDescent="0.25">
      <c r="B1402" s="60">
        <v>45831</v>
      </c>
      <c r="C1402" s="5">
        <v>124.85</v>
      </c>
      <c r="D1402" s="54">
        <f t="shared" si="43"/>
        <v>8.9704218522708157E-3</v>
      </c>
      <c r="F1402" s="84">
        <v>2025</v>
      </c>
      <c r="G1402" s="5">
        <v>13.09</v>
      </c>
      <c r="H1402" s="54">
        <v>0</v>
      </c>
    </row>
    <row r="1403" spans="2:8" x14ac:dyDescent="0.25">
      <c r="B1403" s="60">
        <v>45832</v>
      </c>
      <c r="C1403" s="5">
        <v>126.5</v>
      </c>
      <c r="D1403" s="54">
        <f t="shared" si="43"/>
        <v>1.3215859030837107E-2</v>
      </c>
      <c r="F1403" s="84">
        <v>2025</v>
      </c>
      <c r="G1403" s="5">
        <v>13.17</v>
      </c>
      <c r="H1403" s="54">
        <v>6.1000000000000004E-3</v>
      </c>
    </row>
    <row r="1404" spans="2:8" x14ac:dyDescent="0.25">
      <c r="B1404" s="60">
        <v>45833</v>
      </c>
      <c r="C1404" s="5">
        <v>126.41</v>
      </c>
      <c r="D1404" s="54">
        <f t="shared" si="43"/>
        <v>-7.1146245059294788E-4</v>
      </c>
      <c r="F1404" s="84">
        <v>2025</v>
      </c>
      <c r="G1404" s="5">
        <v>13.18</v>
      </c>
      <c r="H1404" s="54">
        <v>8.0000000000000004E-4</v>
      </c>
    </row>
    <row r="1405" spans="2:8" x14ac:dyDescent="0.25">
      <c r="B1405" s="60">
        <v>45834</v>
      </c>
      <c r="C1405" s="5">
        <v>127.47</v>
      </c>
      <c r="D1405" s="54">
        <f t="shared" si="43"/>
        <v>8.3854125464757345E-3</v>
      </c>
      <c r="F1405" s="84">
        <v>2025</v>
      </c>
      <c r="G1405" s="5">
        <v>13.27</v>
      </c>
      <c r="H1405" s="54">
        <v>6.7999999999999996E-3</v>
      </c>
    </row>
    <row r="1406" spans="2:8" x14ac:dyDescent="0.25">
      <c r="B1406" s="60">
        <v>45835</v>
      </c>
      <c r="C1406" s="5">
        <v>128.04</v>
      </c>
      <c r="D1406" s="54">
        <f t="shared" si="43"/>
        <v>4.4716403859730303E-3</v>
      </c>
      <c r="F1406" s="84">
        <v>2025</v>
      </c>
      <c r="G1406" s="5">
        <v>13.26</v>
      </c>
      <c r="H1406" s="54">
        <v>-8.0000000000000004E-4</v>
      </c>
    </row>
    <row r="1407" spans="2:8" x14ac:dyDescent="0.25">
      <c r="B1407" s="60">
        <v>45838</v>
      </c>
      <c r="C1407" s="5">
        <v>128.6</v>
      </c>
      <c r="D1407" s="54">
        <f t="shared" si="43"/>
        <v>4.3736332396127064E-3</v>
      </c>
      <c r="F1407" s="84">
        <v>2025</v>
      </c>
      <c r="G1407" s="5">
        <v>13.26</v>
      </c>
      <c r="H1407" s="54">
        <v>0</v>
      </c>
    </row>
    <row r="1408" spans="2:8" x14ac:dyDescent="0.25">
      <c r="B1408" s="60">
        <v>45839</v>
      </c>
      <c r="C1408" s="5">
        <v>128.53</v>
      </c>
      <c r="D1408" s="54">
        <f t="shared" si="43"/>
        <v>-5.4432348367028371E-4</v>
      </c>
      <c r="F1408" s="84">
        <v>2025</v>
      </c>
      <c r="G1408" s="5">
        <v>13.34</v>
      </c>
      <c r="H1408" s="54">
        <v>6.0000000000000001E-3</v>
      </c>
    </row>
    <row r="1409" spans="2:8" x14ac:dyDescent="0.25">
      <c r="B1409" s="60">
        <v>45840</v>
      </c>
      <c r="C1409" s="5">
        <v>129.05000000000001</v>
      </c>
      <c r="D1409" s="54">
        <f t="shared" si="43"/>
        <v>4.0457480743796292E-3</v>
      </c>
      <c r="F1409" s="84">
        <v>2025</v>
      </c>
      <c r="G1409" s="5">
        <v>13.28</v>
      </c>
      <c r="H1409" s="54">
        <v>-4.4999999999999997E-3</v>
      </c>
    </row>
    <row r="1410" spans="2:8" x14ac:dyDescent="0.25">
      <c r="B1410" s="60">
        <v>45841</v>
      </c>
      <c r="C1410" s="5">
        <v>129.79</v>
      </c>
      <c r="D1410" s="54">
        <f t="shared" si="43"/>
        <v>5.7342115459122489E-3</v>
      </c>
      <c r="F1410" s="84">
        <v>2025</v>
      </c>
      <c r="G1410" s="5">
        <v>13.28</v>
      </c>
      <c r="H1410" s="54">
        <v>0</v>
      </c>
    </row>
    <row r="1411" spans="2:8" x14ac:dyDescent="0.25">
      <c r="B1411" s="60">
        <v>45845</v>
      </c>
      <c r="C1411" s="5">
        <v>128.66</v>
      </c>
      <c r="D1411" s="54">
        <f t="shared" si="43"/>
        <v>-8.7063718314199789E-3</v>
      </c>
      <c r="F1411" s="84">
        <v>2025</v>
      </c>
      <c r="G1411" s="5">
        <v>13.24</v>
      </c>
      <c r="H1411" s="54">
        <v>-3.0000000000000001E-3</v>
      </c>
    </row>
    <row r="1412" spans="2:8" x14ac:dyDescent="0.25">
      <c r="B1412" s="60">
        <v>45846</v>
      </c>
      <c r="C1412" s="5">
        <v>128.88</v>
      </c>
      <c r="D1412" s="54">
        <f t="shared" si="43"/>
        <v>1.7099331571583942E-3</v>
      </c>
      <c r="F1412" s="84">
        <v>2025</v>
      </c>
      <c r="G1412" s="5">
        <v>13.19</v>
      </c>
      <c r="H1412" s="54">
        <v>-3.8E-3</v>
      </c>
    </row>
    <row r="1413" spans="2:8" x14ac:dyDescent="0.25">
      <c r="B1413" s="60">
        <v>45847</v>
      </c>
      <c r="C1413" s="5">
        <v>129.58000000000001</v>
      </c>
      <c r="D1413" s="54">
        <f t="shared" si="43"/>
        <v>5.4314090626941258E-3</v>
      </c>
      <c r="F1413" s="84">
        <v>2025</v>
      </c>
      <c r="G1413" s="5">
        <v>13.19</v>
      </c>
      <c r="H1413" s="54">
        <v>0</v>
      </c>
    </row>
    <row r="1414" spans="2:8" x14ac:dyDescent="0.25">
      <c r="B1414" s="60">
        <v>45848</v>
      </c>
      <c r="C1414" s="5">
        <v>129.85</v>
      </c>
      <c r="D1414" s="54">
        <f t="shared" si="43"/>
        <v>2.0836548850129422E-3</v>
      </c>
      <c r="F1414" s="84">
        <v>2025</v>
      </c>
      <c r="G1414" s="5">
        <v>13.2</v>
      </c>
      <c r="H1414" s="54">
        <v>8.0000000000000004E-4</v>
      </c>
    </row>
    <row r="1415" spans="2:8" x14ac:dyDescent="0.25">
      <c r="B1415" s="60">
        <v>45849</v>
      </c>
      <c r="C1415" s="5">
        <v>129.19999999999999</v>
      </c>
      <c r="D1415" s="54">
        <f t="shared" si="43"/>
        <v>-5.0057758952638531E-3</v>
      </c>
      <c r="F1415" s="84">
        <v>2025</v>
      </c>
      <c r="G1415" s="5">
        <v>13.18</v>
      </c>
      <c r="H1415" s="54">
        <v>-1.5E-3</v>
      </c>
    </row>
    <row r="1416" spans="2:8" x14ac:dyDescent="0.25">
      <c r="B1416" s="60">
        <v>45852</v>
      </c>
      <c r="C1416" s="5">
        <v>129.38</v>
      </c>
      <c r="D1416" s="54">
        <f t="shared" ref="D1416:D1479" si="44">C1416/C1415-1</f>
        <v>1.3931888544891358E-3</v>
      </c>
      <c r="F1416" s="84">
        <v>2025</v>
      </c>
      <c r="G1416" s="5">
        <v>13.16</v>
      </c>
      <c r="H1416" s="54">
        <v>-1.5E-3</v>
      </c>
    </row>
    <row r="1417" spans="2:8" x14ac:dyDescent="0.25">
      <c r="B1417" s="60">
        <v>45853</v>
      </c>
      <c r="C1417" s="5">
        <v>128.84</v>
      </c>
      <c r="D1417" s="54">
        <f t="shared" si="44"/>
        <v>-4.1737517390632028E-3</v>
      </c>
      <c r="F1417" s="84">
        <v>2025</v>
      </c>
      <c r="G1417" s="5">
        <v>13.12</v>
      </c>
      <c r="H1417" s="54">
        <v>-3.0000000000000001E-3</v>
      </c>
    </row>
    <row r="1418" spans="2:8" x14ac:dyDescent="0.25">
      <c r="B1418" s="60">
        <v>45854</v>
      </c>
      <c r="C1418" s="5">
        <v>129.34</v>
      </c>
      <c r="D1418" s="54">
        <f t="shared" si="44"/>
        <v>3.8807823657249774E-3</v>
      </c>
      <c r="F1418" s="84">
        <v>2025</v>
      </c>
      <c r="G1418" s="5">
        <v>13.09</v>
      </c>
      <c r="H1418" s="54">
        <v>-2.3E-3</v>
      </c>
    </row>
    <row r="1419" spans="2:8" x14ac:dyDescent="0.25">
      <c r="B1419" s="60">
        <v>45855</v>
      </c>
      <c r="C1419" s="5">
        <v>129.86000000000001</v>
      </c>
      <c r="D1419" s="54">
        <f t="shared" si="44"/>
        <v>4.0204113190043245E-3</v>
      </c>
      <c r="F1419" s="84">
        <v>2025</v>
      </c>
      <c r="G1419" s="5">
        <v>13.1</v>
      </c>
      <c r="H1419" s="54">
        <v>8.0000000000000004E-4</v>
      </c>
    </row>
    <row r="1420" spans="2:8" x14ac:dyDescent="0.25">
      <c r="B1420" s="60">
        <v>45856</v>
      </c>
      <c r="C1420" s="5">
        <v>129.76</v>
      </c>
      <c r="D1420" s="54">
        <f t="shared" si="44"/>
        <v>-7.7006006468527399E-4</v>
      </c>
      <c r="F1420" s="84">
        <v>2025</v>
      </c>
      <c r="G1420" s="5">
        <v>13.15</v>
      </c>
      <c r="H1420" s="54">
        <v>3.8E-3</v>
      </c>
    </row>
    <row r="1421" spans="2:8" x14ac:dyDescent="0.25">
      <c r="B1421" s="60">
        <v>45859</v>
      </c>
      <c r="C1421" s="5">
        <v>130.13</v>
      </c>
      <c r="D1421" s="54">
        <f t="shared" si="44"/>
        <v>2.8514180024661329E-3</v>
      </c>
      <c r="F1421" s="84">
        <v>2025</v>
      </c>
      <c r="G1421" s="5">
        <v>13.18</v>
      </c>
      <c r="H1421" s="54">
        <v>2.3E-3</v>
      </c>
    </row>
    <row r="1422" spans="2:8" x14ac:dyDescent="0.25">
      <c r="B1422" s="60">
        <v>45860</v>
      </c>
      <c r="C1422" s="5">
        <v>130.35</v>
      </c>
      <c r="D1422" s="54">
        <f t="shared" si="44"/>
        <v>1.6906170752324368E-3</v>
      </c>
      <c r="F1422" s="84">
        <v>2025</v>
      </c>
      <c r="G1422" s="5">
        <v>13.22</v>
      </c>
      <c r="H1422" s="54">
        <v>3.0000000000000001E-3</v>
      </c>
    </row>
    <row r="1423" spans="2:8" x14ac:dyDescent="0.25">
      <c r="B1423" s="60">
        <v>45861</v>
      </c>
      <c r="C1423" s="5">
        <v>131.9</v>
      </c>
      <c r="D1423" s="54">
        <f t="shared" si="44"/>
        <v>1.1891062523974094E-2</v>
      </c>
      <c r="F1423" s="84">
        <v>2025</v>
      </c>
      <c r="G1423" s="5">
        <v>13.23</v>
      </c>
      <c r="H1423" s="54">
        <v>8.0000000000000004E-4</v>
      </c>
    </row>
    <row r="1424" spans="2:8" x14ac:dyDescent="0.25">
      <c r="B1424" s="60">
        <v>45862</v>
      </c>
      <c r="C1424" s="5">
        <v>131.63</v>
      </c>
      <c r="D1424" s="54">
        <f t="shared" si="44"/>
        <v>-2.0470053070508198E-3</v>
      </c>
      <c r="F1424" s="84">
        <v>2025</v>
      </c>
      <c r="G1424" s="5">
        <v>13.23</v>
      </c>
      <c r="H1424" s="54">
        <v>0</v>
      </c>
    </row>
    <row r="1425" spans="2:8" x14ac:dyDescent="0.25">
      <c r="B1425" s="60">
        <v>45863</v>
      </c>
      <c r="C1425" s="5">
        <v>131.88</v>
      </c>
      <c r="D1425" s="54">
        <f t="shared" si="44"/>
        <v>1.8992630859226978E-3</v>
      </c>
      <c r="F1425" s="84">
        <v>2025</v>
      </c>
      <c r="G1425" s="5">
        <v>13.18</v>
      </c>
      <c r="H1425" s="54">
        <v>-3.8E-3</v>
      </c>
    </row>
    <row r="1426" spans="2:8" x14ac:dyDescent="0.25">
      <c r="B1426" s="60">
        <v>45866</v>
      </c>
      <c r="C1426" s="5">
        <v>131.29</v>
      </c>
      <c r="D1426" s="54">
        <f t="shared" si="44"/>
        <v>-4.4737640279042257E-3</v>
      </c>
      <c r="F1426" s="84">
        <v>2025</v>
      </c>
      <c r="G1426" s="5">
        <v>13.15</v>
      </c>
      <c r="H1426" s="54">
        <v>-2.3E-3</v>
      </c>
    </row>
    <row r="1427" spans="2:8" x14ac:dyDescent="0.25">
      <c r="B1427" s="60">
        <v>45867</v>
      </c>
      <c r="C1427" s="5">
        <v>131.05000000000001</v>
      </c>
      <c r="D1427" s="54">
        <f t="shared" si="44"/>
        <v>-1.828014319445348E-3</v>
      </c>
      <c r="F1427" s="84">
        <v>2025</v>
      </c>
      <c r="G1427" s="5">
        <v>13.12</v>
      </c>
      <c r="H1427" s="54">
        <v>-2.3E-3</v>
      </c>
    </row>
    <row r="1428" spans="2:8" x14ac:dyDescent="0.25">
      <c r="B1428" s="60">
        <v>45868</v>
      </c>
      <c r="C1428" s="5">
        <v>130.61000000000001</v>
      </c>
      <c r="D1428" s="54">
        <f t="shared" si="44"/>
        <v>-3.3574971384967567E-3</v>
      </c>
      <c r="F1428" s="84">
        <v>2025</v>
      </c>
      <c r="G1428" s="5">
        <v>13.09</v>
      </c>
      <c r="H1428" s="54">
        <v>-2.3E-3</v>
      </c>
    </row>
    <row r="1429" spans="2:8" x14ac:dyDescent="0.25">
      <c r="B1429" s="60">
        <v>45869</v>
      </c>
      <c r="C1429" s="5">
        <v>129.96</v>
      </c>
      <c r="D1429" s="54">
        <f t="shared" si="44"/>
        <v>-4.976648036138176E-3</v>
      </c>
      <c r="F1429" s="84">
        <v>2025</v>
      </c>
      <c r="G1429" s="5">
        <v>13.06</v>
      </c>
      <c r="H1429" s="54">
        <v>-2.3E-3</v>
      </c>
    </row>
    <row r="1430" spans="2:8" x14ac:dyDescent="0.25">
      <c r="B1430" s="60">
        <v>45870</v>
      </c>
      <c r="C1430" s="5">
        <v>128.32</v>
      </c>
      <c r="D1430" s="54">
        <f t="shared" si="44"/>
        <v>-1.2619267466912998E-2</v>
      </c>
      <c r="F1430" s="84">
        <v>2025</v>
      </c>
      <c r="G1430" s="5">
        <v>13.17</v>
      </c>
      <c r="H1430" s="54">
        <v>8.3999999999999995E-3</v>
      </c>
    </row>
    <row r="1431" spans="2:8" x14ac:dyDescent="0.25">
      <c r="B1431" s="60">
        <v>45873</v>
      </c>
      <c r="C1431" s="5">
        <v>130.16999999999999</v>
      </c>
      <c r="D1431" s="54">
        <f t="shared" si="44"/>
        <v>1.4417082294264194E-2</v>
      </c>
      <c r="F1431" s="84">
        <v>2025</v>
      </c>
      <c r="G1431" s="5">
        <v>13.23</v>
      </c>
      <c r="H1431" s="54">
        <v>4.5999999999999999E-3</v>
      </c>
    </row>
    <row r="1432" spans="2:8" x14ac:dyDescent="0.25">
      <c r="B1432" s="60">
        <v>45874</v>
      </c>
      <c r="C1432" s="5">
        <v>129.81</v>
      </c>
      <c r="D1432" s="54">
        <f t="shared" si="44"/>
        <v>-2.7656141968194214E-3</v>
      </c>
      <c r="F1432" s="84">
        <v>2025</v>
      </c>
      <c r="G1432" s="5">
        <v>13.21</v>
      </c>
      <c r="H1432" s="54">
        <v>-1.5E-3</v>
      </c>
    </row>
    <row r="1433" spans="2:8" x14ac:dyDescent="0.25">
      <c r="B1433" s="60">
        <v>45875</v>
      </c>
      <c r="C1433" s="5">
        <v>130.78</v>
      </c>
      <c r="D1433" s="54">
        <f t="shared" si="44"/>
        <v>7.4724597488637912E-3</v>
      </c>
      <c r="F1433" s="84">
        <v>2025</v>
      </c>
      <c r="G1433" s="5">
        <v>13.24</v>
      </c>
      <c r="H1433" s="54">
        <v>2.3E-3</v>
      </c>
    </row>
    <row r="1434" spans="2:8" x14ac:dyDescent="0.25">
      <c r="B1434" s="60">
        <v>45876</v>
      </c>
      <c r="C1434" s="5">
        <v>131.09</v>
      </c>
      <c r="D1434" s="54">
        <f t="shared" si="44"/>
        <v>2.3703930264566964E-3</v>
      </c>
      <c r="F1434" s="84">
        <v>2025</v>
      </c>
      <c r="G1434" s="5">
        <v>13.27</v>
      </c>
      <c r="H1434" s="54">
        <v>2.3E-3</v>
      </c>
    </row>
    <row r="1435" spans="2:8" x14ac:dyDescent="0.25">
      <c r="B1435" s="60">
        <v>45877</v>
      </c>
      <c r="C1435" s="5">
        <v>131.86000000000001</v>
      </c>
      <c r="D1435" s="54">
        <f t="shared" si="44"/>
        <v>5.8738271416585164E-3</v>
      </c>
      <c r="F1435" s="84">
        <v>2025</v>
      </c>
      <c r="G1435" s="5">
        <v>13.24</v>
      </c>
      <c r="H1435" s="54">
        <v>-2.3E-3</v>
      </c>
    </row>
    <row r="1436" spans="2:8" x14ac:dyDescent="0.25">
      <c r="B1436" s="60">
        <v>45880</v>
      </c>
      <c r="C1436" s="5">
        <v>131.51</v>
      </c>
      <c r="D1436" s="54">
        <f t="shared" si="44"/>
        <v>-2.6543303503717697E-3</v>
      </c>
      <c r="F1436" s="84">
        <v>2025</v>
      </c>
      <c r="G1436" s="5">
        <v>13.23</v>
      </c>
      <c r="H1436" s="54">
        <v>-8.0000000000000004E-4</v>
      </c>
    </row>
    <row r="1437" spans="2:8" x14ac:dyDescent="0.25">
      <c r="B1437" s="60">
        <v>45881</v>
      </c>
      <c r="C1437" s="5">
        <v>132.94999999999999</v>
      </c>
      <c r="D1437" s="54">
        <f t="shared" si="44"/>
        <v>1.0949737662535153E-2</v>
      </c>
      <c r="F1437" s="84">
        <v>2025</v>
      </c>
      <c r="G1437" s="5">
        <v>13.23</v>
      </c>
      <c r="H1437" s="54">
        <v>0</v>
      </c>
    </row>
    <row r="1438" spans="2:8" x14ac:dyDescent="0.25">
      <c r="B1438" s="60">
        <v>45882</v>
      </c>
      <c r="C1438" s="5">
        <v>133.56</v>
      </c>
      <c r="D1438" s="54">
        <f t="shared" si="44"/>
        <v>4.5881910492666655E-3</v>
      </c>
      <c r="F1438" s="84">
        <v>2025</v>
      </c>
      <c r="G1438" s="5">
        <v>13.29</v>
      </c>
      <c r="H1438" s="54">
        <v>4.4999999999999997E-3</v>
      </c>
    </row>
    <row r="1439" spans="2:8" x14ac:dyDescent="0.25">
      <c r="B1439" s="60">
        <v>45883</v>
      </c>
      <c r="C1439" s="5">
        <v>133.35</v>
      </c>
      <c r="D1439" s="54">
        <f t="shared" si="44"/>
        <v>-1.5723270440252124E-3</v>
      </c>
      <c r="F1439" s="84">
        <v>2025</v>
      </c>
      <c r="G1439" s="5">
        <v>13.28</v>
      </c>
      <c r="H1439" s="54">
        <v>-8.0000000000000004E-4</v>
      </c>
    </row>
    <row r="1440" spans="2:8" x14ac:dyDescent="0.25">
      <c r="B1440" s="60">
        <v>45884</v>
      </c>
      <c r="C1440" s="5">
        <v>133.38</v>
      </c>
      <c r="D1440" s="54">
        <f t="shared" si="44"/>
        <v>2.2497187851522327E-4</v>
      </c>
      <c r="F1440" s="84">
        <v>2025</v>
      </c>
      <c r="G1440" s="5">
        <v>13.27</v>
      </c>
      <c r="H1440" s="54">
        <v>-8.0000000000000004E-4</v>
      </c>
    </row>
    <row r="1441" spans="2:8" x14ac:dyDescent="0.25">
      <c r="B1441" s="60">
        <v>45887</v>
      </c>
      <c r="C1441" s="5">
        <v>133.41</v>
      </c>
      <c r="D1441" s="54">
        <f t="shared" si="44"/>
        <v>2.2492127755291413E-4</v>
      </c>
      <c r="F1441" s="84">
        <v>2025</v>
      </c>
      <c r="G1441" s="5">
        <v>13.24</v>
      </c>
      <c r="H1441" s="54">
        <v>-2.3E-3</v>
      </c>
    </row>
    <row r="1442" spans="2:8" x14ac:dyDescent="0.25">
      <c r="B1442" s="60">
        <v>45888</v>
      </c>
      <c r="C1442" s="5">
        <v>132.69999999999999</v>
      </c>
      <c r="D1442" s="54">
        <f t="shared" si="44"/>
        <v>-5.3219398845664179E-3</v>
      </c>
      <c r="F1442" s="84">
        <v>2025</v>
      </c>
      <c r="G1442" s="5">
        <v>13.23</v>
      </c>
      <c r="H1442" s="54">
        <v>-8.0000000000000004E-4</v>
      </c>
    </row>
    <row r="1443" spans="2:8" x14ac:dyDescent="0.25">
      <c r="B1443" s="60">
        <v>45889</v>
      </c>
      <c r="C1443" s="5">
        <v>132.55000000000001</v>
      </c>
      <c r="D1443" s="54">
        <f t="shared" si="44"/>
        <v>-1.1303692539561538E-3</v>
      </c>
      <c r="F1443" s="84">
        <v>2025</v>
      </c>
      <c r="G1443" s="5">
        <v>13.23</v>
      </c>
      <c r="H1443" s="54">
        <v>0</v>
      </c>
    </row>
    <row r="1444" spans="2:8" x14ac:dyDescent="0.25">
      <c r="B1444" s="60">
        <v>45890</v>
      </c>
      <c r="C1444" s="5">
        <v>132.04</v>
      </c>
      <c r="D1444" s="54">
        <f t="shared" si="44"/>
        <v>-3.8476046774803541E-3</v>
      </c>
      <c r="F1444" s="84">
        <v>2025</v>
      </c>
      <c r="G1444" s="5">
        <v>13.19</v>
      </c>
      <c r="H1444" s="54">
        <v>-3.0000000000000001E-3</v>
      </c>
    </row>
    <row r="1445" spans="2:8" x14ac:dyDescent="0.25">
      <c r="B1445" s="60">
        <v>45891</v>
      </c>
      <c r="C1445" s="5">
        <v>134.22</v>
      </c>
      <c r="D1445" s="54">
        <f t="shared" si="44"/>
        <v>1.6510148439866867E-2</v>
      </c>
      <c r="F1445" s="84">
        <v>2025</v>
      </c>
      <c r="G1445" s="5">
        <v>13.2</v>
      </c>
      <c r="H1445" s="54">
        <v>8.0000000000000004E-4</v>
      </c>
    </row>
    <row r="1446" spans="2:8" x14ac:dyDescent="0.25">
      <c r="B1446" s="60">
        <v>45894</v>
      </c>
      <c r="C1446" s="5">
        <v>133.35</v>
      </c>
      <c r="D1446" s="54">
        <f t="shared" si="44"/>
        <v>-6.4818953956191638E-3</v>
      </c>
      <c r="F1446" s="84">
        <v>2025</v>
      </c>
      <c r="G1446" s="5">
        <v>13.27</v>
      </c>
      <c r="H1446" s="54">
        <v>5.3E-3</v>
      </c>
    </row>
    <row r="1447" spans="2:8" x14ac:dyDescent="0.25">
      <c r="B1447" s="60">
        <v>45895</v>
      </c>
      <c r="C1447" s="5">
        <v>133.63</v>
      </c>
      <c r="D1447" s="54">
        <f t="shared" si="44"/>
        <v>2.0997375328084544E-3</v>
      </c>
      <c r="F1447" s="84">
        <v>2025</v>
      </c>
      <c r="G1447" s="5">
        <v>13.24</v>
      </c>
      <c r="H1447" s="54">
        <v>-2.3E-3</v>
      </c>
    </row>
    <row r="1448" spans="2:8" x14ac:dyDescent="0.25">
      <c r="B1448" s="60">
        <v>45896</v>
      </c>
      <c r="C1448" s="5">
        <v>133.68</v>
      </c>
      <c r="D1448" s="54">
        <f t="shared" si="44"/>
        <v>3.741674773629633E-4</v>
      </c>
      <c r="F1448" s="84">
        <v>2025</v>
      </c>
      <c r="G1448" s="5">
        <v>13.22</v>
      </c>
      <c r="H1448" s="54">
        <v>-1.5E-3</v>
      </c>
    </row>
    <row r="1449" spans="2:8" x14ac:dyDescent="0.25">
      <c r="B1449" s="60">
        <v>45897</v>
      </c>
      <c r="C1449" s="5">
        <v>134.22</v>
      </c>
      <c r="D1449" s="54">
        <f t="shared" si="44"/>
        <v>4.0394973070017048E-3</v>
      </c>
      <c r="F1449" s="84">
        <v>2025</v>
      </c>
      <c r="G1449" s="5">
        <v>13.3</v>
      </c>
      <c r="H1449" s="54">
        <v>6.1000000000000004E-3</v>
      </c>
    </row>
    <row r="1450" spans="2:8" x14ac:dyDescent="0.25">
      <c r="B1450" s="60">
        <v>45898</v>
      </c>
      <c r="C1450" s="5">
        <v>133.44</v>
      </c>
      <c r="D1450" s="54">
        <f t="shared" si="44"/>
        <v>-5.8113544926240435E-3</v>
      </c>
      <c r="F1450" s="84">
        <v>2025</v>
      </c>
      <c r="G1450" s="5">
        <v>13.28</v>
      </c>
      <c r="H1450" s="54">
        <v>-1.5E-3</v>
      </c>
    </row>
    <row r="1451" spans="2:8" x14ac:dyDescent="0.25">
      <c r="B1451" s="60">
        <v>45902</v>
      </c>
      <c r="C1451" s="5">
        <v>132.5</v>
      </c>
      <c r="D1451" s="54">
        <f t="shared" si="44"/>
        <v>-7.0443645083932971E-3</v>
      </c>
      <c r="F1451" s="84">
        <v>2025</v>
      </c>
      <c r="G1451" s="5">
        <v>13.22</v>
      </c>
      <c r="H1451" s="54">
        <v>-4.4999999999999997E-3</v>
      </c>
    </row>
    <row r="1452" spans="2:8" x14ac:dyDescent="0.25">
      <c r="B1452" s="60">
        <v>45903</v>
      </c>
      <c r="C1452" s="5">
        <v>133.06</v>
      </c>
      <c r="D1452" s="54">
        <f t="shared" si="44"/>
        <v>4.2264150943396306E-3</v>
      </c>
      <c r="F1452" s="84">
        <v>2025</v>
      </c>
      <c r="G1452" s="5">
        <v>13.24</v>
      </c>
      <c r="H1452" s="54">
        <v>1.5E-3</v>
      </c>
    </row>
    <row r="1453" spans="2:8" x14ac:dyDescent="0.25">
      <c r="B1453" s="60">
        <v>45904</v>
      </c>
      <c r="C1453" s="5">
        <v>133.94999999999999</v>
      </c>
      <c r="D1453" s="54">
        <f t="shared" si="44"/>
        <v>6.6887118593115247E-3</v>
      </c>
      <c r="F1453" s="84">
        <v>2025</v>
      </c>
      <c r="G1453" s="5">
        <v>13.27</v>
      </c>
      <c r="H1453" s="54">
        <v>2.3E-3</v>
      </c>
    </row>
    <row r="1454" spans="2:8" x14ac:dyDescent="0.25">
      <c r="B1454" s="60">
        <v>45905</v>
      </c>
      <c r="C1454" s="5">
        <v>134.07</v>
      </c>
      <c r="D1454" s="54">
        <f t="shared" si="44"/>
        <v>8.9585666293401367E-4</v>
      </c>
      <c r="F1454" s="84">
        <v>2025</v>
      </c>
      <c r="G1454" s="5">
        <v>13.39</v>
      </c>
      <c r="H1454" s="54">
        <v>8.9999999999999993E-3</v>
      </c>
    </row>
    <row r="1455" spans="2:8" x14ac:dyDescent="0.25">
      <c r="B1455" s="60">
        <v>45908</v>
      </c>
      <c r="C1455" s="5">
        <v>134.72</v>
      </c>
      <c r="D1455" s="54">
        <f t="shared" si="44"/>
        <v>4.8482136197509629E-3</v>
      </c>
      <c r="F1455" s="84">
        <v>2025</v>
      </c>
      <c r="G1455" s="5">
        <v>13.4</v>
      </c>
      <c r="H1455" s="54">
        <v>6.9999999999999999E-4</v>
      </c>
    </row>
    <row r="1456" spans="2:8" x14ac:dyDescent="0.25">
      <c r="B1456" s="60">
        <v>45909</v>
      </c>
      <c r="C1456" s="5">
        <v>134.91999999999999</v>
      </c>
      <c r="D1456" s="54">
        <f t="shared" si="44"/>
        <v>1.4845605700710696E-3</v>
      </c>
      <c r="F1456" s="84">
        <v>2025</v>
      </c>
      <c r="G1456" s="5">
        <v>13.42</v>
      </c>
      <c r="H1456" s="54">
        <v>1.5E-3</v>
      </c>
    </row>
    <row r="1457" spans="2:8" x14ac:dyDescent="0.25">
      <c r="B1457" s="60">
        <v>45910</v>
      </c>
      <c r="C1457" s="5">
        <v>135.22</v>
      </c>
      <c r="D1457" s="54">
        <f t="shared" si="44"/>
        <v>2.2235398754819613E-3</v>
      </c>
      <c r="F1457" s="84">
        <v>2025</v>
      </c>
      <c r="G1457" s="5">
        <v>13.4</v>
      </c>
      <c r="H1457" s="54">
        <v>-1.5E-3</v>
      </c>
    </row>
    <row r="1458" spans="2:8" x14ac:dyDescent="0.25">
      <c r="B1458" s="60">
        <v>45911</v>
      </c>
      <c r="C1458" s="5">
        <v>136.55000000000001</v>
      </c>
      <c r="D1458" s="54">
        <f t="shared" si="44"/>
        <v>9.8358231030912791E-3</v>
      </c>
      <c r="F1458" s="84">
        <v>2025</v>
      </c>
      <c r="G1458" s="5">
        <v>13.43</v>
      </c>
      <c r="H1458" s="54">
        <v>2.2000000000000001E-3</v>
      </c>
    </row>
    <row r="1459" spans="2:8" x14ac:dyDescent="0.25">
      <c r="B1459" s="60">
        <v>45912</v>
      </c>
      <c r="C1459" s="5">
        <v>136.35</v>
      </c>
      <c r="D1459" s="54">
        <f t="shared" si="44"/>
        <v>-1.4646649578909932E-3</v>
      </c>
      <c r="F1459" s="84">
        <v>2025</v>
      </c>
      <c r="G1459" s="5">
        <v>13.39</v>
      </c>
      <c r="H1459" s="54">
        <v>-3.0000000000000001E-3</v>
      </c>
    </row>
    <row r="1460" spans="2:8" x14ac:dyDescent="0.25">
      <c r="B1460" s="60">
        <v>45915</v>
      </c>
      <c r="C1460" s="5">
        <v>137.24</v>
      </c>
      <c r="D1460" s="54">
        <f t="shared" si="44"/>
        <v>6.5273193986066236E-3</v>
      </c>
      <c r="F1460" s="84">
        <v>2025</v>
      </c>
      <c r="G1460" s="5">
        <v>13.43</v>
      </c>
      <c r="H1460" s="54">
        <v>3.0000000000000001E-3</v>
      </c>
    </row>
    <row r="1461" spans="2:8" x14ac:dyDescent="0.25">
      <c r="B1461" s="60">
        <v>45916</v>
      </c>
      <c r="C1461" s="5">
        <v>137.1</v>
      </c>
      <c r="D1461" s="54">
        <f t="shared" si="44"/>
        <v>-1.0201107548820643E-3</v>
      </c>
      <c r="F1461" s="84">
        <v>2025</v>
      </c>
      <c r="G1461" s="5">
        <v>13.47</v>
      </c>
      <c r="H1461" s="54">
        <v>3.0000000000000001E-3</v>
      </c>
    </row>
    <row r="1462" spans="2:8" x14ac:dyDescent="0.25">
      <c r="B1462" s="60">
        <v>45917</v>
      </c>
      <c r="C1462" s="5">
        <v>136.97</v>
      </c>
      <c r="D1462" s="54">
        <f t="shared" si="44"/>
        <v>-9.4821298322389502E-4</v>
      </c>
      <c r="F1462" s="84">
        <v>2025</v>
      </c>
      <c r="G1462" s="5">
        <v>13.5</v>
      </c>
      <c r="H1462" s="54">
        <v>2.2000000000000001E-3</v>
      </c>
    </row>
    <row r="1463" spans="2:8" x14ac:dyDescent="0.25">
      <c r="B1463" s="60">
        <v>45918</v>
      </c>
      <c r="C1463" s="5">
        <v>137.54</v>
      </c>
      <c r="D1463" s="54">
        <f t="shared" si="44"/>
        <v>4.1614952179309661E-3</v>
      </c>
      <c r="F1463" s="84">
        <v>2025</v>
      </c>
      <c r="G1463" s="5">
        <v>13.41</v>
      </c>
      <c r="H1463" s="54">
        <v>-6.7000000000000002E-3</v>
      </c>
    </row>
    <row r="1464" spans="2:8" x14ac:dyDescent="0.25">
      <c r="B1464" s="60">
        <v>45919</v>
      </c>
      <c r="C1464" s="5">
        <v>137.76</v>
      </c>
      <c r="D1464" s="54">
        <f t="shared" si="44"/>
        <v>1.5995346808201916E-3</v>
      </c>
      <c r="F1464" s="84">
        <v>2025</v>
      </c>
      <c r="G1464" s="5">
        <v>13.4</v>
      </c>
      <c r="H1464" s="54">
        <v>-6.9999999999999999E-4</v>
      </c>
    </row>
    <row r="1465" spans="2:8" x14ac:dyDescent="0.25">
      <c r="B1465" s="60">
        <v>45922</v>
      </c>
      <c r="C1465" s="5">
        <v>138.41</v>
      </c>
      <c r="D1465" s="54">
        <f t="shared" si="44"/>
        <v>4.7183507549362069E-3</v>
      </c>
      <c r="F1465" s="84">
        <v>2025</v>
      </c>
      <c r="G1465" s="5">
        <v>13.4</v>
      </c>
      <c r="H1465" s="54">
        <v>0</v>
      </c>
    </row>
    <row r="1466" spans="2:8" x14ac:dyDescent="0.25">
      <c r="B1466" s="60">
        <v>45923</v>
      </c>
      <c r="C1466" s="5">
        <v>137.88999999999999</v>
      </c>
      <c r="D1466" s="54">
        <f t="shared" si="44"/>
        <v>-3.7569539773139038E-3</v>
      </c>
      <c r="F1466" s="84">
        <v>2025</v>
      </c>
      <c r="G1466" s="5">
        <v>13.41</v>
      </c>
      <c r="H1466" s="54">
        <v>6.9999999999999999E-4</v>
      </c>
    </row>
    <row r="1467" spans="2:8" x14ac:dyDescent="0.25">
      <c r="B1467" s="60">
        <v>45924</v>
      </c>
      <c r="C1467" s="5">
        <v>137.30000000000001</v>
      </c>
      <c r="D1467" s="54">
        <f t="shared" si="44"/>
        <v>-4.2787729349479386E-3</v>
      </c>
      <c r="F1467" s="84">
        <v>2025</v>
      </c>
      <c r="G1467" s="5">
        <v>13.37</v>
      </c>
      <c r="H1467" s="54">
        <v>-3.0000000000000001E-3</v>
      </c>
    </row>
    <row r="1468" spans="2:8" x14ac:dyDescent="0.25">
      <c r="B1468" s="60">
        <v>45925</v>
      </c>
      <c r="C1468" s="5">
        <v>136.62</v>
      </c>
      <c r="D1468" s="54">
        <f t="shared" si="44"/>
        <v>-4.9526584122360218E-3</v>
      </c>
      <c r="F1468" s="84">
        <v>2025</v>
      </c>
      <c r="G1468" s="5">
        <v>13.31</v>
      </c>
      <c r="H1468" s="54">
        <v>-4.4999999999999997E-3</v>
      </c>
    </row>
    <row r="1469" spans="2:8" x14ac:dyDescent="0.25">
      <c r="B1469" s="60">
        <v>45926</v>
      </c>
      <c r="C1469" s="5">
        <v>137.34</v>
      </c>
      <c r="D1469" s="54">
        <f t="shared" si="44"/>
        <v>5.2700922266140093E-3</v>
      </c>
      <c r="F1469" s="84">
        <v>2025</v>
      </c>
      <c r="G1469" s="5">
        <v>13.3</v>
      </c>
      <c r="H1469" s="54">
        <v>-8.0000000000000004E-4</v>
      </c>
    </row>
    <row r="1470" spans="2:8" x14ac:dyDescent="0.25">
      <c r="B1470" s="60">
        <v>45929</v>
      </c>
      <c r="C1470" s="5">
        <v>137.68</v>
      </c>
      <c r="D1470" s="54">
        <f t="shared" si="44"/>
        <v>2.4756079801950825E-3</v>
      </c>
      <c r="F1470" s="84">
        <v>2025</v>
      </c>
      <c r="G1470" s="5">
        <v>13.36</v>
      </c>
      <c r="H1470" s="54">
        <v>4.4999999999999997E-3</v>
      </c>
    </row>
    <row r="1471" spans="2:8" x14ac:dyDescent="0.25">
      <c r="B1471" s="60">
        <v>45930</v>
      </c>
      <c r="C1471" s="5">
        <v>138.24</v>
      </c>
      <c r="D1471" s="54">
        <f t="shared" si="44"/>
        <v>4.0674026728646506E-3</v>
      </c>
      <c r="F1471" s="84">
        <v>2025</v>
      </c>
      <c r="G1471" s="5">
        <v>13.37</v>
      </c>
      <c r="H1471" s="54">
        <v>6.9999999999999999E-4</v>
      </c>
    </row>
    <row r="1472" spans="2:8" x14ac:dyDescent="0.25">
      <c r="B1472" s="60">
        <v>45931</v>
      </c>
      <c r="C1472" s="5">
        <v>138.94</v>
      </c>
      <c r="D1472" s="54">
        <f t="shared" si="44"/>
        <v>5.0636574074072183E-3</v>
      </c>
      <c r="F1472" s="84">
        <v>2025</v>
      </c>
      <c r="G1472" s="5">
        <v>13.41</v>
      </c>
      <c r="H1472" s="54">
        <v>3.0000000000000001E-3</v>
      </c>
    </row>
    <row r="1473" spans="2:8" x14ac:dyDescent="0.25">
      <c r="B1473" s="60">
        <v>45932</v>
      </c>
      <c r="C1473" s="5">
        <v>139.26</v>
      </c>
      <c r="D1473" s="54">
        <f t="shared" si="44"/>
        <v>2.3031524399019787E-3</v>
      </c>
      <c r="F1473" s="84">
        <v>2025</v>
      </c>
      <c r="G1473" s="5">
        <v>13.38</v>
      </c>
      <c r="H1473" s="54">
        <v>-2.2000000000000001E-3</v>
      </c>
    </row>
    <row r="1474" spans="2:8" x14ac:dyDescent="0.25">
      <c r="B1474" s="60">
        <v>45933</v>
      </c>
      <c r="C1474" s="5">
        <v>139.5</v>
      </c>
      <c r="D1474" s="54">
        <f t="shared" si="44"/>
        <v>1.7233950883239757E-3</v>
      </c>
      <c r="F1474" s="84">
        <v>2025</v>
      </c>
      <c r="G1474" s="5">
        <v>13.4</v>
      </c>
      <c r="H1474" s="54">
        <v>1.5E-3</v>
      </c>
    </row>
    <row r="1475" spans="2:8" x14ac:dyDescent="0.25">
      <c r="B1475" s="60">
        <v>45936</v>
      </c>
      <c r="C1475" s="5">
        <v>140.05000000000001</v>
      </c>
      <c r="D1475" s="54">
        <f t="shared" si="44"/>
        <v>3.9426523297492189E-3</v>
      </c>
      <c r="F1475" s="84">
        <v>2025</v>
      </c>
      <c r="G1475" s="5">
        <v>13.34</v>
      </c>
      <c r="H1475" s="54">
        <v>-4.4999999999999997E-3</v>
      </c>
    </row>
    <row r="1476" spans="2:8" x14ac:dyDescent="0.25">
      <c r="B1476" s="60">
        <v>45937</v>
      </c>
      <c r="C1476" s="5">
        <v>139.21</v>
      </c>
      <c r="D1476" s="54">
        <f t="shared" si="44"/>
        <v>-5.9978579078900918E-3</v>
      </c>
      <c r="F1476" s="84">
        <v>2025</v>
      </c>
      <c r="G1476" s="5">
        <v>13.32</v>
      </c>
      <c r="H1476" s="54">
        <v>-1.5E-3</v>
      </c>
    </row>
    <row r="1477" spans="2:8" x14ac:dyDescent="0.25">
      <c r="B1477" s="60">
        <v>45938</v>
      </c>
      <c r="C1477" s="5">
        <v>140.03</v>
      </c>
      <c r="D1477" s="54">
        <f t="shared" si="44"/>
        <v>5.8903814381150443E-3</v>
      </c>
      <c r="F1477" s="84">
        <v>2025</v>
      </c>
      <c r="G1477" s="5">
        <v>13.32</v>
      </c>
      <c r="H1477" s="54">
        <v>0</v>
      </c>
    </row>
    <row r="1478" spans="2:8" x14ac:dyDescent="0.25">
      <c r="B1478" s="60">
        <v>45939</v>
      </c>
      <c r="C1478" s="5">
        <v>139.35</v>
      </c>
      <c r="D1478" s="54">
        <f t="shared" si="44"/>
        <v>-4.8561022638006213E-3</v>
      </c>
      <c r="F1478" s="84">
        <v>2025</v>
      </c>
      <c r="G1478" s="5">
        <v>13.29</v>
      </c>
      <c r="H1478" s="54">
        <v>-2.3E-3</v>
      </c>
    </row>
    <row r="1479" spans="2:8" x14ac:dyDescent="0.25">
      <c r="B1479" s="60">
        <v>45940</v>
      </c>
      <c r="C1479" s="5">
        <v>135.71</v>
      </c>
      <c r="D1479" s="54">
        <f t="shared" si="44"/>
        <v>-2.6121277359167472E-2</v>
      </c>
      <c r="F1479" s="84">
        <v>2025</v>
      </c>
      <c r="G1479" s="5">
        <v>13.29</v>
      </c>
      <c r="H1479" s="54">
        <v>0</v>
      </c>
    </row>
    <row r="1480" spans="2:8" x14ac:dyDescent="0.25">
      <c r="B1480" s="60">
        <v>45943</v>
      </c>
      <c r="C1480" s="5">
        <v>137.82</v>
      </c>
      <c r="D1480" s="54">
        <f t="shared" ref="D1480:D1543" si="45">C1480/C1479-1</f>
        <v>1.5547859406086495E-2</v>
      </c>
      <c r="F1480" s="84">
        <v>2025</v>
      </c>
      <c r="G1480" s="5">
        <v>13.31</v>
      </c>
      <c r="H1480" s="54">
        <v>1.5E-3</v>
      </c>
    </row>
    <row r="1481" spans="2:8" x14ac:dyDescent="0.25">
      <c r="B1481" s="60">
        <v>45944</v>
      </c>
      <c r="C1481" s="5">
        <v>137.68</v>
      </c>
      <c r="D1481" s="54">
        <f t="shared" si="45"/>
        <v>-1.0158177332751928E-3</v>
      </c>
      <c r="F1481" s="84">
        <v>2025</v>
      </c>
      <c r="G1481" s="5">
        <v>13.38</v>
      </c>
      <c r="H1481" s="54">
        <v>5.3E-3</v>
      </c>
    </row>
    <row r="1482" spans="2:8" x14ac:dyDescent="0.25">
      <c r="B1482" s="60">
        <v>45945</v>
      </c>
      <c r="C1482" s="5">
        <v>138.56</v>
      </c>
      <c r="D1482" s="54">
        <f t="shared" si="45"/>
        <v>6.391632771644451E-3</v>
      </c>
      <c r="F1482" s="84">
        <v>2025</v>
      </c>
      <c r="G1482" s="5">
        <v>13.4</v>
      </c>
      <c r="H1482" s="54">
        <v>1.5E-3</v>
      </c>
    </row>
    <row r="1483" spans="2:8" x14ac:dyDescent="0.25">
      <c r="B1483" s="60">
        <v>45946</v>
      </c>
      <c r="C1483" s="5">
        <v>138.08000000000001</v>
      </c>
      <c r="D1483" s="54">
        <f t="shared" si="45"/>
        <v>-3.4642032332562467E-3</v>
      </c>
      <c r="F1483" s="84">
        <v>2025</v>
      </c>
      <c r="G1483" s="5">
        <v>13.41</v>
      </c>
      <c r="H1483" s="54">
        <v>6.9999999999999999E-4</v>
      </c>
    </row>
    <row r="1484" spans="2:8" x14ac:dyDescent="0.25">
      <c r="B1484" s="60">
        <v>45947</v>
      </c>
      <c r="C1484" s="5">
        <v>138.63</v>
      </c>
      <c r="D1484" s="54">
        <f t="shared" si="45"/>
        <v>3.9831981460021204E-3</v>
      </c>
      <c r="F1484" s="84">
        <v>2025</v>
      </c>
      <c r="G1484" s="5">
        <v>13.42</v>
      </c>
      <c r="H1484" s="54">
        <v>6.9999999999999999E-4</v>
      </c>
    </row>
    <row r="1485" spans="2:8" x14ac:dyDescent="0.25">
      <c r="B1485" s="60">
        <v>45950</v>
      </c>
      <c r="C1485" s="5">
        <v>140.02000000000001</v>
      </c>
      <c r="D1485" s="54">
        <f t="shared" si="45"/>
        <v>1.0026689749693452E-2</v>
      </c>
      <c r="F1485" s="84">
        <v>2025</v>
      </c>
      <c r="G1485" s="5">
        <v>13.42</v>
      </c>
      <c r="H1485" s="54">
        <v>0</v>
      </c>
    </row>
    <row r="1486" spans="2:8" x14ac:dyDescent="0.25">
      <c r="B1486" s="60">
        <v>45951</v>
      </c>
      <c r="C1486" s="5">
        <v>139.61000000000001</v>
      </c>
      <c r="D1486" s="54">
        <f t="shared" si="45"/>
        <v>-2.9281531209827127E-3</v>
      </c>
      <c r="F1486" s="84">
        <v>2025</v>
      </c>
      <c r="G1486" s="5">
        <v>13.42</v>
      </c>
      <c r="H1486" s="54">
        <v>0</v>
      </c>
    </row>
    <row r="1487" spans="2:8" x14ac:dyDescent="0.25">
      <c r="B1487" s="60">
        <v>45952</v>
      </c>
      <c r="C1487" s="5">
        <v>139.06</v>
      </c>
      <c r="D1487" s="54">
        <f t="shared" si="45"/>
        <v>-3.9395458778025416E-3</v>
      </c>
      <c r="F1487" s="84">
        <v>2025</v>
      </c>
      <c r="G1487" s="5">
        <v>13.41</v>
      </c>
      <c r="H1487" s="54">
        <v>-6.9999999999999999E-4</v>
      </c>
    </row>
    <row r="1488" spans="2:8" x14ac:dyDescent="0.25">
      <c r="B1488" s="60">
        <v>45953</v>
      </c>
      <c r="C1488" s="5">
        <v>139.94999999999999</v>
      </c>
      <c r="D1488" s="54">
        <f t="shared" si="45"/>
        <v>6.4001150582482236E-3</v>
      </c>
      <c r="F1488" s="84">
        <v>2025</v>
      </c>
      <c r="G1488" s="5">
        <v>13.41</v>
      </c>
      <c r="H1488" s="54">
        <v>0</v>
      </c>
    </row>
    <row r="1489" spans="2:8" x14ac:dyDescent="0.25">
      <c r="B1489" s="60">
        <v>45954</v>
      </c>
      <c r="C1489" s="5">
        <v>140.86000000000001</v>
      </c>
      <c r="D1489" s="54">
        <f t="shared" si="45"/>
        <v>6.5023222579494444E-3</v>
      </c>
      <c r="F1489" s="84">
        <v>2025</v>
      </c>
      <c r="G1489" s="5">
        <v>13.42</v>
      </c>
      <c r="H1489" s="54">
        <v>6.9999999999999999E-4</v>
      </c>
    </row>
    <row r="1490" spans="2:8" x14ac:dyDescent="0.25">
      <c r="B1490" s="60">
        <v>45957</v>
      </c>
      <c r="C1490" s="5">
        <v>142.34</v>
      </c>
      <c r="D1490" s="54">
        <f t="shared" si="45"/>
        <v>1.0506886270055249E-2</v>
      </c>
      <c r="F1490" s="84">
        <v>2025</v>
      </c>
      <c r="G1490" s="5">
        <v>13.46</v>
      </c>
      <c r="H1490" s="54">
        <v>3.0000000000000001E-3</v>
      </c>
    </row>
    <row r="1491" spans="2:8" x14ac:dyDescent="0.25">
      <c r="B1491" s="60">
        <v>45958</v>
      </c>
      <c r="C1491" s="5">
        <v>142.55000000000001</v>
      </c>
      <c r="D1491" s="54">
        <f t="shared" si="45"/>
        <v>1.4753407334551216E-3</v>
      </c>
      <c r="F1491" s="84">
        <v>2025</v>
      </c>
      <c r="G1491" s="5">
        <v>13.46</v>
      </c>
      <c r="H1491" s="54">
        <v>0</v>
      </c>
    </row>
    <row r="1492" spans="2:8" x14ac:dyDescent="0.25">
      <c r="B1492" s="60">
        <v>45959</v>
      </c>
      <c r="C1492" s="5">
        <v>142.56</v>
      </c>
      <c r="D1492" s="54">
        <f t="shared" si="45"/>
        <v>7.0150824272197099E-5</v>
      </c>
      <c r="F1492" s="84">
        <v>2025</v>
      </c>
      <c r="G1492" s="5">
        <v>13.36</v>
      </c>
      <c r="H1492" s="54">
        <v>-7.4000000000000003E-3</v>
      </c>
    </row>
    <row r="1493" spans="2:8" x14ac:dyDescent="0.25">
      <c r="B1493" s="60">
        <v>45960</v>
      </c>
      <c r="C1493" s="5">
        <v>141.16999999999999</v>
      </c>
      <c r="D1493" s="54">
        <f t="shared" si="45"/>
        <v>-9.750280583614046E-3</v>
      </c>
      <c r="F1493" s="84">
        <v>2025</v>
      </c>
      <c r="G1493" s="5">
        <v>13.35</v>
      </c>
      <c r="H1493" s="54">
        <v>-6.9999999999999999E-4</v>
      </c>
    </row>
    <row r="1494" spans="2:8" x14ac:dyDescent="0.25">
      <c r="B1494" s="60">
        <v>45961</v>
      </c>
      <c r="C1494" s="5">
        <v>141.41</v>
      </c>
      <c r="D1494" s="54">
        <f t="shared" si="45"/>
        <v>1.7000779202380745E-3</v>
      </c>
      <c r="F1494" s="84">
        <v>2025</v>
      </c>
      <c r="G1494" s="5">
        <v>13.34</v>
      </c>
      <c r="H1494" s="54">
        <v>-6.9999999999999999E-4</v>
      </c>
    </row>
    <row r="1495" spans="2:8" x14ac:dyDescent="0.25">
      <c r="B1495" s="60">
        <v>45964</v>
      </c>
      <c r="C1495" s="5">
        <v>141.72</v>
      </c>
      <c r="D1495" s="54">
        <f t="shared" si="45"/>
        <v>2.1922070574924568E-3</v>
      </c>
      <c r="F1495" s="84">
        <v>2025</v>
      </c>
      <c r="G1495" s="5">
        <v>13.33</v>
      </c>
      <c r="H1495" s="54">
        <v>-6.9999999999999999E-4</v>
      </c>
    </row>
    <row r="1496" spans="2:8" x14ac:dyDescent="0.25">
      <c r="B1496" s="60">
        <v>45965</v>
      </c>
      <c r="C1496" s="5">
        <v>139.91</v>
      </c>
      <c r="D1496" s="54">
        <f t="shared" si="45"/>
        <v>-1.2771662432966457E-2</v>
      </c>
      <c r="F1496" s="84">
        <v>2025</v>
      </c>
      <c r="G1496" s="5">
        <v>13.29</v>
      </c>
      <c r="H1496" s="54">
        <v>-3.0000000000000001E-3</v>
      </c>
    </row>
    <row r="1497" spans="2:8" x14ac:dyDescent="0.25">
      <c r="B1497" s="60">
        <v>45966</v>
      </c>
      <c r="C1497" s="5">
        <v>140.56</v>
      </c>
      <c r="D1497" s="54">
        <f t="shared" si="45"/>
        <v>4.6458437567007405E-3</v>
      </c>
      <c r="F1497" s="84">
        <v>2025</v>
      </c>
      <c r="G1497" s="5">
        <v>13.33</v>
      </c>
      <c r="H1497" s="54">
        <v>3.0000000000000001E-3</v>
      </c>
    </row>
    <row r="1498" spans="2:8" x14ac:dyDescent="0.25">
      <c r="B1498" s="60">
        <v>45967</v>
      </c>
      <c r="C1498" s="5">
        <v>139.34</v>
      </c>
      <c r="D1498" s="54">
        <f t="shared" si="45"/>
        <v>-8.6795674445077076E-3</v>
      </c>
      <c r="F1498" s="84">
        <v>2025</v>
      </c>
      <c r="G1498" s="5">
        <v>13.32</v>
      </c>
      <c r="H1498" s="54">
        <v>-8.0000000000000004E-4</v>
      </c>
    </row>
    <row r="1499" spans="2:8" x14ac:dyDescent="0.25">
      <c r="B1499" s="60">
        <v>45968</v>
      </c>
      <c r="C1499" s="5">
        <v>139.54</v>
      </c>
      <c r="D1499" s="54">
        <f t="shared" si="45"/>
        <v>1.4353380221041601E-3</v>
      </c>
      <c r="F1499" s="84">
        <v>2025</v>
      </c>
      <c r="G1499" s="5">
        <v>13.33</v>
      </c>
      <c r="H1499" s="54">
        <v>8.0000000000000004E-4</v>
      </c>
    </row>
    <row r="1500" spans="2:8" x14ac:dyDescent="0.25">
      <c r="B1500" s="60">
        <v>45971</v>
      </c>
      <c r="C1500" s="5">
        <v>141.58000000000001</v>
      </c>
      <c r="D1500" s="54">
        <f t="shared" si="45"/>
        <v>1.4619463952988632E-2</v>
      </c>
      <c r="F1500" s="84">
        <v>2025</v>
      </c>
      <c r="G1500" s="5">
        <v>13.36</v>
      </c>
      <c r="H1500" s="54">
        <v>2.3E-3</v>
      </c>
    </row>
    <row r="1501" spans="2:8" x14ac:dyDescent="0.25">
      <c r="B1501" s="60">
        <v>45972</v>
      </c>
      <c r="C1501" s="5">
        <v>142.05000000000001</v>
      </c>
      <c r="D1501" s="54">
        <f t="shared" si="45"/>
        <v>3.3196779206101645E-3</v>
      </c>
      <c r="F1501" s="84">
        <v>2025</v>
      </c>
      <c r="G1501" s="5">
        <v>13.36</v>
      </c>
      <c r="H1501" s="54">
        <v>0</v>
      </c>
    </row>
    <row r="1502" spans="2:8" x14ac:dyDescent="0.25">
      <c r="B1502" s="60">
        <v>45973</v>
      </c>
      <c r="C1502" s="5">
        <v>142.33000000000001</v>
      </c>
      <c r="D1502" s="54">
        <f t="shared" si="45"/>
        <v>1.9711369236183884E-3</v>
      </c>
      <c r="F1502" s="84">
        <v>2025</v>
      </c>
      <c r="G1502" s="5">
        <v>13.32</v>
      </c>
      <c r="H1502" s="54">
        <v>-3.0000000000000001E-3</v>
      </c>
    </row>
    <row r="1503" spans="2:8" x14ac:dyDescent="0.25">
      <c r="B1503" s="60">
        <v>45974</v>
      </c>
      <c r="C1503" s="5">
        <v>140.15</v>
      </c>
      <c r="D1503" s="54">
        <f t="shared" si="45"/>
        <v>-1.5316517951240116E-2</v>
      </c>
      <c r="F1503" s="84">
        <v>2025</v>
      </c>
      <c r="G1503" s="5">
        <v>13.3</v>
      </c>
      <c r="H1503" s="54">
        <v>-1.5E-3</v>
      </c>
    </row>
    <row r="1504" spans="2:8" x14ac:dyDescent="0.25">
      <c r="B1504" s="60">
        <v>45975</v>
      </c>
      <c r="C1504" s="5">
        <v>140.08000000000001</v>
      </c>
      <c r="D1504" s="54">
        <f t="shared" si="45"/>
        <v>-4.9946485907947924E-4</v>
      </c>
      <c r="F1504" s="84">
        <v>2025</v>
      </c>
      <c r="G1504" s="5">
        <v>13.32</v>
      </c>
      <c r="H1504" s="54">
        <v>1.5E-3</v>
      </c>
    </row>
    <row r="1505" spans="2:8" x14ac:dyDescent="0.25">
      <c r="B1505" s="60">
        <v>45978</v>
      </c>
      <c r="C1505" s="5">
        <v>138.58000000000001</v>
      </c>
      <c r="D1505" s="54">
        <f t="shared" si="45"/>
        <v>-1.070816676185038E-2</v>
      </c>
      <c r="F1505" s="84">
        <v>2025</v>
      </c>
      <c r="G1505" s="5">
        <v>13.27</v>
      </c>
      <c r="H1505" s="54">
        <v>-3.8E-3</v>
      </c>
    </row>
    <row r="1506" spans="2:8" x14ac:dyDescent="0.25">
      <c r="B1506" s="60">
        <v>45979</v>
      </c>
      <c r="C1506" s="5">
        <v>137.38999999999999</v>
      </c>
      <c r="D1506" s="54">
        <f t="shared" si="45"/>
        <v>-8.5870977052967534E-3</v>
      </c>
      <c r="F1506" s="84">
        <v>2025</v>
      </c>
      <c r="G1506" s="5">
        <v>13.26</v>
      </c>
      <c r="H1506" s="54">
        <v>-8.0000000000000004E-4</v>
      </c>
    </row>
    <row r="1507" spans="2:8" x14ac:dyDescent="0.25">
      <c r="B1507" s="60">
        <v>45980</v>
      </c>
      <c r="C1507" s="5">
        <v>137.58000000000001</v>
      </c>
      <c r="D1507" s="54">
        <f t="shared" si="45"/>
        <v>1.3829245214356245E-3</v>
      </c>
      <c r="F1507" s="84">
        <v>2025</v>
      </c>
      <c r="G1507" s="5">
        <v>13.27</v>
      </c>
      <c r="H1507" s="54">
        <v>8.0000000000000004E-4</v>
      </c>
    </row>
    <row r="1508" spans="2:8" x14ac:dyDescent="0.25">
      <c r="B1508" s="60">
        <v>45981</v>
      </c>
      <c r="C1508" s="5">
        <v>135.5</v>
      </c>
      <c r="D1508" s="54">
        <f t="shared" si="45"/>
        <v>-1.5118476522750446E-2</v>
      </c>
      <c r="F1508" s="84">
        <v>2025</v>
      </c>
      <c r="G1508" s="5">
        <v>13.28</v>
      </c>
      <c r="H1508" s="54">
        <v>8.0000000000000004E-4</v>
      </c>
    </row>
    <row r="1509" spans="2:8" x14ac:dyDescent="0.25">
      <c r="B1509" s="60">
        <v>45982</v>
      </c>
      <c r="C1509" s="5">
        <v>136.84</v>
      </c>
      <c r="D1509" s="54">
        <f t="shared" si="45"/>
        <v>9.8892988929890624E-3</v>
      </c>
      <c r="F1509" s="84">
        <v>2025</v>
      </c>
      <c r="G1509" s="5">
        <v>13.33</v>
      </c>
      <c r="H1509" s="54">
        <v>3.8E-3</v>
      </c>
    </row>
    <row r="1510" spans="2:8" x14ac:dyDescent="0.25">
      <c r="B1510" s="60">
        <v>45985</v>
      </c>
      <c r="C1510" s="5">
        <v>138.36000000000001</v>
      </c>
      <c r="D1510" s="54">
        <f t="shared" si="45"/>
        <v>1.1107863197895362E-2</v>
      </c>
      <c r="F1510" s="84">
        <v>2025</v>
      </c>
      <c r="G1510" s="5">
        <v>13.34</v>
      </c>
      <c r="H1510" s="54">
        <v>8.0000000000000004E-4</v>
      </c>
    </row>
    <row r="1511" spans="2:8" x14ac:dyDescent="0.25">
      <c r="B1511" s="60">
        <v>45986</v>
      </c>
      <c r="C1511" s="5">
        <v>139.62</v>
      </c>
      <c r="D1511" s="54">
        <f t="shared" si="45"/>
        <v>9.1066782307025473E-3</v>
      </c>
      <c r="F1511" s="84">
        <v>2025</v>
      </c>
      <c r="G1511" s="5">
        <v>13.36</v>
      </c>
      <c r="H1511" s="54">
        <v>1.5E-3</v>
      </c>
    </row>
    <row r="1512" spans="2:8" x14ac:dyDescent="0.25">
      <c r="B1512" s="60">
        <v>45987</v>
      </c>
      <c r="C1512" s="5">
        <v>140.77000000000001</v>
      </c>
      <c r="D1512" s="54">
        <f t="shared" si="45"/>
        <v>8.2366423148545476E-3</v>
      </c>
      <c r="F1512" s="84">
        <v>2025</v>
      </c>
      <c r="G1512" s="5">
        <v>13.36</v>
      </c>
      <c r="H1512" s="54">
        <v>0</v>
      </c>
    </row>
    <row r="1513" spans="2:8" x14ac:dyDescent="0.25">
      <c r="B1513" s="60">
        <v>45989</v>
      </c>
      <c r="C1513" s="5">
        <v>141.47</v>
      </c>
      <c r="D1513" s="54">
        <f t="shared" si="45"/>
        <v>4.972650422675251E-3</v>
      </c>
      <c r="F1513" s="84">
        <v>2025</v>
      </c>
      <c r="G1513" s="5">
        <v>13.34</v>
      </c>
      <c r="H1513" s="54">
        <v>-1.5E-3</v>
      </c>
    </row>
    <row r="1514" spans="2:8" x14ac:dyDescent="0.25">
      <c r="B1514" s="60">
        <v>45992</v>
      </c>
      <c r="C1514" s="5">
        <v>140.84</v>
      </c>
      <c r="D1514" s="54">
        <f t="shared" si="45"/>
        <v>-4.4532409698169184E-3</v>
      </c>
      <c r="F1514" s="84">
        <v>2025</v>
      </c>
      <c r="G1514" s="5">
        <v>13.39</v>
      </c>
      <c r="H1514" s="54">
        <v>3.7000000000000002E-3</v>
      </c>
    </row>
    <row r="1515" spans="2:8" x14ac:dyDescent="0.25">
      <c r="B1515" s="60">
        <v>45993</v>
      </c>
      <c r="C1515" s="5">
        <v>141.15</v>
      </c>
      <c r="D1515" s="54">
        <f t="shared" si="45"/>
        <v>2.2010792388527101E-3</v>
      </c>
      <c r="F1515" s="84">
        <v>2025</v>
      </c>
      <c r="G1515" s="5">
        <v>13.39</v>
      </c>
      <c r="H1515" s="54">
        <v>0</v>
      </c>
    </row>
    <row r="1516" spans="2:8" x14ac:dyDescent="0.25">
      <c r="B1516" s="60">
        <v>45994</v>
      </c>
      <c r="C1516" s="5">
        <v>141.68</v>
      </c>
      <c r="D1516" s="54">
        <f t="shared" si="45"/>
        <v>3.7548707049237517E-3</v>
      </c>
      <c r="F1516" s="84">
        <v>2025</v>
      </c>
      <c r="G1516" s="5">
        <v>13.37</v>
      </c>
      <c r="H1516" s="54">
        <v>-1.5E-3</v>
      </c>
    </row>
    <row r="1517" spans="2:8" x14ac:dyDescent="0.25">
      <c r="B1517" s="60">
        <v>45995</v>
      </c>
      <c r="C1517" s="5">
        <v>141.97</v>
      </c>
      <c r="D1517" s="54">
        <f t="shared" si="45"/>
        <v>2.0468661773009877E-3</v>
      </c>
      <c r="F1517" s="84">
        <v>2025</v>
      </c>
      <c r="G1517" s="5">
        <v>13.33</v>
      </c>
      <c r="H1517" s="54">
        <v>-3.0000000000000001E-3</v>
      </c>
    </row>
    <row r="1518" spans="2:8" x14ac:dyDescent="0.25">
      <c r="B1518" s="60">
        <v>45996</v>
      </c>
      <c r="C1518" s="5">
        <v>142.1</v>
      </c>
      <c r="D1518" s="54">
        <f t="shared" si="45"/>
        <v>9.1568641262229633E-4</v>
      </c>
      <c r="F1518" s="84">
        <v>2025</v>
      </c>
      <c r="G1518" s="5">
        <v>13.33</v>
      </c>
      <c r="H1518" s="54">
        <v>0</v>
      </c>
    </row>
    <row r="1519" spans="2:8" x14ac:dyDescent="0.25">
      <c r="B1519" s="60">
        <v>45999</v>
      </c>
      <c r="C1519" s="5">
        <v>141.76</v>
      </c>
      <c r="D1519" s="54">
        <f t="shared" si="45"/>
        <v>-2.3926812104152484E-3</v>
      </c>
      <c r="F1519" s="84">
        <v>2025</v>
      </c>
      <c r="G1519" s="5">
        <v>13.31</v>
      </c>
      <c r="H1519" s="54">
        <v>-1.5E-3</v>
      </c>
    </row>
    <row r="1520" spans="2:8" x14ac:dyDescent="0.25">
      <c r="B1520" s="60">
        <v>46000</v>
      </c>
      <c r="C1520" s="5">
        <v>141.65</v>
      </c>
      <c r="D1520" s="54">
        <f t="shared" si="45"/>
        <v>-7.7595936794572218E-4</v>
      </c>
      <c r="F1520" s="84">
        <v>2025</v>
      </c>
      <c r="G1520" s="5">
        <v>13.39</v>
      </c>
      <c r="H1520" s="54">
        <v>6.0000000000000001E-3</v>
      </c>
    </row>
    <row r="1521" spans="2:8" x14ac:dyDescent="0.25">
      <c r="B1521" s="60">
        <v>46001</v>
      </c>
      <c r="C1521" s="5">
        <v>142.80000000000001</v>
      </c>
      <c r="D1521" s="54">
        <f t="shared" si="45"/>
        <v>8.1186021884926962E-3</v>
      </c>
      <c r="F1521" s="84">
        <v>2025</v>
      </c>
      <c r="G1521" s="5">
        <v>13.37</v>
      </c>
      <c r="H1521" s="54">
        <v>-1.5E-3</v>
      </c>
    </row>
    <row r="1522" spans="2:8" x14ac:dyDescent="0.25">
      <c r="B1522" s="60">
        <v>46002</v>
      </c>
      <c r="C1522" s="5">
        <v>143.18</v>
      </c>
      <c r="D1522" s="54">
        <f t="shared" si="45"/>
        <v>2.6610644257702987E-3</v>
      </c>
      <c r="F1522" s="84">
        <v>2025</v>
      </c>
      <c r="G1522" s="5">
        <v>13.4</v>
      </c>
      <c r="H1522" s="54">
        <v>2.2000000000000001E-3</v>
      </c>
    </row>
    <row r="1523" spans="2:8" x14ac:dyDescent="0.25">
      <c r="B1523" s="60">
        <v>46003</v>
      </c>
      <c r="C1523" s="5">
        <v>141.77000000000001</v>
      </c>
      <c r="D1523" s="54">
        <f t="shared" si="45"/>
        <v>-9.847744098337774E-3</v>
      </c>
      <c r="F1523" s="84">
        <v>2025</v>
      </c>
      <c r="G1523" s="5">
        <v>13.41</v>
      </c>
      <c r="H1523" s="54">
        <v>6.9999999999999999E-4</v>
      </c>
    </row>
    <row r="1524" spans="2:8" x14ac:dyDescent="0.25">
      <c r="B1524" s="60">
        <v>46006</v>
      </c>
      <c r="C1524" s="5">
        <v>141.80000000000001</v>
      </c>
      <c r="D1524" s="54">
        <f t="shared" si="45"/>
        <v>2.116103547999959E-4</v>
      </c>
      <c r="F1524" s="84">
        <v>2025</v>
      </c>
      <c r="G1524" s="5">
        <v>13.39</v>
      </c>
      <c r="H1524" s="54">
        <v>-1.5E-3</v>
      </c>
    </row>
    <row r="1525" spans="2:8" x14ac:dyDescent="0.25">
      <c r="B1525" s="60">
        <v>46007</v>
      </c>
      <c r="C1525" s="5">
        <v>139.99</v>
      </c>
      <c r="D1525" s="54">
        <f t="shared" si="45"/>
        <v>-1.2764456981664285E-2</v>
      </c>
      <c r="F1525" s="84">
        <v>2025</v>
      </c>
      <c r="G1525" s="5">
        <v>13.41</v>
      </c>
      <c r="H1525" s="54">
        <v>1.5E-3</v>
      </c>
    </row>
    <row r="1526" spans="2:8" x14ac:dyDescent="0.25">
      <c r="B1526" s="60">
        <v>46008</v>
      </c>
      <c r="C1526" s="5">
        <v>138.56</v>
      </c>
      <c r="D1526" s="54">
        <f t="shared" si="45"/>
        <v>-1.0215015358239876E-2</v>
      </c>
      <c r="F1526" s="84">
        <v>2025</v>
      </c>
      <c r="G1526" s="5">
        <v>13.38</v>
      </c>
      <c r="H1526" s="54">
        <v>-2.2000000000000001E-3</v>
      </c>
    </row>
    <row r="1527" spans="2:8" x14ac:dyDescent="0.25">
      <c r="B1527" s="60">
        <v>46009</v>
      </c>
      <c r="C1527" s="5">
        <v>139.71</v>
      </c>
      <c r="D1527" s="54">
        <f t="shared" si="45"/>
        <v>8.299653579676658E-3</v>
      </c>
      <c r="F1527" s="84">
        <v>2025</v>
      </c>
      <c r="G1527" s="5">
        <v>13.39</v>
      </c>
      <c r="H1527" s="54">
        <v>6.9999999999999999E-4</v>
      </c>
    </row>
    <row r="1528" spans="2:8" x14ac:dyDescent="0.25">
      <c r="B1528" s="60">
        <v>46010</v>
      </c>
      <c r="C1528" s="5">
        <v>140.91</v>
      </c>
      <c r="D1528" s="54">
        <f t="shared" si="45"/>
        <v>8.5892205282369627E-3</v>
      </c>
      <c r="F1528" s="84">
        <v>2025</v>
      </c>
      <c r="G1528" s="5">
        <v>13.39</v>
      </c>
      <c r="H1528" s="54">
        <v>0</v>
      </c>
    </row>
    <row r="1529" spans="2:8" x14ac:dyDescent="0.25">
      <c r="B1529" s="60">
        <v>46013</v>
      </c>
      <c r="C1529" s="5">
        <v>141.74</v>
      </c>
      <c r="D1529" s="54">
        <f t="shared" si="45"/>
        <v>5.8902845788093572E-3</v>
      </c>
      <c r="F1529" s="84">
        <v>2025</v>
      </c>
      <c r="G1529" s="5">
        <v>13.45</v>
      </c>
      <c r="H1529" s="54">
        <v>4.4999999999999997E-3</v>
      </c>
    </row>
    <row r="1530" spans="2:8" x14ac:dyDescent="0.25">
      <c r="B1530" s="60">
        <v>46014</v>
      </c>
      <c r="C1530" s="5">
        <v>142.46</v>
      </c>
      <c r="D1530" s="54">
        <f t="shared" si="45"/>
        <v>5.0797234372794708E-3</v>
      </c>
      <c r="F1530" s="84">
        <v>2025</v>
      </c>
      <c r="G1530" s="5">
        <v>13.44</v>
      </c>
      <c r="H1530" s="54">
        <v>-6.9999999999999999E-4</v>
      </c>
    </row>
    <row r="1531" spans="2:8" x14ac:dyDescent="0.25">
      <c r="B1531" s="60">
        <v>46015</v>
      </c>
      <c r="C1531" s="5">
        <v>142.71</v>
      </c>
      <c r="D1531" s="54">
        <f t="shared" si="45"/>
        <v>1.7548785624035279E-3</v>
      </c>
      <c r="F1531" s="84">
        <v>2025</v>
      </c>
      <c r="G1531" s="5">
        <v>13.43</v>
      </c>
      <c r="H1531" s="54">
        <v>-6.9999999999999999E-4</v>
      </c>
    </row>
    <row r="1532" spans="2:8" x14ac:dyDescent="0.25">
      <c r="B1532" s="60">
        <v>46017</v>
      </c>
      <c r="C1532" s="5">
        <v>142.9</v>
      </c>
      <c r="D1532" s="54">
        <f t="shared" si="45"/>
        <v>1.3313713124518678E-3</v>
      </c>
    </row>
    <row r="1533" spans="2:8" x14ac:dyDescent="0.25">
      <c r="B1533" s="60">
        <v>46020</v>
      </c>
      <c r="C1533" s="5">
        <v>142.41</v>
      </c>
      <c r="D1533" s="54">
        <f t="shared" si="45"/>
        <v>-3.4289713086075313E-3</v>
      </c>
      <c r="F1533" s="84">
        <v>2026</v>
      </c>
      <c r="G1533" s="5">
        <v>13.42</v>
      </c>
      <c r="H1533" s="54">
        <v>-6.9999999999999999E-4</v>
      </c>
    </row>
    <row r="1534" spans="2:8" x14ac:dyDescent="0.25">
      <c r="B1534" s="60">
        <v>46021</v>
      </c>
      <c r="C1534" s="5">
        <v>142.41</v>
      </c>
      <c r="D1534" s="54">
        <f t="shared" si="45"/>
        <v>0</v>
      </c>
      <c r="F1534" s="84">
        <v>2026</v>
      </c>
      <c r="G1534" s="5">
        <v>13.42</v>
      </c>
      <c r="H1534" s="54">
        <v>0</v>
      </c>
    </row>
    <row r="1535" spans="2:8" x14ac:dyDescent="0.25">
      <c r="B1535" s="60">
        <v>46022</v>
      </c>
      <c r="C1535" s="5">
        <v>141.49</v>
      </c>
      <c r="D1535" s="54">
        <f t="shared" si="45"/>
        <v>-6.460220490134061E-3</v>
      </c>
      <c r="F1535" s="84">
        <v>2026</v>
      </c>
      <c r="G1535" s="5">
        <v>13.44</v>
      </c>
      <c r="H1535" s="54">
        <v>1.5E-3</v>
      </c>
    </row>
    <row r="1536" spans="2:8" x14ac:dyDescent="0.25">
      <c r="B1536" s="60"/>
      <c r="C1536" s="5"/>
      <c r="D1536" s="54"/>
      <c r="F1536" s="84">
        <v>2026</v>
      </c>
      <c r="G1536" s="5">
        <v>13.45</v>
      </c>
      <c r="H1536" s="54">
        <v>6.9999999999999999E-4</v>
      </c>
    </row>
    <row r="1537" spans="2:8" x14ac:dyDescent="0.25">
      <c r="B1537" s="60">
        <v>46024</v>
      </c>
      <c r="C1537" s="5">
        <v>142.49</v>
      </c>
      <c r="D1537" s="54">
        <f>C1537/C1535-1</f>
        <v>7.0676372888542893E-3</v>
      </c>
      <c r="F1537" s="84">
        <v>2026</v>
      </c>
      <c r="G1537" s="5">
        <v>13.42</v>
      </c>
      <c r="H1537" s="54">
        <v>-2.2000000000000001E-3</v>
      </c>
    </row>
    <row r="1538" spans="2:8" x14ac:dyDescent="0.25">
      <c r="B1538" s="60">
        <v>46027</v>
      </c>
      <c r="C1538" s="5">
        <v>143.68</v>
      </c>
      <c r="D1538" s="54">
        <f>C1538/C1537-1</f>
        <v>8.3514632605796724E-3</v>
      </c>
      <c r="F1538" s="84">
        <v>2026</v>
      </c>
      <c r="G1538" s="5">
        <v>13.42</v>
      </c>
      <c r="H1538" s="54">
        <v>0</v>
      </c>
    </row>
    <row r="1539" spans="2:8" x14ac:dyDescent="0.25">
      <c r="B1539" s="60">
        <v>46028</v>
      </c>
      <c r="C1539" s="5">
        <v>144.35</v>
      </c>
      <c r="D1539" s="54">
        <f t="shared" si="45"/>
        <v>4.6631403118038151E-3</v>
      </c>
      <c r="F1539" s="84">
        <v>2026</v>
      </c>
      <c r="G1539" s="5">
        <v>13.44</v>
      </c>
      <c r="H1539" s="54">
        <v>1.5E-3</v>
      </c>
    </row>
    <row r="1540" spans="2:8" x14ac:dyDescent="0.25">
      <c r="B1540" s="60">
        <v>46029</v>
      </c>
      <c r="C1540" s="5">
        <v>143.81</v>
      </c>
      <c r="D1540" s="54">
        <f t="shared" si="45"/>
        <v>-3.7409075164530625E-3</v>
      </c>
      <c r="F1540" s="84">
        <v>2026</v>
      </c>
      <c r="G1540" s="5">
        <v>13.43</v>
      </c>
      <c r="H1540" s="54">
        <v>-6.9999999999999999E-4</v>
      </c>
    </row>
    <row r="1541" spans="2:8" x14ac:dyDescent="0.25">
      <c r="B1541" s="60">
        <v>46030</v>
      </c>
      <c r="C1541" s="5">
        <v>143.77000000000001</v>
      </c>
      <c r="D1541" s="54">
        <f t="shared" si="45"/>
        <v>-2.7814477435494922E-4</v>
      </c>
      <c r="F1541" s="84">
        <v>2026</v>
      </c>
      <c r="G1541" s="5">
        <v>13.43</v>
      </c>
      <c r="H1541" s="54">
        <v>0</v>
      </c>
    </row>
    <row r="1542" spans="2:8" x14ac:dyDescent="0.25">
      <c r="B1542" s="60">
        <v>46031</v>
      </c>
      <c r="C1542" s="5">
        <v>144.75</v>
      </c>
      <c r="D1542" s="54">
        <f t="shared" si="45"/>
        <v>6.8164429296793116E-3</v>
      </c>
      <c r="F1542" s="84">
        <v>2026</v>
      </c>
      <c r="G1542" s="5">
        <v>13.43</v>
      </c>
      <c r="H1542" s="54">
        <v>0</v>
      </c>
    </row>
    <row r="1543" spans="2:8" x14ac:dyDescent="0.25">
      <c r="B1543" s="60">
        <v>46034</v>
      </c>
      <c r="C1543" s="5">
        <v>145.38</v>
      </c>
      <c r="D1543" s="54">
        <f t="shared" si="45"/>
        <v>4.3523316062175077E-3</v>
      </c>
      <c r="F1543" s="84">
        <v>2026</v>
      </c>
      <c r="G1543" s="5">
        <v>13.42</v>
      </c>
      <c r="H1543" s="54">
        <v>-6.9999999999999999E-4</v>
      </c>
    </row>
    <row r="1544" spans="2:8" x14ac:dyDescent="0.25">
      <c r="B1544" s="60">
        <v>46035</v>
      </c>
      <c r="C1544" s="5">
        <v>144.88999999999999</v>
      </c>
      <c r="D1544" s="54">
        <f t="shared" ref="D1544:D1607" si="46">C1544/C1543-1</f>
        <v>-3.3704773696520141E-3</v>
      </c>
      <c r="F1544" s="84">
        <v>2026</v>
      </c>
      <c r="G1544" s="5">
        <v>13.39</v>
      </c>
      <c r="H1544" s="54">
        <v>-2.2000000000000001E-3</v>
      </c>
    </row>
    <row r="1545" spans="2:8" x14ac:dyDescent="0.25">
      <c r="B1545" s="60">
        <v>46036</v>
      </c>
      <c r="C1545" s="5">
        <v>144.71</v>
      </c>
      <c r="D1545" s="54">
        <f t="shared" si="46"/>
        <v>-1.2423217613359849E-3</v>
      </c>
      <c r="F1545" s="84">
        <v>2026</v>
      </c>
      <c r="G1545" s="5">
        <v>13.43</v>
      </c>
      <c r="H1545" s="54">
        <v>3.0000000000000001E-3</v>
      </c>
    </row>
    <row r="1546" spans="2:8" x14ac:dyDescent="0.25">
      <c r="B1546" s="60">
        <v>46037</v>
      </c>
      <c r="C1546" s="5">
        <v>145</v>
      </c>
      <c r="D1546" s="54">
        <f t="shared" si="46"/>
        <v>2.0040080160319551E-3</v>
      </c>
      <c r="F1546" s="84">
        <v>2026</v>
      </c>
      <c r="G1546" s="5">
        <v>13.43</v>
      </c>
      <c r="H1546" s="54">
        <v>0</v>
      </c>
    </row>
    <row r="1547" spans="2:8" x14ac:dyDescent="0.25">
      <c r="B1547" s="60">
        <v>46038</v>
      </c>
      <c r="C1547" s="5">
        <v>145</v>
      </c>
      <c r="D1547" s="54">
        <f t="shared" si="46"/>
        <v>0</v>
      </c>
      <c r="F1547" s="84">
        <v>2026</v>
      </c>
      <c r="G1547" s="5">
        <v>13.47</v>
      </c>
      <c r="H1547" s="54">
        <v>3.0000000000000001E-3</v>
      </c>
    </row>
    <row r="1548" spans="2:8" x14ac:dyDescent="0.25">
      <c r="B1548" s="60">
        <v>46042</v>
      </c>
      <c r="C1548" s="5">
        <v>142.36000000000001</v>
      </c>
      <c r="D1548" s="54">
        <f t="shared" si="46"/>
        <v>-1.8206896551724028E-2</v>
      </c>
      <c r="F1548" s="84">
        <v>2026</v>
      </c>
      <c r="G1548" s="5">
        <v>13.56</v>
      </c>
      <c r="H1548" s="54">
        <v>6.7000000000000002E-3</v>
      </c>
    </row>
    <row r="1549" spans="2:8" x14ac:dyDescent="0.25">
      <c r="B1549" s="60">
        <v>46043</v>
      </c>
      <c r="C1549" s="5">
        <v>144.01</v>
      </c>
      <c r="D1549" s="54">
        <f t="shared" si="46"/>
        <v>1.1590334363585031E-2</v>
      </c>
      <c r="F1549" s="84">
        <v>2026</v>
      </c>
      <c r="G1549" s="5">
        <v>13.59</v>
      </c>
      <c r="H1549" s="54">
        <v>2.2000000000000001E-3</v>
      </c>
    </row>
    <row r="1550" spans="2:8" x14ac:dyDescent="0.25">
      <c r="B1550" s="60">
        <v>46044</v>
      </c>
      <c r="C1550" s="5">
        <v>144.81</v>
      </c>
      <c r="D1550" s="54">
        <f t="shared" si="46"/>
        <v>5.5551697798765787E-3</v>
      </c>
      <c r="F1550" s="84">
        <v>2026</v>
      </c>
      <c r="G1550" s="5">
        <v>13.6</v>
      </c>
      <c r="H1550" s="54">
        <v>6.9999999999999999E-4</v>
      </c>
    </row>
    <row r="1551" spans="2:8" x14ac:dyDescent="0.25">
      <c r="B1551" s="60">
        <v>46045</v>
      </c>
      <c r="C1551" s="5">
        <v>145.16</v>
      </c>
      <c r="D1551" s="54">
        <f t="shared" si="46"/>
        <v>2.4169601546855102E-3</v>
      </c>
      <c r="F1551" s="84">
        <v>2026</v>
      </c>
      <c r="G1551" s="5">
        <v>13.62</v>
      </c>
      <c r="H1551" s="54">
        <v>1.5E-3</v>
      </c>
    </row>
    <row r="1552" spans="2:8" x14ac:dyDescent="0.25">
      <c r="B1552" s="60">
        <v>46048</v>
      </c>
      <c r="C1552" s="5">
        <v>145.72</v>
      </c>
      <c r="D1552" s="54">
        <f t="shared" si="46"/>
        <v>3.8578120694405804E-3</v>
      </c>
      <c r="F1552" s="84">
        <v>2026</v>
      </c>
      <c r="G1552" s="5">
        <v>13.58</v>
      </c>
      <c r="H1552" s="54">
        <v>-2.8999999999999998E-3</v>
      </c>
    </row>
    <row r="1553" spans="2:8" x14ac:dyDescent="0.25">
      <c r="B1553" s="60">
        <v>46049</v>
      </c>
      <c r="C1553" s="5">
        <v>147.06</v>
      </c>
      <c r="D1553" s="54">
        <f t="shared" si="46"/>
        <v>9.1957178149877361E-3</v>
      </c>
      <c r="F1553" s="84">
        <v>2026</v>
      </c>
      <c r="G1553" s="5">
        <v>13.53</v>
      </c>
      <c r="H1553" s="54">
        <v>-3.7000000000000002E-3</v>
      </c>
    </row>
    <row r="1554" spans="2:8" x14ac:dyDescent="0.25">
      <c r="B1554" s="60">
        <v>46050</v>
      </c>
      <c r="C1554" s="5">
        <v>146.84</v>
      </c>
      <c r="D1554" s="54">
        <f t="shared" si="46"/>
        <v>-1.4959880320957186E-3</v>
      </c>
      <c r="F1554" s="84">
        <v>2026</v>
      </c>
      <c r="G1554" s="5">
        <v>13.53</v>
      </c>
      <c r="H1554" s="54">
        <v>0</v>
      </c>
    </row>
    <row r="1555" spans="2:8" x14ac:dyDescent="0.25">
      <c r="B1555" s="60">
        <v>46051</v>
      </c>
      <c r="C1555" s="5">
        <v>146.69999999999999</v>
      </c>
      <c r="D1555" s="54">
        <f t="shared" si="46"/>
        <v>-9.5341868700637988E-4</v>
      </c>
      <c r="F1555" s="84">
        <v>2026</v>
      </c>
      <c r="G1555" s="5">
        <v>13.53</v>
      </c>
      <c r="H1555" s="54">
        <v>0</v>
      </c>
    </row>
    <row r="1556" spans="2:8" x14ac:dyDescent="0.25">
      <c r="B1556" s="60">
        <v>46052</v>
      </c>
      <c r="C1556" s="5">
        <v>145.5</v>
      </c>
      <c r="D1556" s="54">
        <f t="shared" si="46"/>
        <v>-8.1799591002044147E-3</v>
      </c>
      <c r="F1556" s="84">
        <v>2026</v>
      </c>
      <c r="G1556" s="5">
        <v>13.51</v>
      </c>
      <c r="H1556" s="54">
        <v>-1.5E-3</v>
      </c>
    </row>
    <row r="1557" spans="2:8" x14ac:dyDescent="0.25">
      <c r="B1557" s="60">
        <v>46055</v>
      </c>
      <c r="C1557" s="5">
        <v>146.31</v>
      </c>
      <c r="D1557" s="54">
        <f t="shared" si="46"/>
        <v>5.5670103092784196E-3</v>
      </c>
      <c r="F1557" s="84">
        <v>2026</v>
      </c>
      <c r="G1557" s="5">
        <v>13.54</v>
      </c>
      <c r="H1557" s="54">
        <v>2.2000000000000001E-3</v>
      </c>
    </row>
    <row r="1558" spans="2:8" x14ac:dyDescent="0.25">
      <c r="B1558" s="60">
        <v>46056</v>
      </c>
      <c r="C1558" s="5">
        <v>145.54</v>
      </c>
      <c r="D1558" s="54">
        <f t="shared" si="46"/>
        <v>-5.2627981682729086E-3</v>
      </c>
      <c r="F1558" s="84">
        <v>2026</v>
      </c>
      <c r="G1558" s="5">
        <v>13.59</v>
      </c>
      <c r="H1558" s="54">
        <v>3.7000000000000002E-3</v>
      </c>
    </row>
    <row r="1559" spans="2:8" x14ac:dyDescent="0.25">
      <c r="B1559" s="60">
        <v>46057</v>
      </c>
      <c r="C1559" s="5">
        <v>144.99</v>
      </c>
      <c r="D1559" s="54">
        <f t="shared" si="46"/>
        <v>-3.7790298199806838E-3</v>
      </c>
      <c r="F1559" s="84">
        <v>2026</v>
      </c>
      <c r="G1559" s="5">
        <v>13.64</v>
      </c>
      <c r="H1559" s="54">
        <v>3.7000000000000002E-3</v>
      </c>
    </row>
    <row r="1560" spans="2:8" x14ac:dyDescent="0.25">
      <c r="B1560" s="60">
        <v>46058</v>
      </c>
      <c r="C1560" s="5">
        <v>143.21</v>
      </c>
      <c r="D1560" s="54">
        <f t="shared" si="46"/>
        <v>-1.2276708738533704E-2</v>
      </c>
      <c r="F1560" s="84">
        <v>2026</v>
      </c>
      <c r="G1560" s="5">
        <v>13.62</v>
      </c>
      <c r="H1560" s="54">
        <v>-1.5E-3</v>
      </c>
    </row>
    <row r="1561" spans="2:8" x14ac:dyDescent="0.25">
      <c r="B1561" s="60">
        <v>46059</v>
      </c>
      <c r="C1561" s="5">
        <v>146.28</v>
      </c>
      <c r="D1561" s="54">
        <f t="shared" si="46"/>
        <v>2.1437050485301201E-2</v>
      </c>
      <c r="F1561" s="84">
        <v>2026</v>
      </c>
      <c r="G1561" s="5">
        <v>13.66</v>
      </c>
      <c r="H1561" s="54">
        <v>2.8999999999999998E-3</v>
      </c>
    </row>
    <row r="1562" spans="2:8" x14ac:dyDescent="0.25">
      <c r="B1562" s="60">
        <v>46062</v>
      </c>
      <c r="C1562" s="5">
        <v>147.41</v>
      </c>
      <c r="D1562" s="54">
        <f t="shared" si="46"/>
        <v>7.7249111293409278E-3</v>
      </c>
      <c r="F1562" s="84">
        <v>2026</v>
      </c>
      <c r="G1562" s="5">
        <v>13.65</v>
      </c>
      <c r="H1562" s="54">
        <v>-6.9999999999999999E-4</v>
      </c>
    </row>
    <row r="1563" spans="2:8" x14ac:dyDescent="0.25">
      <c r="B1563" s="60">
        <v>46063</v>
      </c>
      <c r="C1563" s="5">
        <v>147.31</v>
      </c>
      <c r="D1563" s="54">
        <f t="shared" si="46"/>
        <v>-6.7838002849196499E-4</v>
      </c>
      <c r="F1563" s="84">
        <v>2026</v>
      </c>
      <c r="G1563" s="5">
        <v>13.64</v>
      </c>
      <c r="H1563" s="54">
        <v>-6.9999999999999999E-4</v>
      </c>
    </row>
    <row r="1564" spans="2:8" x14ac:dyDescent="0.25">
      <c r="B1564" s="60">
        <v>46064</v>
      </c>
      <c r="C1564" s="5">
        <v>147.71</v>
      </c>
      <c r="D1564" s="54">
        <f t="shared" si="46"/>
        <v>2.7153621614284251E-3</v>
      </c>
      <c r="F1564" s="84">
        <v>2026</v>
      </c>
      <c r="G1564" s="5">
        <v>13.6</v>
      </c>
      <c r="H1564" s="54">
        <v>-2.8999999999999998E-3</v>
      </c>
    </row>
    <row r="1565" spans="2:8" x14ac:dyDescent="0.25">
      <c r="B1565" s="60">
        <v>46065</v>
      </c>
      <c r="C1565" s="5">
        <v>145.65</v>
      </c>
      <c r="D1565" s="54">
        <f t="shared" si="46"/>
        <v>-1.3946246022611852E-2</v>
      </c>
      <c r="F1565" s="84">
        <v>2026</v>
      </c>
      <c r="G1565" s="5">
        <v>13.62</v>
      </c>
      <c r="H1565" s="54">
        <v>1.5E-3</v>
      </c>
    </row>
    <row r="1566" spans="2:8" x14ac:dyDescent="0.25">
      <c r="B1566" s="60">
        <v>46066</v>
      </c>
      <c r="C1566" s="5">
        <v>145.94</v>
      </c>
      <c r="D1566" s="54">
        <f t="shared" si="46"/>
        <v>1.9910744936491032E-3</v>
      </c>
      <c r="F1566" s="84">
        <v>2026</v>
      </c>
      <c r="G1566" s="5">
        <v>13.66</v>
      </c>
      <c r="H1566" s="54">
        <v>2.8999999999999998E-3</v>
      </c>
    </row>
    <row r="1567" spans="2:8" x14ac:dyDescent="0.25">
      <c r="B1567" s="60">
        <v>46070</v>
      </c>
      <c r="C1567" s="5">
        <v>146</v>
      </c>
      <c r="D1567" s="54">
        <f t="shared" si="46"/>
        <v>4.111278607648039E-4</v>
      </c>
      <c r="F1567" s="84">
        <v>2026</v>
      </c>
      <c r="G1567" s="5">
        <v>13.63</v>
      </c>
      <c r="H1567" s="54">
        <v>-2.2000000000000001E-3</v>
      </c>
    </row>
    <row r="1568" spans="2:8" x14ac:dyDescent="0.25">
      <c r="B1568" s="60">
        <v>46071</v>
      </c>
      <c r="C1568" s="5">
        <v>146.63</v>
      </c>
      <c r="D1568" s="54">
        <f t="shared" si="46"/>
        <v>4.3150684931505534E-3</v>
      </c>
      <c r="F1568" s="84">
        <v>2026</v>
      </c>
      <c r="G1568" s="5">
        <v>13.64</v>
      </c>
      <c r="H1568" s="54">
        <v>6.9999999999999999E-4</v>
      </c>
    </row>
    <row r="1569" spans="2:8" x14ac:dyDescent="0.25">
      <c r="B1569" s="60">
        <v>46072</v>
      </c>
      <c r="C1569" s="5">
        <v>146.34</v>
      </c>
      <c r="D1569" s="54">
        <f t="shared" si="46"/>
        <v>-1.9777671690649479E-3</v>
      </c>
      <c r="F1569" s="84">
        <v>2026</v>
      </c>
      <c r="G1569" s="5">
        <v>13.67</v>
      </c>
      <c r="H1569" s="54">
        <v>2.2000000000000001E-3</v>
      </c>
    </row>
    <row r="1570" spans="2:8" x14ac:dyDescent="0.25">
      <c r="B1570" s="60">
        <v>46073</v>
      </c>
      <c r="C1570" s="5">
        <v>147.63</v>
      </c>
      <c r="D1570" s="54">
        <f t="shared" si="46"/>
        <v>8.8150881508815004E-3</v>
      </c>
      <c r="F1570" s="84">
        <v>2026</v>
      </c>
      <c r="G1570" s="5">
        <v>13.66</v>
      </c>
      <c r="H1570" s="54">
        <v>-6.9999999999999999E-4</v>
      </c>
    </row>
    <row r="1571" spans="2:8" x14ac:dyDescent="0.25">
      <c r="B1571" s="60">
        <v>46076</v>
      </c>
      <c r="C1571" s="5">
        <v>146.26</v>
      </c>
      <c r="D1571" s="54">
        <f t="shared" si="46"/>
        <v>-9.279956648377774E-3</v>
      </c>
      <c r="F1571" s="84">
        <v>2026</v>
      </c>
      <c r="G1571" s="5">
        <v>13.57</v>
      </c>
      <c r="H1571" s="54">
        <v>-6.6E-3</v>
      </c>
    </row>
    <row r="1572" spans="2:8" x14ac:dyDescent="0.25">
      <c r="B1572" s="60">
        <v>46077</v>
      </c>
      <c r="C1572" s="5">
        <v>147.33000000000001</v>
      </c>
      <c r="D1572" s="54">
        <f t="shared" si="46"/>
        <v>7.3157390947629075E-3</v>
      </c>
      <c r="F1572" s="84">
        <v>2026</v>
      </c>
      <c r="G1572" s="5">
        <v>13.42</v>
      </c>
      <c r="H1572" s="54">
        <v>-1.11E-2</v>
      </c>
    </row>
    <row r="1573" spans="2:8" x14ac:dyDescent="0.25">
      <c r="B1573" s="60">
        <v>46078</v>
      </c>
      <c r="C1573" s="5">
        <v>148.65</v>
      </c>
      <c r="D1573" s="54">
        <f t="shared" si="46"/>
        <v>8.9594787212379234E-3</v>
      </c>
      <c r="F1573" s="84">
        <v>2026</v>
      </c>
      <c r="G1573" s="5">
        <v>13.49</v>
      </c>
      <c r="H1573" s="54">
        <v>5.1999999999999998E-3</v>
      </c>
    </row>
    <row r="1574" spans="2:8" x14ac:dyDescent="0.25">
      <c r="B1574" s="60">
        <v>46079</v>
      </c>
      <c r="C1574" s="5">
        <v>147.94999999999999</v>
      </c>
      <c r="D1574" s="54">
        <f t="shared" si="46"/>
        <v>-4.7090480995628514E-3</v>
      </c>
      <c r="F1574" s="84">
        <v>2026</v>
      </c>
      <c r="G1574" s="5">
        <v>13.45</v>
      </c>
      <c r="H1574" s="54">
        <v>-3.0000000000000001E-3</v>
      </c>
    </row>
    <row r="1575" spans="2:8" x14ac:dyDescent="0.25">
      <c r="B1575" s="60">
        <v>46080</v>
      </c>
      <c r="C1575" s="5">
        <v>147.38</v>
      </c>
      <c r="D1575" s="54">
        <f t="shared" si="46"/>
        <v>-3.8526529232848494E-3</v>
      </c>
      <c r="F1575" s="84">
        <v>2026</v>
      </c>
      <c r="G1575" s="5">
        <v>13.37</v>
      </c>
      <c r="H1575" s="54">
        <v>-5.8999999999999999E-3</v>
      </c>
    </row>
    <row r="1576" spans="2:8" x14ac:dyDescent="0.25">
      <c r="B1576" s="60">
        <v>46083</v>
      </c>
      <c r="C1576" s="5">
        <v>146.55000000000001</v>
      </c>
      <c r="D1576" s="54">
        <f t="shared" si="46"/>
        <v>-5.6317003663997056E-3</v>
      </c>
      <c r="F1576" s="84">
        <v>2026</v>
      </c>
      <c r="G1576" s="5">
        <v>13.33</v>
      </c>
      <c r="H1576" s="54">
        <v>-3.0000000000000001E-3</v>
      </c>
    </row>
    <row r="1577" spans="2:8" x14ac:dyDescent="0.25">
      <c r="B1577" s="60">
        <v>46084</v>
      </c>
      <c r="C1577" s="5">
        <v>143.68</v>
      </c>
      <c r="D1577" s="54">
        <f t="shared" si="46"/>
        <v>-1.9583759808939005E-2</v>
      </c>
      <c r="F1577" s="84">
        <v>2026</v>
      </c>
      <c r="G1577" s="5">
        <v>13.45</v>
      </c>
      <c r="H1577" s="54">
        <v>8.9999999999999993E-3</v>
      </c>
    </row>
    <row r="1578" spans="2:8" x14ac:dyDescent="0.25">
      <c r="B1578" s="60">
        <v>46085</v>
      </c>
      <c r="C1578" s="5">
        <v>145</v>
      </c>
      <c r="D1578" s="54">
        <f t="shared" si="46"/>
        <v>9.1870824053452704E-3</v>
      </c>
      <c r="F1578" s="84">
        <v>2026</v>
      </c>
      <c r="G1578" s="5">
        <v>13.36</v>
      </c>
      <c r="H1578" s="54">
        <v>-6.7000000000000002E-3</v>
      </c>
    </row>
    <row r="1579" spans="2:8" x14ac:dyDescent="0.25">
      <c r="B1579" s="60">
        <v>46086</v>
      </c>
      <c r="C1579" s="5">
        <v>143.32</v>
      </c>
      <c r="D1579" s="54">
        <f t="shared" si="46"/>
        <v>-1.1586206896551765E-2</v>
      </c>
      <c r="F1579" s="84">
        <v>2026</v>
      </c>
      <c r="G1579" s="5">
        <v>13.25</v>
      </c>
      <c r="H1579" s="54">
        <v>-8.2000000000000007E-3</v>
      </c>
    </row>
    <row r="1580" spans="2:8" x14ac:dyDescent="0.25">
      <c r="B1580" s="60">
        <v>46087</v>
      </c>
      <c r="C1580" s="5">
        <v>141.68</v>
      </c>
      <c r="D1580" s="54">
        <f t="shared" si="46"/>
        <v>-1.144292492324861E-2</v>
      </c>
      <c r="F1580" s="84">
        <v>2026</v>
      </c>
      <c r="G1580" s="5">
        <v>13.19</v>
      </c>
      <c r="H1580" s="54">
        <v>-4.4999999999999997E-3</v>
      </c>
    </row>
    <row r="1581" spans="2:8" x14ac:dyDescent="0.25">
      <c r="B1581" s="60">
        <v>46090</v>
      </c>
      <c r="C1581" s="5">
        <v>143.05000000000001</v>
      </c>
      <c r="D1581" s="54">
        <f t="shared" si="46"/>
        <v>9.6696781479390648E-3</v>
      </c>
      <c r="F1581" s="84">
        <v>2026</v>
      </c>
      <c r="G1581" s="5">
        <v>13.22</v>
      </c>
      <c r="H1581" s="54">
        <v>2.3E-3</v>
      </c>
    </row>
    <row r="1582" spans="2:8" x14ac:dyDescent="0.25">
      <c r="B1582" s="60">
        <v>46091</v>
      </c>
      <c r="C1582" s="5">
        <v>143.05000000000001</v>
      </c>
      <c r="D1582" s="54">
        <f t="shared" si="46"/>
        <v>0</v>
      </c>
      <c r="F1582" s="84">
        <v>2026</v>
      </c>
      <c r="G1582" s="5">
        <v>13.28</v>
      </c>
      <c r="H1582" s="54">
        <v>4.4999999999999997E-3</v>
      </c>
    </row>
    <row r="1583" spans="2:8" x14ac:dyDescent="0.25">
      <c r="B1583" s="60">
        <v>46092</v>
      </c>
      <c r="C1583" s="5">
        <v>142.94</v>
      </c>
      <c r="D1583" s="54">
        <f t="shared" si="46"/>
        <v>-7.6896190143316279E-4</v>
      </c>
      <c r="F1583" s="84">
        <v>2026</v>
      </c>
      <c r="G1583" s="5">
        <v>13.24</v>
      </c>
      <c r="H1583" s="54">
        <v>-3.0000000000000001E-3</v>
      </c>
    </row>
    <row r="1584" spans="2:8" x14ac:dyDescent="0.25">
      <c r="B1584" s="60">
        <v>46093</v>
      </c>
      <c r="C1584" s="5">
        <v>140.44999999999999</v>
      </c>
      <c r="D1584" s="54">
        <f t="shared" si="46"/>
        <v>-1.7419896460053264E-2</v>
      </c>
      <c r="F1584" s="84">
        <v>2026</v>
      </c>
      <c r="G1584" s="5">
        <v>13.19</v>
      </c>
      <c r="H1584" s="54">
        <v>-3.8E-3</v>
      </c>
    </row>
    <row r="1585" spans="2:8" x14ac:dyDescent="0.25">
      <c r="B1585" s="60">
        <v>46094</v>
      </c>
      <c r="C1585" s="5">
        <v>139.54</v>
      </c>
      <c r="D1585" s="54">
        <f t="shared" si="46"/>
        <v>-6.4791740833036737E-3</v>
      </c>
      <c r="F1585" s="84">
        <v>2026</v>
      </c>
      <c r="G1585" s="5">
        <v>13.09</v>
      </c>
      <c r="H1585" s="54">
        <v>-7.6E-3</v>
      </c>
    </row>
    <row r="1586" spans="2:8" x14ac:dyDescent="0.25">
      <c r="B1586" s="60">
        <v>46097</v>
      </c>
      <c r="C1586" s="5">
        <v>141.47999999999999</v>
      </c>
      <c r="D1586" s="54">
        <f t="shared" si="46"/>
        <v>1.3902823563135991E-2</v>
      </c>
      <c r="F1586" s="84">
        <v>2026</v>
      </c>
      <c r="G1586" s="5">
        <v>13.17</v>
      </c>
      <c r="H1586" s="54">
        <v>6.1000000000000004E-3</v>
      </c>
    </row>
    <row r="1587" spans="2:8" x14ac:dyDescent="0.25">
      <c r="B1587" s="60">
        <v>46098</v>
      </c>
      <c r="C1587" s="5">
        <v>141.88</v>
      </c>
      <c r="D1587" s="54">
        <f t="shared" si="46"/>
        <v>2.8272547356518185E-3</v>
      </c>
      <c r="F1587" s="84">
        <v>2026</v>
      </c>
      <c r="G1587" s="5">
        <v>13.13</v>
      </c>
      <c r="H1587" s="54">
        <v>-3.0000000000000001E-3</v>
      </c>
    </row>
    <row r="1588" spans="2:8" x14ac:dyDescent="0.25">
      <c r="B1588" s="60">
        <v>46099</v>
      </c>
      <c r="C1588" s="5">
        <v>139.71</v>
      </c>
      <c r="D1588" s="54">
        <f t="shared" si="46"/>
        <v>-1.5294615167747327E-2</v>
      </c>
      <c r="F1588" s="84">
        <v>2026</v>
      </c>
      <c r="G1588" s="5">
        <v>13.18</v>
      </c>
      <c r="H1588" s="54">
        <v>3.8E-3</v>
      </c>
    </row>
    <row r="1589" spans="2:8" x14ac:dyDescent="0.25">
      <c r="B1589" s="60">
        <v>46100</v>
      </c>
      <c r="C1589" s="5">
        <v>139.38</v>
      </c>
      <c r="D1589" s="54">
        <f t="shared" si="46"/>
        <v>-2.3620356452652702E-3</v>
      </c>
      <c r="F1589" s="84">
        <v>2026</v>
      </c>
      <c r="G1589" s="5">
        <v>13.12</v>
      </c>
      <c r="H1589" s="54">
        <v>-4.5999999999999999E-3</v>
      </c>
    </row>
    <row r="1590" spans="2:8" x14ac:dyDescent="0.25">
      <c r="B1590" s="60">
        <v>46101</v>
      </c>
      <c r="C1590" s="5">
        <v>136.54</v>
      </c>
      <c r="D1590" s="54">
        <f t="shared" si="46"/>
        <v>-2.037595063854214E-2</v>
      </c>
      <c r="F1590" s="84">
        <v>2026</v>
      </c>
      <c r="G1590" s="5">
        <v>13.04</v>
      </c>
      <c r="H1590" s="54">
        <v>-6.1000000000000004E-3</v>
      </c>
    </row>
    <row r="1591" spans="2:8" x14ac:dyDescent="0.25">
      <c r="B1591" s="60">
        <v>46104</v>
      </c>
      <c r="C1591" s="5">
        <v>138.81</v>
      </c>
      <c r="D1591" s="54">
        <f t="shared" si="46"/>
        <v>1.6625164786875812E-2</v>
      </c>
      <c r="F1591" s="84">
        <v>2026</v>
      </c>
      <c r="G1591" s="5">
        <v>13.04</v>
      </c>
      <c r="H1591" s="54">
        <v>0</v>
      </c>
    </row>
    <row r="1592" spans="2:8" x14ac:dyDescent="0.25">
      <c r="B1592" s="60">
        <v>46105</v>
      </c>
      <c r="C1592" s="5">
        <v>138.04</v>
      </c>
      <c r="D1592" s="54">
        <f t="shared" si="46"/>
        <v>-5.547150781644028E-3</v>
      </c>
      <c r="F1592" s="84">
        <v>2026</v>
      </c>
      <c r="G1592" s="5">
        <v>13.12</v>
      </c>
      <c r="H1592" s="54">
        <v>6.1000000000000004E-3</v>
      </c>
    </row>
    <row r="1593" spans="2:8" x14ac:dyDescent="0.25">
      <c r="B1593" s="60">
        <v>46106</v>
      </c>
      <c r="C1593" s="5">
        <v>139.34</v>
      </c>
      <c r="D1593" s="54">
        <f t="shared" si="46"/>
        <v>9.4175601274992804E-3</v>
      </c>
      <c r="F1593" s="84">
        <v>2026</v>
      </c>
      <c r="G1593" s="5">
        <v>13.2</v>
      </c>
      <c r="H1593" s="54">
        <v>6.1000000000000004E-3</v>
      </c>
    </row>
    <row r="1594" spans="2:8" x14ac:dyDescent="0.25">
      <c r="B1594" s="60">
        <v>46107</v>
      </c>
      <c r="C1594" s="5">
        <v>136.38</v>
      </c>
      <c r="D1594" s="54">
        <f t="shared" si="46"/>
        <v>-2.1243002727142302E-2</v>
      </c>
      <c r="F1594" s="84">
        <v>2026</v>
      </c>
      <c r="G1594" s="5">
        <v>13.14</v>
      </c>
      <c r="H1594" s="54">
        <v>-4.4999999999999997E-3</v>
      </c>
    </row>
    <row r="1595" spans="2:8" x14ac:dyDescent="0.25">
      <c r="B1595" s="60">
        <v>46108</v>
      </c>
      <c r="C1595" s="5">
        <v>134.55000000000001</v>
      </c>
      <c r="D1595" s="54">
        <f t="shared" si="46"/>
        <v>-1.3418389793224739E-2</v>
      </c>
      <c r="F1595" s="84">
        <v>2026</v>
      </c>
      <c r="G1595" s="5">
        <v>13.16</v>
      </c>
      <c r="H1595" s="54">
        <v>1.5E-3</v>
      </c>
    </row>
    <row r="1596" spans="2:8" x14ac:dyDescent="0.25">
      <c r="B1596" s="60">
        <v>46111</v>
      </c>
      <c r="C1596" s="5">
        <v>134.19</v>
      </c>
      <c r="D1596" s="54">
        <f t="shared" si="46"/>
        <v>-2.6755852842810235E-3</v>
      </c>
      <c r="F1596" s="84">
        <v>2026</v>
      </c>
      <c r="G1596" s="5">
        <v>13.15</v>
      </c>
      <c r="H1596" s="54">
        <v>-8.0000000000000004E-4</v>
      </c>
    </row>
    <row r="1597" spans="2:8" x14ac:dyDescent="0.25">
      <c r="B1597" s="60">
        <v>46112</v>
      </c>
      <c r="C1597" s="5">
        <v>138.37</v>
      </c>
      <c r="D1597" s="54">
        <f t="shared" si="46"/>
        <v>3.1149862135777751E-2</v>
      </c>
      <c r="F1597" s="84">
        <v>2026</v>
      </c>
      <c r="G1597" s="5">
        <v>13.36</v>
      </c>
      <c r="H1597" s="54">
        <v>1.6E-2</v>
      </c>
    </row>
    <row r="1598" spans="2:8" x14ac:dyDescent="0.25">
      <c r="B1598" s="60">
        <v>46113</v>
      </c>
      <c r="C1598" s="5">
        <v>139.66999999999999</v>
      </c>
      <c r="D1598" s="54">
        <f t="shared" si="46"/>
        <v>9.3951000939509477E-3</v>
      </c>
      <c r="F1598" s="84">
        <v>2026</v>
      </c>
      <c r="G1598" s="5">
        <v>13.3</v>
      </c>
      <c r="H1598" s="54">
        <v>-4.4999999999999997E-3</v>
      </c>
    </row>
    <row r="1599" spans="2:8" x14ac:dyDescent="0.25">
      <c r="B1599" s="60">
        <v>46114</v>
      </c>
      <c r="C1599" s="5">
        <v>139.44</v>
      </c>
      <c r="D1599" s="54">
        <f t="shared" si="46"/>
        <v>-1.6467387413187096E-3</v>
      </c>
      <c r="F1599" s="84">
        <v>2026</v>
      </c>
      <c r="G1599" s="5">
        <v>13.32</v>
      </c>
      <c r="H1599" s="54">
        <v>1.5E-3</v>
      </c>
    </row>
    <row r="1600" spans="2:8" x14ac:dyDescent="0.25">
      <c r="B1600" s="60">
        <v>46118</v>
      </c>
      <c r="C1600" s="5">
        <v>140.15</v>
      </c>
      <c r="D1600" s="54">
        <f t="shared" si="46"/>
        <v>5.0917957544465153E-3</v>
      </c>
      <c r="F1600" s="84">
        <v>2026</v>
      </c>
      <c r="G1600" s="5">
        <v>13.29</v>
      </c>
      <c r="H1600" s="54">
        <v>-2.3E-3</v>
      </c>
    </row>
    <row r="1601" spans="2:8" x14ac:dyDescent="0.25">
      <c r="B1601" s="60">
        <v>46119</v>
      </c>
      <c r="C1601" s="5">
        <v>140.19999999999999</v>
      </c>
      <c r="D1601" s="54">
        <f t="shared" si="46"/>
        <v>3.567606136281043E-4</v>
      </c>
      <c r="F1601" s="84">
        <v>2026</v>
      </c>
      <c r="G1601" s="5">
        <v>13.38</v>
      </c>
      <c r="H1601" s="54">
        <v>6.7999999999999996E-3</v>
      </c>
    </row>
    <row r="1602" spans="2:8" x14ac:dyDescent="0.25">
      <c r="B1602" s="60">
        <v>46120</v>
      </c>
      <c r="C1602" s="5">
        <v>144.62</v>
      </c>
      <c r="D1602" s="54">
        <f t="shared" si="46"/>
        <v>3.1526390870185494E-2</v>
      </c>
      <c r="F1602" s="84">
        <v>2026</v>
      </c>
      <c r="G1602" s="5">
        <v>13.39</v>
      </c>
      <c r="H1602" s="54">
        <v>6.9999999999999999E-4</v>
      </c>
    </row>
    <row r="1603" spans="2:8" x14ac:dyDescent="0.25">
      <c r="B1603" s="60">
        <v>46121</v>
      </c>
      <c r="C1603" s="5">
        <v>145.07</v>
      </c>
      <c r="D1603" s="54">
        <f t="shared" si="46"/>
        <v>3.1116028211863878E-3</v>
      </c>
      <c r="F1603" s="84">
        <v>2026</v>
      </c>
      <c r="G1603" s="5">
        <v>13.38</v>
      </c>
      <c r="H1603" s="54">
        <v>-6.9999999999999999E-4</v>
      </c>
    </row>
    <row r="1604" spans="2:8" x14ac:dyDescent="0.25">
      <c r="B1604" s="60">
        <v>46122</v>
      </c>
      <c r="C1604" s="5">
        <v>145.04</v>
      </c>
      <c r="D1604" s="54">
        <f t="shared" si="46"/>
        <v>-2.0679671882539719E-4</v>
      </c>
      <c r="F1604" s="84">
        <v>2026</v>
      </c>
      <c r="G1604" s="5">
        <v>13.46</v>
      </c>
      <c r="H1604" s="54">
        <v>6.0000000000000001E-3</v>
      </c>
    </row>
    <row r="1605" spans="2:8" x14ac:dyDescent="0.25">
      <c r="B1605" s="60">
        <v>46125</v>
      </c>
      <c r="C1605" s="5">
        <v>146.41</v>
      </c>
      <c r="D1605" s="54">
        <f t="shared" si="46"/>
        <v>9.445670159955899E-3</v>
      </c>
      <c r="F1605" s="84">
        <v>2026</v>
      </c>
      <c r="G1605" s="5">
        <v>13.42</v>
      </c>
      <c r="H1605" s="54">
        <v>-3.0000000000000001E-3</v>
      </c>
    </row>
    <row r="1606" spans="2:8" x14ac:dyDescent="0.25">
      <c r="B1606" s="60">
        <v>46126</v>
      </c>
      <c r="C1606" s="5">
        <v>148.11000000000001</v>
      </c>
      <c r="D1606" s="54">
        <f t="shared" si="46"/>
        <v>1.1611228741206236E-2</v>
      </c>
      <c r="F1606" s="84">
        <v>2026</v>
      </c>
      <c r="G1606" s="5">
        <v>13.4</v>
      </c>
      <c r="H1606" s="54">
        <v>-1.5E-3</v>
      </c>
    </row>
    <row r="1607" spans="2:8" x14ac:dyDescent="0.25">
      <c r="B1607" s="60">
        <v>46127</v>
      </c>
      <c r="C1607" s="5">
        <v>148.80000000000001</v>
      </c>
      <c r="D1607" s="54">
        <f t="shared" si="46"/>
        <v>4.6586996151509741E-3</v>
      </c>
      <c r="F1607" s="84">
        <v>2026</v>
      </c>
      <c r="G1607" s="5">
        <v>13.37</v>
      </c>
      <c r="H1607" s="54">
        <v>-2.2000000000000001E-3</v>
      </c>
    </row>
    <row r="1608" spans="2:8" x14ac:dyDescent="0.25">
      <c r="B1608" s="60">
        <v>46128</v>
      </c>
      <c r="C1608" s="5">
        <v>148.9</v>
      </c>
      <c r="D1608" s="54">
        <f t="shared" ref="D1608:D1612" si="47">C1608/C1607-1</f>
        <v>6.7204301075274309E-4</v>
      </c>
    </row>
    <row r="1609" spans="2:8" x14ac:dyDescent="0.25">
      <c r="B1609" s="60">
        <v>46129</v>
      </c>
      <c r="C1609" s="5">
        <v>150.9</v>
      </c>
      <c r="D1609" s="54">
        <f t="shared" si="47"/>
        <v>1.3431833445265218E-2</v>
      </c>
    </row>
    <row r="1610" spans="2:8" x14ac:dyDescent="0.25">
      <c r="B1610" s="60">
        <v>46132</v>
      </c>
      <c r="C1610" s="5">
        <v>150.41</v>
      </c>
      <c r="D1610" s="54">
        <f t="shared" si="47"/>
        <v>-3.2471835652750913E-3</v>
      </c>
    </row>
    <row r="1611" spans="2:8" x14ac:dyDescent="0.25">
      <c r="B1611" s="60">
        <v>46133</v>
      </c>
      <c r="C1611" s="5">
        <v>148.74</v>
      </c>
      <c r="D1611" s="54">
        <f t="shared" si="47"/>
        <v>-1.1102985173857993E-2</v>
      </c>
    </row>
    <row r="1612" spans="2:8" x14ac:dyDescent="0.25">
      <c r="B1612" s="60">
        <v>46134</v>
      </c>
      <c r="C1612" s="5">
        <v>150.16999999999999</v>
      </c>
      <c r="D1612" s="54">
        <f t="shared" si="47"/>
        <v>9.6140917036438012E-3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D887-0C67-44AB-B101-63917EFD95E7}">
  <dimension ref="A2:O189"/>
  <sheetViews>
    <sheetView showGridLines="0" zoomScale="75" zoomScaleNormal="74" workbookViewId="0">
      <pane ySplit="6" topLeftCell="A7" activePane="bottomLeft" state="frozen"/>
      <selection pane="bottomLeft" activeCell="E5" sqref="E5"/>
    </sheetView>
  </sheetViews>
  <sheetFormatPr defaultRowHeight="15" x14ac:dyDescent="0.25"/>
  <cols>
    <col min="1" max="1" width="1.85546875" customWidth="1"/>
    <col min="2" max="2" width="30.42578125" customWidth="1"/>
    <col min="3" max="3" width="28" bestFit="1" customWidth="1"/>
    <col min="4" max="4" width="17.140625" customWidth="1"/>
    <col min="5" max="5" width="30.140625" customWidth="1"/>
    <col min="6" max="6" width="28.5703125" customWidth="1"/>
    <col min="7" max="7" width="27.7109375" customWidth="1"/>
    <col min="8" max="8" width="25.85546875" customWidth="1"/>
    <col min="9" max="9" width="25.5703125" bestFit="1" customWidth="1"/>
    <col min="10" max="10" width="28.5703125" customWidth="1"/>
    <col min="11" max="11" width="28.140625" customWidth="1"/>
    <col min="12" max="12" width="20.42578125" customWidth="1"/>
    <col min="13" max="13" width="17.28515625" customWidth="1"/>
    <col min="14" max="14" width="18.42578125" customWidth="1"/>
    <col min="15" max="15" width="16.28515625" customWidth="1"/>
  </cols>
  <sheetData>
    <row r="2" spans="1:15" ht="21" x14ac:dyDescent="0.35">
      <c r="B2" s="35" t="s">
        <v>209</v>
      </c>
      <c r="C2" s="2"/>
      <c r="D2" s="2"/>
      <c r="E2" s="2"/>
      <c r="F2" s="2"/>
      <c r="G2" s="2"/>
      <c r="H2" s="2"/>
      <c r="I2" s="2"/>
      <c r="J2" s="2"/>
      <c r="K2" s="2"/>
      <c r="L2" s="2"/>
      <c r="M2" s="2"/>
      <c r="N2" s="2"/>
      <c r="O2" s="2"/>
    </row>
    <row r="3" spans="1:15" x14ac:dyDescent="0.25">
      <c r="B3" s="29" t="s">
        <v>210</v>
      </c>
      <c r="E3" s="36">
        <f>ERPcalc!C7</f>
        <v>3.0013126508127919E-2</v>
      </c>
      <c r="F3" s="37"/>
    </row>
    <row r="4" spans="1:15" x14ac:dyDescent="0.25">
      <c r="B4" s="29" t="s">
        <v>211</v>
      </c>
      <c r="E4" s="128">
        <f>RelativeVolatility!E13</f>
        <v>3.0263253005672976</v>
      </c>
      <c r="F4" s="38" t="s">
        <v>212</v>
      </c>
      <c r="I4" s="39"/>
    </row>
    <row r="5" spans="1:15" ht="2.1" customHeight="1" x14ac:dyDescent="0.25"/>
    <row r="6" spans="1:15" s="40" customFormat="1" ht="2.1" customHeight="1" x14ac:dyDescent="0.25"/>
    <row r="7" spans="1:15" x14ac:dyDescent="0.25">
      <c r="A7" t="s">
        <v>7</v>
      </c>
      <c r="B7" s="41" t="s">
        <v>199</v>
      </c>
      <c r="C7" s="41" t="s">
        <v>213</v>
      </c>
      <c r="D7" s="42" t="s">
        <v>214</v>
      </c>
      <c r="E7" s="42" t="s">
        <v>215</v>
      </c>
      <c r="F7" s="42" t="s">
        <v>1601</v>
      </c>
      <c r="G7" s="42" t="s">
        <v>1603</v>
      </c>
      <c r="H7" s="42" t="s">
        <v>1604</v>
      </c>
      <c r="I7" s="42" t="s">
        <v>1578</v>
      </c>
      <c r="J7" s="42" t="s">
        <v>1602</v>
      </c>
      <c r="K7" s="42" t="s">
        <v>1600</v>
      </c>
      <c r="L7" s="42"/>
      <c r="M7" s="43" t="s">
        <v>218</v>
      </c>
      <c r="N7" s="43" t="s">
        <v>219</v>
      </c>
      <c r="O7" s="43" t="s">
        <v>3</v>
      </c>
    </row>
    <row r="8" spans="1:15" x14ac:dyDescent="0.25">
      <c r="B8" s="5" t="s">
        <v>18</v>
      </c>
      <c r="C8" s="5" t="str">
        <f>VLOOKUP(B8,RegionLookup!$B$3:$C$184,2,FALSE)</f>
        <v>Middle East</v>
      </c>
      <c r="D8" s="44" t="str">
        <f>VLOOKUP(B8,'Ratings&amp;PRS'!$B$4:$C$160,2,FALSE)</f>
        <v>Aa2</v>
      </c>
      <c r="E8" s="115">
        <f>VLOOKUP(D8,$N$8:$O$30,2,FALSE)/10000</f>
        <v>4.8889784279692525E-3</v>
      </c>
      <c r="F8" s="115">
        <f>$E$3+E8</f>
        <v>3.4902104936097175E-2</v>
      </c>
      <c r="G8" s="115">
        <f>E8*$E$4</f>
        <v>1.4795639110491083E-2</v>
      </c>
      <c r="H8" s="115">
        <f>$E$3+G8</f>
        <v>4.4808765618619004E-2</v>
      </c>
      <c r="I8" s="115">
        <f>IFERROR(VLOOKUP(B8,CDS!$B$8:$D$97,3,FALSE),"NA")</f>
        <v>5.0999999999999995E-3</v>
      </c>
      <c r="J8" s="115">
        <f>IF(I8="NA","NA",$E$4*I8)</f>
        <v>1.5434259032893216E-2</v>
      </c>
      <c r="K8" s="115">
        <f>IF(J8="NA","NA",$E$3+J8)</f>
        <v>4.5447385541021137E-2</v>
      </c>
      <c r="M8" s="121" t="str">
        <f>[1]RatingSpreads!B8</f>
        <v>AAA</v>
      </c>
      <c r="N8" s="121" t="str">
        <f>[1]RatingSpreads!C8</f>
        <v>Aaa</v>
      </c>
      <c r="O8" s="45">
        <f>[1]RatingSpreads!D8</f>
        <v>0</v>
      </c>
    </row>
    <row r="9" spans="1:15" x14ac:dyDescent="0.25">
      <c r="B9" s="5" t="s">
        <v>20</v>
      </c>
      <c r="C9" s="5" t="str">
        <f>VLOOKUP(B9,RegionLookup!$B$3:$C$184,2,FALSE)</f>
        <v>Eastern Europe &amp; Russia</v>
      </c>
      <c r="D9" s="44" t="str">
        <f>VLOOKUP(B9,'Ratings&amp;PRS'!$B$4:$C$160,2,FALSE)</f>
        <v>Ba3</v>
      </c>
      <c r="E9" s="115">
        <f>VLOOKUP(D9,$N$8:$O$30,2,FALSE)/10000</f>
        <v>3.5619699975204554E-2</v>
      </c>
      <c r="F9" s="115">
        <f t="shared" ref="F9:F71" si="0">$E$3+E9</f>
        <v>6.5632826483332476E-2</v>
      </c>
      <c r="G9" s="115">
        <f>E9*$E$4</f>
        <v>0.10779679923357789</v>
      </c>
      <c r="H9" s="115">
        <f>$E$3+G9</f>
        <v>0.13780992574170581</v>
      </c>
      <c r="I9" s="115" t="str">
        <f>IFERROR(VLOOKUP(B9,CDS!$B$8:$D$97,3,FALSE),"NA")</f>
        <v>NA</v>
      </c>
      <c r="J9" s="115" t="str">
        <f t="shared" ref="J9:J71" si="1">IF(I9="NA","NA",$E$4*I9)</f>
        <v>NA</v>
      </c>
      <c r="K9" s="115" t="str">
        <f>IF(J9="NA","NA",$E$3+J9)</f>
        <v>NA</v>
      </c>
      <c r="M9" s="121" t="str">
        <f>[1]RatingSpreads!B9</f>
        <v>AA+</v>
      </c>
      <c r="N9" s="121" t="str">
        <f>[1]RatingSpreads!C9</f>
        <v>Aa1</v>
      </c>
      <c r="O9" s="45">
        <f>[1]RatingSpreads!D9</f>
        <v>39.577444416893947</v>
      </c>
    </row>
    <row r="10" spans="1:15" x14ac:dyDescent="0.25">
      <c r="B10" s="5" t="s">
        <v>21</v>
      </c>
      <c r="C10" s="5" t="str">
        <f>VLOOKUP(B10,RegionLookup!$B$3:$C$184,2,FALSE)</f>
        <v>Western Europe</v>
      </c>
      <c r="D10" s="44" t="str">
        <f>VLOOKUP(B10,'Ratings&amp;PRS'!$B$4:$C$160,2,FALSE)</f>
        <v>Baa1</v>
      </c>
      <c r="E10" s="115">
        <f t="shared" ref="E10:E71" si="2">VLOOKUP(D10,$N$8:$O$30,2,FALSE)/10000</f>
        <v>1.5830977766757577E-2</v>
      </c>
      <c r="F10" s="115">
        <f t="shared" si="0"/>
        <v>4.58441042748855E-2</v>
      </c>
      <c r="G10" s="115">
        <f t="shared" ref="G10:G71" si="3">E10*$E$4</f>
        <v>4.7909688548256828E-2</v>
      </c>
      <c r="H10" s="115">
        <f t="shared" ref="H10:H71" si="4">$E$3+G10</f>
        <v>7.792281505638475E-2</v>
      </c>
      <c r="I10" s="115" t="str">
        <f>IFERROR(VLOOKUP(B10,CDS!$B$8:$D$97,3,FALSE),"NA")</f>
        <v>NA</v>
      </c>
      <c r="J10" s="115" t="str">
        <f t="shared" si="1"/>
        <v>NA</v>
      </c>
      <c r="K10" s="115" t="str">
        <f t="shared" ref="K10:K71" si="5">IF(J10="NA","NA",$E$3+J10)</f>
        <v>NA</v>
      </c>
      <c r="M10" s="121" t="str">
        <f>[1]RatingSpreads!B10</f>
        <v>AA</v>
      </c>
      <c r="N10" s="121" t="str">
        <f>[1]RatingSpreads!C10</f>
        <v>Aa2</v>
      </c>
      <c r="O10" s="45">
        <f>[1]RatingSpreads!D10</f>
        <v>48.889784279692527</v>
      </c>
    </row>
    <row r="11" spans="1:15" x14ac:dyDescent="0.25">
      <c r="B11" s="5" t="s">
        <v>28</v>
      </c>
      <c r="C11" s="5" t="str">
        <f>VLOOKUP(B11,RegionLookup!$B$3:$C$184,2,FALSE)</f>
        <v>Africa</v>
      </c>
      <c r="D11" s="44" t="str">
        <f>VLOOKUP(B11,'Ratings&amp;PRS'!$B$4:$C$160,2,FALSE)</f>
        <v>B3</v>
      </c>
      <c r="E11" s="115">
        <f t="shared" si="2"/>
        <v>6.4371549301595152E-2</v>
      </c>
      <c r="F11" s="115">
        <f t="shared" si="0"/>
        <v>9.4384675809723068E-2</v>
      </c>
      <c r="G11" s="115">
        <f>E11*$E$4</f>
        <v>0.19480924828813256</v>
      </c>
      <c r="H11" s="115">
        <f t="shared" si="4"/>
        <v>0.22482237479626049</v>
      </c>
      <c r="I11" s="115">
        <f>IFERROR(VLOOKUP(B11,CDS!$B$8:$D$97,3,FALSE),"NA")</f>
        <v>6.9900000000000004E-2</v>
      </c>
      <c r="J11" s="115">
        <f>IF(I11="NA","NA",$E$4*I11)</f>
        <v>0.21154013850965411</v>
      </c>
      <c r="K11" s="115">
        <f t="shared" si="5"/>
        <v>0.24155326501778204</v>
      </c>
      <c r="M11" s="121" t="str">
        <f>[1]RatingSpreads!B11</f>
        <v>AA-</v>
      </c>
      <c r="N11" s="121" t="str">
        <f>[1]RatingSpreads!C11</f>
        <v>Aa3</v>
      </c>
      <c r="O11" s="45">
        <f>[1]RatingSpreads!D11</f>
        <v>59.366166625340931</v>
      </c>
    </row>
    <row r="12" spans="1:15" x14ac:dyDescent="0.25">
      <c r="B12" s="5" t="s">
        <v>24</v>
      </c>
      <c r="C12" s="5" t="str">
        <f>VLOOKUP(B12,RegionLookup!$B$3:$C$184,2,FALSE)</f>
        <v>Central and South America</v>
      </c>
      <c r="D12" s="44" t="str">
        <f>VLOOKUP(B12,'Ratings&amp;PRS'!$B$4:$C$160,2,FALSE)</f>
        <v>Ca</v>
      </c>
      <c r="E12" s="115">
        <f t="shared" si="2"/>
        <v>0.11884873749896685</v>
      </c>
      <c r="F12" s="115">
        <f t="shared" si="0"/>
        <v>0.14886186400709478</v>
      </c>
      <c r="G12" s="115">
        <f t="shared" si="3"/>
        <v>0.35967494123360472</v>
      </c>
      <c r="H12" s="115">
        <f t="shared" si="4"/>
        <v>0.38968806774173265</v>
      </c>
      <c r="I12" s="115">
        <f>IFERROR(VLOOKUP(B12,CDS!$B$8:$D$97,3,FALSE),"NA")</f>
        <v>8.2000000000000003E-2</v>
      </c>
      <c r="J12" s="115">
        <f t="shared" si="1"/>
        <v>0.24815867464651842</v>
      </c>
      <c r="K12" s="115">
        <f t="shared" si="5"/>
        <v>0.27817180115464635</v>
      </c>
      <c r="M12" s="121" t="str">
        <f>[1]RatingSpreads!B12</f>
        <v>A+</v>
      </c>
      <c r="N12" s="121" t="str">
        <f>[1]RatingSpreads!C12</f>
        <v>A1</v>
      </c>
      <c r="O12" s="45">
        <f>[1]RatingSpreads!D12</f>
        <v>69.842548970989341</v>
      </c>
    </row>
    <row r="13" spans="1:15" x14ac:dyDescent="0.25">
      <c r="B13" s="5" t="s">
        <v>29</v>
      </c>
      <c r="C13" s="5" t="str">
        <f>VLOOKUP(B13,RegionLookup!$B$3:$C$184,2,FALSE)</f>
        <v>Eastern Europe &amp; Russia</v>
      </c>
      <c r="D13" s="44" t="str">
        <f>VLOOKUP(B13,'Ratings&amp;PRS'!$B$4:$C$160,2,FALSE)</f>
        <v>Ba3</v>
      </c>
      <c r="E13" s="115">
        <f t="shared" si="2"/>
        <v>3.5619699975204554E-2</v>
      </c>
      <c r="F13" s="115">
        <f t="shared" si="0"/>
        <v>6.5632826483332476E-2</v>
      </c>
      <c r="G13" s="115">
        <f t="shared" si="3"/>
        <v>0.10779679923357789</v>
      </c>
      <c r="H13" s="115">
        <f t="shared" si="4"/>
        <v>0.13780992574170581</v>
      </c>
      <c r="I13" s="115" t="str">
        <f>IFERROR(VLOOKUP(B13,CDS!$B$8:$D$97,3,FALSE),"NA")</f>
        <v>NA</v>
      </c>
      <c r="J13" s="115" t="str">
        <f t="shared" si="1"/>
        <v>NA</v>
      </c>
      <c r="K13" s="115" t="str">
        <f t="shared" si="5"/>
        <v>NA</v>
      </c>
      <c r="M13" s="121" t="str">
        <f>[1]RatingSpreads!B13</f>
        <v>A</v>
      </c>
      <c r="N13" s="121" t="str">
        <f>[1]RatingSpreads!C13</f>
        <v>A2</v>
      </c>
      <c r="O13" s="45">
        <f>[1]RatingSpreads!D13</f>
        <v>83.811058765187198</v>
      </c>
    </row>
    <row r="14" spans="1:15" x14ac:dyDescent="0.25">
      <c r="B14" s="5" t="s">
        <v>23</v>
      </c>
      <c r="C14" s="5" t="str">
        <f>VLOOKUP(B14,RegionLookup!$B$3:$C$184,2,FALSE)</f>
        <v>Caribbean</v>
      </c>
      <c r="D14" s="44" t="str">
        <f>VLOOKUP(B14,'Ratings&amp;PRS'!$B$4:$C$160,2,FALSE)</f>
        <v>Baa3</v>
      </c>
      <c r="E14" s="115">
        <f t="shared" si="2"/>
        <v>2.1767594429291676E-2</v>
      </c>
      <c r="F14" s="115">
        <f t="shared" si="0"/>
        <v>5.1780720937419596E-2</v>
      </c>
      <c r="G14" s="115">
        <f t="shared" si="3"/>
        <v>6.5875821753853162E-2</v>
      </c>
      <c r="H14" s="115">
        <f t="shared" si="4"/>
        <v>9.5888948261981077E-2</v>
      </c>
      <c r="I14" s="115" t="str">
        <f>IFERROR(VLOOKUP(B14,CDS!$B$8:$D$97,3,FALSE),"NA")</f>
        <v>NA</v>
      </c>
      <c r="J14" s="115" t="str">
        <f t="shared" si="1"/>
        <v>NA</v>
      </c>
      <c r="K14" s="115" t="str">
        <f t="shared" si="5"/>
        <v>NA</v>
      </c>
      <c r="M14" s="121" t="str">
        <f>[1]RatingSpreads!B14</f>
        <v>A-</v>
      </c>
      <c r="N14" s="121" t="str">
        <f>[1]RatingSpreads!C14</f>
        <v>A3</v>
      </c>
      <c r="O14" s="45">
        <f>[1]RatingSpreads!D14</f>
        <v>118.73233325068186</v>
      </c>
    </row>
    <row r="15" spans="1:15" x14ac:dyDescent="0.25">
      <c r="B15" s="5" t="s">
        <v>25</v>
      </c>
      <c r="C15" s="5" t="str">
        <f>VLOOKUP(B15,RegionLookup!$B$3:$C$184,2,FALSE)</f>
        <v>Australia &amp; New Zealand</v>
      </c>
      <c r="D15" s="44" t="str">
        <f>VLOOKUP(B15,'Ratings&amp;PRS'!$B$4:$C$160,2,FALSE)</f>
        <v>Aaa</v>
      </c>
      <c r="E15" s="115">
        <f t="shared" si="2"/>
        <v>0</v>
      </c>
      <c r="F15" s="115">
        <f t="shared" si="0"/>
        <v>3.0013126508127919E-2</v>
      </c>
      <c r="G15" s="115">
        <f t="shared" si="3"/>
        <v>0</v>
      </c>
      <c r="H15" s="115">
        <f t="shared" si="4"/>
        <v>3.0013126508127919E-2</v>
      </c>
      <c r="I15" s="115">
        <f>IFERROR(VLOOKUP(B15,CDS!$B$8:$D$97,3,FALSE),"NA")</f>
        <v>1.0000000000000005E-4</v>
      </c>
      <c r="J15" s="115">
        <f t="shared" si="1"/>
        <v>3.026325300567299E-4</v>
      </c>
      <c r="K15" s="115">
        <f t="shared" si="5"/>
        <v>3.0315759038184648E-2</v>
      </c>
      <c r="M15" s="121" t="str">
        <f>[1]RatingSpreads!B15</f>
        <v>BBB+</v>
      </c>
      <c r="N15" s="121" t="str">
        <f>[1]RatingSpreads!C15</f>
        <v>Baa1</v>
      </c>
      <c r="O15" s="45">
        <f>[1]RatingSpreads!D15</f>
        <v>158.30977766757579</v>
      </c>
    </row>
    <row r="16" spans="1:15" x14ac:dyDescent="0.25">
      <c r="B16" s="5" t="s">
        <v>30</v>
      </c>
      <c r="C16" s="5" t="str">
        <f>VLOOKUP(B16,RegionLookup!$B$3:$C$184,2,FALSE)</f>
        <v>Western Europe</v>
      </c>
      <c r="D16" s="44" t="str">
        <f>VLOOKUP(B16,'Ratings&amp;PRS'!$B$4:$C$160,2,FALSE)</f>
        <v>Aa1</v>
      </c>
      <c r="E16" s="115">
        <f t="shared" si="2"/>
        <v>3.9577444416893943E-3</v>
      </c>
      <c r="F16" s="115">
        <f t="shared" si="0"/>
        <v>3.3970870949817315E-2</v>
      </c>
      <c r="G16" s="115">
        <f t="shared" si="3"/>
        <v>1.1977422137064207E-2</v>
      </c>
      <c r="H16" s="115">
        <f t="shared" si="4"/>
        <v>4.1990548645192124E-2</v>
      </c>
      <c r="I16" s="115">
        <f>IFERROR(VLOOKUP(B16,CDS!$B$8:$D$97,3,FALSE),"NA")</f>
        <v>1.5000000000000002E-3</v>
      </c>
      <c r="J16" s="115">
        <f t="shared" si="1"/>
        <v>4.5394879508509475E-3</v>
      </c>
      <c r="K16" s="115">
        <f t="shared" si="5"/>
        <v>3.4552614458978864E-2</v>
      </c>
      <c r="M16" s="121" t="str">
        <f>[1]RatingSpreads!B16</f>
        <v>BBB</v>
      </c>
      <c r="N16" s="121" t="str">
        <f>[1]RatingSpreads!C16</f>
        <v>Baa2</v>
      </c>
      <c r="O16" s="45">
        <f>[1]RatingSpreads!D16</f>
        <v>188.5748822216712</v>
      </c>
    </row>
    <row r="17" spans="2:15" x14ac:dyDescent="0.25">
      <c r="B17" s="5" t="s">
        <v>38</v>
      </c>
      <c r="C17" s="5" t="str">
        <f>VLOOKUP(B17,RegionLookup!$B$3:$C$184,2,FALSE)</f>
        <v>Eastern Europe &amp; Russia</v>
      </c>
      <c r="D17" s="44" t="str">
        <f>VLOOKUP(B17,'Ratings&amp;PRS'!$B$4:$C$160,2,FALSE)</f>
        <v>Ba1</v>
      </c>
      <c r="E17" s="115">
        <f t="shared" si="2"/>
        <v>2.4794104884701216E-2</v>
      </c>
      <c r="F17" s="115">
        <f t="shared" si="0"/>
        <v>5.4807231392829135E-2</v>
      </c>
      <c r="G17" s="115">
        <f t="shared" si="3"/>
        <v>7.5035026917490505E-2</v>
      </c>
      <c r="H17" s="115">
        <f t="shared" si="4"/>
        <v>0.10504815342561842</v>
      </c>
      <c r="I17" s="115" t="str">
        <f>IFERROR(VLOOKUP(B17,CDS!$B$8:$D$97,3,FALSE),"NA")</f>
        <v>NA</v>
      </c>
      <c r="J17" s="115" t="str">
        <f t="shared" si="1"/>
        <v>NA</v>
      </c>
      <c r="K17" s="115" t="str">
        <f t="shared" si="5"/>
        <v>NA</v>
      </c>
      <c r="M17" s="121" t="str">
        <f>[1]RatingSpreads!B17</f>
        <v>BBB-</v>
      </c>
      <c r="N17" s="121" t="str">
        <f>[1]RatingSpreads!C17</f>
        <v>Baa3</v>
      </c>
      <c r="O17" s="45">
        <f>[1]RatingSpreads!D17</f>
        <v>217.67594429291677</v>
      </c>
    </row>
    <row r="18" spans="2:15" x14ac:dyDescent="0.25">
      <c r="B18" s="5" t="s">
        <v>32</v>
      </c>
      <c r="C18" s="5" t="str">
        <f>VLOOKUP(B18,RegionLookup!$B$3:$C$184,2,FALSE)</f>
        <v>Caribbean</v>
      </c>
      <c r="D18" s="44" t="str">
        <f>VLOOKUP(B18,'Ratings&amp;PRS'!$B$4:$C$160,2,FALSE)</f>
        <v>B1</v>
      </c>
      <c r="E18" s="115">
        <f t="shared" si="2"/>
        <v>4.4582827093148182E-2</v>
      </c>
      <c r="F18" s="115">
        <f t="shared" si="0"/>
        <v>7.4595953601276105E-2</v>
      </c>
      <c r="G18" s="115">
        <f t="shared" si="3"/>
        <v>0.13492213760281152</v>
      </c>
      <c r="H18" s="115">
        <f t="shared" si="4"/>
        <v>0.16493526411093945</v>
      </c>
      <c r="I18" s="115" t="str">
        <f>IFERROR(VLOOKUP(B18,CDS!$B$8:$D$97,3,FALSE),"NA")</f>
        <v>NA</v>
      </c>
      <c r="J18" s="115" t="str">
        <f t="shared" si="1"/>
        <v>NA</v>
      </c>
      <c r="K18" s="115" t="str">
        <f t="shared" si="5"/>
        <v>NA</v>
      </c>
      <c r="M18" s="121" t="str">
        <f>[1]RatingSpreads!B18</f>
        <v>BB+</v>
      </c>
      <c r="N18" s="121" t="str">
        <f>[1]RatingSpreads!C18</f>
        <v>Ba1</v>
      </c>
      <c r="O18" s="45">
        <f>[1]RatingSpreads!D18</f>
        <v>247.94104884701215</v>
      </c>
    </row>
    <row r="19" spans="2:15" x14ac:dyDescent="0.25">
      <c r="B19" s="5" t="s">
        <v>27</v>
      </c>
      <c r="C19" s="5" t="str">
        <f>VLOOKUP(B19,RegionLookup!$B$3:$C$184,2,FALSE)</f>
        <v>Middle East</v>
      </c>
      <c r="D19" s="44" t="str">
        <f>VLOOKUP(B19,'Ratings&amp;PRS'!$B$4:$C$160,2,FALSE)</f>
        <v>B2</v>
      </c>
      <c r="E19" s="115">
        <f t="shared" si="2"/>
        <v>5.4477188197371677E-2</v>
      </c>
      <c r="F19" s="115">
        <f t="shared" si="0"/>
        <v>8.44903147054996E-2</v>
      </c>
      <c r="G19" s="115">
        <f t="shared" si="3"/>
        <v>0.16486569294547207</v>
      </c>
      <c r="H19" s="115">
        <f t="shared" si="4"/>
        <v>0.1948788194536</v>
      </c>
      <c r="I19" s="115">
        <f>IFERROR(VLOOKUP(B19,CDS!$B$8:$D$97,3,FALSE),"NA")</f>
        <v>2.6200000000000001E-2</v>
      </c>
      <c r="J19" s="115">
        <f t="shared" si="1"/>
        <v>7.9289722874863203E-2</v>
      </c>
      <c r="K19" s="115">
        <f t="shared" si="5"/>
        <v>0.10930284938299112</v>
      </c>
      <c r="M19" s="121" t="str">
        <f>[1]RatingSpreads!B19</f>
        <v>BB</v>
      </c>
      <c r="N19" s="121" t="str">
        <f>[1]RatingSpreads!C19</f>
        <v>Ba2</v>
      </c>
      <c r="O19" s="45">
        <f>[1]RatingSpreads!D19</f>
        <v>297.99487560955447</v>
      </c>
    </row>
    <row r="20" spans="2:15" x14ac:dyDescent="0.25">
      <c r="B20" s="5" t="s">
        <v>17</v>
      </c>
      <c r="C20" s="5" t="str">
        <f>VLOOKUP(B20,RegionLookup!$B$3:$C$184,2,FALSE)</f>
        <v>Asia</v>
      </c>
      <c r="D20" s="44" t="str">
        <f>VLOOKUP(B20,'Ratings&amp;PRS'!$B$4:$C$160,2,FALSE)</f>
        <v>B2</v>
      </c>
      <c r="E20" s="115">
        <f t="shared" si="2"/>
        <v>5.4477188197371677E-2</v>
      </c>
      <c r="F20" s="115">
        <f>$E$3+E20</f>
        <v>8.44903147054996E-2</v>
      </c>
      <c r="G20" s="115">
        <f>E20*$E$4</f>
        <v>0.16486569294547207</v>
      </c>
      <c r="H20" s="115">
        <f>$E$3+G20</f>
        <v>0.1948788194536</v>
      </c>
      <c r="I20" s="115" t="str">
        <f>IFERROR(VLOOKUP(B20,CDS!$B$8:$D$97,3,FALSE),"NA")</f>
        <v>NA</v>
      </c>
      <c r="J20" s="115" t="str">
        <f t="shared" si="1"/>
        <v>NA</v>
      </c>
      <c r="K20" s="115" t="str">
        <f t="shared" si="5"/>
        <v>NA</v>
      </c>
      <c r="M20" s="121" t="str">
        <f>[1]RatingSpreads!B20</f>
        <v>BB-</v>
      </c>
      <c r="N20" s="121" t="str">
        <f>[1]RatingSpreads!C20</f>
        <v>Ba3</v>
      </c>
      <c r="O20" s="45">
        <f>[1]RatingSpreads!D20</f>
        <v>356.19699975204554</v>
      </c>
    </row>
    <row r="21" spans="2:15" x14ac:dyDescent="0.25">
      <c r="B21" s="5" t="s">
        <v>40</v>
      </c>
      <c r="C21" s="5" t="str">
        <f>VLOOKUP(B21,RegionLookup!$B$3:$C$184,2,FALSE)</f>
        <v>Caribbean</v>
      </c>
      <c r="D21" s="44" t="str">
        <f>VLOOKUP(B21,'Ratings&amp;PRS'!$B$4:$C$160,2,FALSE)</f>
        <v>B3</v>
      </c>
      <c r="E21" s="115">
        <f t="shared" si="2"/>
        <v>6.4371549301595152E-2</v>
      </c>
      <c r="F21" s="115">
        <f t="shared" si="0"/>
        <v>9.4384675809723068E-2</v>
      </c>
      <c r="G21" s="115">
        <f t="shared" si="3"/>
        <v>0.19480924828813256</v>
      </c>
      <c r="H21" s="115">
        <f t="shared" si="4"/>
        <v>0.22482237479626049</v>
      </c>
      <c r="I21" s="115" t="str">
        <f>IFERROR(VLOOKUP(B21,CDS!$B$8:$D$97,3,FALSE),"NA")</f>
        <v>NA</v>
      </c>
      <c r="J21" s="115" t="str">
        <f t="shared" si="1"/>
        <v>NA</v>
      </c>
      <c r="K21" s="115" t="str">
        <f t="shared" si="5"/>
        <v>NA</v>
      </c>
      <c r="M21" s="121" t="str">
        <f>[1]RatingSpreads!B21</f>
        <v>B+</v>
      </c>
      <c r="N21" s="121" t="str">
        <f>[1]RatingSpreads!C21</f>
        <v>B1</v>
      </c>
      <c r="O21" s="45">
        <f>[1]RatingSpreads!D21</f>
        <v>445.82827093148182</v>
      </c>
    </row>
    <row r="22" spans="2:15" x14ac:dyDescent="0.25">
      <c r="B22" s="5" t="s">
        <v>46</v>
      </c>
      <c r="C22" s="5" t="str">
        <f>VLOOKUP(B22,RegionLookup!$B$3:$C$184,2,FALSE)</f>
        <v>Eastern Europe &amp; Russia</v>
      </c>
      <c r="D22" s="44" t="str">
        <f>VLOOKUP(B22,'Ratings&amp;PRS'!$B$4:$C$160,2,FALSE)</f>
        <v>C</v>
      </c>
      <c r="E22" s="115">
        <f t="shared" si="2"/>
        <v>0.17499999999999999</v>
      </c>
      <c r="F22" s="115">
        <f t="shared" si="0"/>
        <v>0.20501312650812792</v>
      </c>
      <c r="G22" s="115">
        <f t="shared" si="3"/>
        <v>0.52960692759927708</v>
      </c>
      <c r="H22" s="115">
        <f t="shared" si="4"/>
        <v>0.55962005410740501</v>
      </c>
      <c r="I22" s="115" t="str">
        <f>IFERROR(VLOOKUP(B22,CDS!$B$8:$D$97,3,FALSE),"NA")</f>
        <v>NA</v>
      </c>
      <c r="J22" s="115" t="str">
        <f t="shared" si="1"/>
        <v>NA</v>
      </c>
      <c r="K22" s="115" t="str">
        <f t="shared" si="5"/>
        <v>NA</v>
      </c>
      <c r="M22" s="121" t="str">
        <f>[1]RatingSpreads!B22</f>
        <v>B</v>
      </c>
      <c r="N22" s="121" t="str">
        <f>[1]RatingSpreads!C22</f>
        <v>B2</v>
      </c>
      <c r="O22" s="45">
        <f>[1]RatingSpreads!D22</f>
        <v>544.77188197371675</v>
      </c>
    </row>
    <row r="23" spans="2:15" x14ac:dyDescent="0.25">
      <c r="B23" s="5" t="s">
        <v>39</v>
      </c>
      <c r="C23" s="5" t="str">
        <f>VLOOKUP(B23,RegionLookup!$B$3:$C$184,2,FALSE)</f>
        <v>Western Europe</v>
      </c>
      <c r="D23" s="44" t="str">
        <f>VLOOKUP(B23,'Ratings&amp;PRS'!$B$4:$C$160,2,FALSE)</f>
        <v>Aa3</v>
      </c>
      <c r="E23" s="115">
        <f t="shared" si="2"/>
        <v>5.9366166625340932E-3</v>
      </c>
      <c r="F23" s="115">
        <f t="shared" si="0"/>
        <v>3.5949743170662012E-2</v>
      </c>
      <c r="G23" s="115">
        <f t="shared" si="3"/>
        <v>1.7966133205596316E-2</v>
      </c>
      <c r="H23" s="115">
        <f t="shared" si="4"/>
        <v>4.7979259713724236E-2</v>
      </c>
      <c r="I23" s="115">
        <f>IFERROR(VLOOKUP(B23,CDS!$B$8:$D$97,3,FALSE),"NA")</f>
        <v>3.3E-3</v>
      </c>
      <c r="J23" s="115">
        <f t="shared" si="1"/>
        <v>9.9868734918720815E-3</v>
      </c>
      <c r="K23" s="115">
        <f t="shared" si="5"/>
        <v>0.04</v>
      </c>
      <c r="M23" s="121" t="str">
        <f>[1]RatingSpreads!B23</f>
        <v>B-</v>
      </c>
      <c r="N23" s="121" t="str">
        <f>[1]RatingSpreads!C23</f>
        <v>B3</v>
      </c>
      <c r="O23" s="45">
        <f>[1]RatingSpreads!D23</f>
        <v>643.71549301595155</v>
      </c>
    </row>
    <row r="24" spans="2:15" x14ac:dyDescent="0.25">
      <c r="B24" s="5" t="s">
        <v>33</v>
      </c>
      <c r="C24" s="5" t="str">
        <f>VLOOKUP(B24,RegionLookup!$B$3:$C$184,2,FALSE)</f>
        <v>Central and South America</v>
      </c>
      <c r="D24" s="44" t="str">
        <f>VLOOKUP(B24,'Ratings&amp;PRS'!$B$4:$C$160,2,FALSE)</f>
        <v>Caa1</v>
      </c>
      <c r="E24" s="115">
        <f t="shared" si="2"/>
        <v>7.4265910405818647E-2</v>
      </c>
      <c r="F24" s="115">
        <f t="shared" si="0"/>
        <v>0.10427903691394656</v>
      </c>
      <c r="G24" s="115">
        <f t="shared" si="3"/>
        <v>0.22475280363079311</v>
      </c>
      <c r="H24" s="115">
        <f t="shared" si="4"/>
        <v>0.25476593013892102</v>
      </c>
      <c r="I24" s="115" t="str">
        <f>IFERROR(VLOOKUP(B24,CDS!$B$8:$D$97,3,FALSE),"NA")</f>
        <v>NA</v>
      </c>
      <c r="J24" s="115" t="str">
        <f t="shared" si="1"/>
        <v>NA</v>
      </c>
      <c r="K24" s="115" t="str">
        <f t="shared" si="5"/>
        <v>NA</v>
      </c>
      <c r="M24" s="121" t="str">
        <f>[1]RatingSpreads!B24</f>
        <v>CCC+</v>
      </c>
      <c r="N24" s="121" t="str">
        <f>[1]RatingSpreads!C24</f>
        <v>Caa1</v>
      </c>
      <c r="O24" s="45">
        <f>[1]RatingSpreads!D24</f>
        <v>742.65910405818647</v>
      </c>
    </row>
    <row r="25" spans="2:15" x14ac:dyDescent="0.25">
      <c r="B25" s="5" t="s">
        <v>37</v>
      </c>
      <c r="C25" s="5" t="str">
        <f>VLOOKUP(B25,RegionLookup!$B$3:$C$184,2,FALSE)</f>
        <v>Africa</v>
      </c>
      <c r="D25" s="44" t="str">
        <f>VLOOKUP(B25,'Ratings&amp;PRS'!$B$4:$C$160,2,FALSE)</f>
        <v>B1</v>
      </c>
      <c r="E25" s="115">
        <f t="shared" si="2"/>
        <v>4.4582827093148182E-2</v>
      </c>
      <c r="F25" s="115">
        <f t="shared" si="0"/>
        <v>7.4595953601276105E-2</v>
      </c>
      <c r="G25" s="115">
        <f t="shared" si="3"/>
        <v>0.13492213760281152</v>
      </c>
      <c r="H25" s="115">
        <f t="shared" si="4"/>
        <v>0.16493526411093945</v>
      </c>
      <c r="I25" s="115" t="str">
        <f>IFERROR(VLOOKUP(B25,CDS!$B$8:$D$97,3,FALSE),"NA")</f>
        <v>NA</v>
      </c>
      <c r="J25" s="115" t="str">
        <f t="shared" si="1"/>
        <v>NA</v>
      </c>
      <c r="K25" s="115" t="str">
        <f t="shared" si="5"/>
        <v>NA</v>
      </c>
      <c r="M25" s="121" t="str">
        <f>[1]RatingSpreads!B25</f>
        <v>CCC</v>
      </c>
      <c r="N25" s="121" t="str">
        <f>[1]RatingSpreads!C25</f>
        <v>Caa2</v>
      </c>
      <c r="O25" s="45">
        <f>[1]RatingSpreads!D25</f>
        <v>891.65654186296365</v>
      </c>
    </row>
    <row r="26" spans="2:15" x14ac:dyDescent="0.25">
      <c r="B26" s="5" t="s">
        <v>48</v>
      </c>
      <c r="C26" s="5" t="str">
        <f>VLOOKUP(B26,RegionLookup!$B$3:$C$184,2,FALSE)</f>
        <v>Caribbean</v>
      </c>
      <c r="D26" s="44" t="str">
        <f>VLOOKUP(B26,'Ratings&amp;PRS'!$B$4:$C$160,2,FALSE)</f>
        <v>A2</v>
      </c>
      <c r="E26" s="115">
        <f t="shared" si="2"/>
        <v>8.3811058765187203E-3</v>
      </c>
      <c r="F26" s="115">
        <f t="shared" si="0"/>
        <v>3.8394232384646641E-2</v>
      </c>
      <c r="G26" s="115">
        <f t="shared" si="3"/>
        <v>2.536395276084186E-2</v>
      </c>
      <c r="H26" s="115">
        <f t="shared" si="4"/>
        <v>5.537707926896978E-2</v>
      </c>
      <c r="I26" s="115" t="str">
        <f>IFERROR(VLOOKUP(B26,CDS!$B$8:$D$97,3,FALSE),"NA")</f>
        <v>NA</v>
      </c>
      <c r="J26" s="115" t="str">
        <f t="shared" si="1"/>
        <v>NA</v>
      </c>
      <c r="K26" s="115" t="str">
        <f t="shared" si="5"/>
        <v>NA</v>
      </c>
      <c r="M26" s="121" t="str">
        <f>[1]RatingSpreads!B26</f>
        <v>CCC-</v>
      </c>
      <c r="N26" s="121" t="str">
        <f>[1]RatingSpreads!C26</f>
        <v>Caa3</v>
      </c>
      <c r="O26" s="45">
        <f>[1]RatingSpreads!D26</f>
        <v>990.60015290519868</v>
      </c>
    </row>
    <row r="27" spans="2:15" x14ac:dyDescent="0.25">
      <c r="B27" s="5" t="s">
        <v>41</v>
      </c>
      <c r="C27" s="5" t="str">
        <f>VLOOKUP(B27,RegionLookup!$B$3:$C$184,2,FALSE)</f>
        <v>Central and South America</v>
      </c>
      <c r="D27" s="44" t="str">
        <f>VLOOKUP(B27,'Ratings&amp;PRS'!$B$4:$C$160,2,FALSE)</f>
        <v>Caa3</v>
      </c>
      <c r="E27" s="115">
        <f t="shared" si="2"/>
        <v>9.9060015290519873E-2</v>
      </c>
      <c r="F27" s="115">
        <f t="shared" si="0"/>
        <v>0.12907314179864779</v>
      </c>
      <c r="G27" s="115">
        <f t="shared" si="3"/>
        <v>0.29978783054828367</v>
      </c>
      <c r="H27" s="115">
        <f t="shared" si="4"/>
        <v>0.3298009570564116</v>
      </c>
      <c r="I27" s="115" t="str">
        <f>IFERROR(VLOOKUP(B27,CDS!$B$8:$D$97,3,FALSE),"NA")</f>
        <v>NA</v>
      </c>
      <c r="J27" s="115" t="str">
        <f t="shared" si="1"/>
        <v>NA</v>
      </c>
      <c r="K27" s="115" t="str">
        <f t="shared" si="5"/>
        <v>NA</v>
      </c>
      <c r="M27" s="121" t="str">
        <f>[1]RatingSpreads!B27</f>
        <v>CC</v>
      </c>
      <c r="N27" s="121" t="str">
        <f>[1]RatingSpreads!C27</f>
        <v>Ca</v>
      </c>
      <c r="O27" s="45">
        <f>[1]RatingSpreads!D27</f>
        <v>1188.4873749896685</v>
      </c>
    </row>
    <row r="28" spans="2:15" x14ac:dyDescent="0.25">
      <c r="B28" s="5" t="s">
        <v>53</v>
      </c>
      <c r="C28" s="5" t="str">
        <f>VLOOKUP(B28,RegionLookup!$B$3:$C$184,2,FALSE)</f>
        <v>Eastern Europe &amp; Russia</v>
      </c>
      <c r="D28" s="44" t="str">
        <f>VLOOKUP(B28,'Ratings&amp;PRS'!$B$4:$C$160,2,FALSE)</f>
        <v>B3</v>
      </c>
      <c r="E28" s="115">
        <f t="shared" si="2"/>
        <v>6.4371549301595152E-2</v>
      </c>
      <c r="F28" s="115">
        <f t="shared" si="0"/>
        <v>9.4384675809723068E-2</v>
      </c>
      <c r="G28" s="115">
        <f t="shared" si="3"/>
        <v>0.19480924828813256</v>
      </c>
      <c r="H28" s="115">
        <f t="shared" si="4"/>
        <v>0.22482237479626049</v>
      </c>
      <c r="I28" s="115" t="str">
        <f>IFERROR(VLOOKUP(B28,CDS!$B$8:$D$97,3,FALSE),"NA")</f>
        <v>NA</v>
      </c>
      <c r="J28" s="115" t="str">
        <f t="shared" si="1"/>
        <v>NA</v>
      </c>
      <c r="K28" s="115" t="str">
        <f t="shared" si="5"/>
        <v>NA</v>
      </c>
      <c r="M28" s="121" t="str">
        <f>[1]RatingSpreads!B28</f>
        <v>C</v>
      </c>
      <c r="N28" s="121" t="str">
        <f>[1]RatingSpreads!C28</f>
        <v>Ca</v>
      </c>
      <c r="O28" s="45">
        <f>[1]RatingSpreads!D28</f>
        <v>1188.4873749896685</v>
      </c>
    </row>
    <row r="29" spans="2:15" x14ac:dyDescent="0.25">
      <c r="B29" s="5" t="s">
        <v>45</v>
      </c>
      <c r="C29" s="5" t="str">
        <f>VLOOKUP(B29,RegionLookup!$B$3:$C$184,2,FALSE)</f>
        <v>Africa</v>
      </c>
      <c r="D29" s="44" t="str">
        <f>VLOOKUP(B29,'Ratings&amp;PRS'!$B$4:$C$160,2,FALSE)</f>
        <v>A3</v>
      </c>
      <c r="E29" s="115">
        <f t="shared" si="2"/>
        <v>1.1873233325068186E-2</v>
      </c>
      <c r="F29" s="115">
        <f t="shared" si="0"/>
        <v>4.1886359833196107E-2</v>
      </c>
      <c r="G29" s="115">
        <f t="shared" si="3"/>
        <v>3.5932266411192633E-2</v>
      </c>
      <c r="H29" s="115">
        <f t="shared" si="4"/>
        <v>6.5945392919320556E-2</v>
      </c>
      <c r="I29" s="115" t="str">
        <f>IFERROR(VLOOKUP(B29,CDS!$B$8:$D$97,3,FALSE),"NA")</f>
        <v>NA</v>
      </c>
      <c r="J29" s="115" t="str">
        <f t="shared" si="1"/>
        <v>NA</v>
      </c>
      <c r="K29" s="115" t="str">
        <f t="shared" si="5"/>
        <v>NA</v>
      </c>
      <c r="M29" s="121" t="str">
        <f>[1]RatingSpreads!B29</f>
        <v>D</v>
      </c>
      <c r="N29" s="121" t="str">
        <f>[1]RatingSpreads!C29</f>
        <v>C</v>
      </c>
      <c r="O29" s="45">
        <f>[1]RatingSpreads!D29</f>
        <v>1750</v>
      </c>
    </row>
    <row r="30" spans="2:15" x14ac:dyDescent="0.25">
      <c r="B30" s="5" t="s">
        <v>49</v>
      </c>
      <c r="C30" s="5" t="str">
        <f>VLOOKUP(B30,RegionLookup!$B$3:$C$184,2,FALSE)</f>
        <v>Central and South America</v>
      </c>
      <c r="D30" s="44" t="str">
        <f>VLOOKUP(B30,'Ratings&amp;PRS'!$B$4:$C$160,2,FALSE)</f>
        <v>Ba1</v>
      </c>
      <c r="E30" s="115">
        <f t="shared" si="2"/>
        <v>2.4794104884701216E-2</v>
      </c>
      <c r="F30" s="115">
        <f t="shared" si="0"/>
        <v>5.4807231392829135E-2</v>
      </c>
      <c r="G30" s="115">
        <f t="shared" si="3"/>
        <v>7.5035026917490505E-2</v>
      </c>
      <c r="H30" s="115">
        <f t="shared" si="4"/>
        <v>0.10504815342561842</v>
      </c>
      <c r="I30" s="115">
        <f>IFERROR(VLOOKUP(B30,CDS!$B$8:$D$97,3,FALSE),"NA")</f>
        <v>2.3799999999999998E-2</v>
      </c>
      <c r="J30" s="115">
        <f t="shared" si="1"/>
        <v>7.2026542153501683E-2</v>
      </c>
      <c r="K30" s="115">
        <f t="shared" si="5"/>
        <v>0.1020396686616296</v>
      </c>
      <c r="M30" s="121" t="str">
        <f>[1]RatingSpreads!B30</f>
        <v>NR</v>
      </c>
      <c r="N30" s="121" t="str">
        <f>[1]RatingSpreads!C30</f>
        <v>NR</v>
      </c>
      <c r="O30" s="45" t="str">
        <f>[1]RatingSpreads!D30</f>
        <v>NA</v>
      </c>
    </row>
    <row r="31" spans="2:15" x14ac:dyDescent="0.25">
      <c r="B31" s="5" t="s">
        <v>60</v>
      </c>
      <c r="C31" s="5" t="str">
        <f>VLOOKUP(B31,RegionLookup!$B$3:$C$184,2,FALSE)</f>
        <v>Eastern Europe &amp; Russia</v>
      </c>
      <c r="D31" s="44" t="str">
        <f>VLOOKUP(B31,'Ratings&amp;PRS'!$B$4:$C$160,2,FALSE)</f>
        <v>Baa1</v>
      </c>
      <c r="E31" s="115">
        <f t="shared" si="2"/>
        <v>1.5830977766757577E-2</v>
      </c>
      <c r="F31" s="115">
        <f t="shared" si="0"/>
        <v>4.58441042748855E-2</v>
      </c>
      <c r="G31" s="115">
        <f t="shared" si="3"/>
        <v>4.7909688548256828E-2</v>
      </c>
      <c r="H31" s="115">
        <f t="shared" si="4"/>
        <v>7.792281505638475E-2</v>
      </c>
      <c r="I31" s="115">
        <f>IFERROR(VLOOKUP(B31,CDS!$B$8:$D$97,3,FALSE),"NA")</f>
        <v>9.4999999999999998E-3</v>
      </c>
      <c r="J31" s="115">
        <f t="shared" si="1"/>
        <v>2.8750090355389328E-2</v>
      </c>
      <c r="K31" s="115">
        <f t="shared" si="5"/>
        <v>5.8763216863517251E-2</v>
      </c>
    </row>
    <row r="32" spans="2:15" x14ac:dyDescent="0.25">
      <c r="B32" s="5" t="s">
        <v>52</v>
      </c>
      <c r="C32" s="5" t="str">
        <f>VLOOKUP(B32,RegionLookup!$B$3:$C$184,2,FALSE)</f>
        <v>Africa</v>
      </c>
      <c r="D32" s="44" t="str">
        <f>VLOOKUP(B32,'Ratings&amp;PRS'!$B$4:$C$160,2,FALSE)</f>
        <v>Caa1</v>
      </c>
      <c r="E32" s="115">
        <f t="shared" si="2"/>
        <v>7.4265910405818647E-2</v>
      </c>
      <c r="F32" s="115">
        <f t="shared" si="0"/>
        <v>0.10427903691394656</v>
      </c>
      <c r="G32" s="115">
        <f t="shared" si="3"/>
        <v>0.22475280363079311</v>
      </c>
      <c r="H32" s="115">
        <f t="shared" si="4"/>
        <v>0.25476593013892102</v>
      </c>
      <c r="I32" s="115" t="str">
        <f>IFERROR(VLOOKUP(B32,CDS!$B$8:$D$97,3,FALSE),"NA")</f>
        <v>NA</v>
      </c>
      <c r="J32" s="115" t="str">
        <f t="shared" si="1"/>
        <v>NA</v>
      </c>
      <c r="K32" s="115" t="str">
        <f t="shared" si="5"/>
        <v>NA</v>
      </c>
    </row>
    <row r="33" spans="2:11" x14ac:dyDescent="0.25">
      <c r="B33" s="5" t="s">
        <v>35</v>
      </c>
      <c r="C33" s="5" t="str">
        <f>VLOOKUP(B33,RegionLookup!$B$3:$C$184,2,FALSE)</f>
        <v>Asia</v>
      </c>
      <c r="D33" s="44" t="str">
        <f>VLOOKUP(B33,'Ratings&amp;PRS'!$B$4:$C$160,2,FALSE)</f>
        <v>B2</v>
      </c>
      <c r="E33" s="115">
        <f t="shared" si="2"/>
        <v>5.4477188197371677E-2</v>
      </c>
      <c r="F33" s="115">
        <f t="shared" si="0"/>
        <v>8.44903147054996E-2</v>
      </c>
      <c r="G33" s="115">
        <f t="shared" si="3"/>
        <v>0.16486569294547207</v>
      </c>
      <c r="H33" s="115">
        <f t="shared" si="4"/>
        <v>0.1948788194536</v>
      </c>
      <c r="I33" s="115" t="str">
        <f>IFERROR(VLOOKUP(B33,CDS!$B$8:$D$97,3,FALSE),"NA")</f>
        <v>NA</v>
      </c>
      <c r="J33" s="115" t="str">
        <f t="shared" si="1"/>
        <v>NA</v>
      </c>
      <c r="K33" s="115" t="str">
        <f t="shared" si="5"/>
        <v>NA</v>
      </c>
    </row>
    <row r="34" spans="2:11" x14ac:dyDescent="0.25">
      <c r="B34" s="5" t="s">
        <v>59</v>
      </c>
      <c r="C34" s="5" t="str">
        <f>VLOOKUP(B34,RegionLookup!$B$3:$C$184,2,FALSE)</f>
        <v>Africa</v>
      </c>
      <c r="D34" s="44" t="str">
        <f>VLOOKUP(B34,'Ratings&amp;PRS'!$B$4:$C$160,2,FALSE)</f>
        <v>Caa1</v>
      </c>
      <c r="E34" s="115">
        <f t="shared" si="2"/>
        <v>7.4265910405818647E-2</v>
      </c>
      <c r="F34" s="115">
        <f t="shared" si="0"/>
        <v>0.10427903691394656</v>
      </c>
      <c r="G34" s="115">
        <f t="shared" si="3"/>
        <v>0.22475280363079311</v>
      </c>
      <c r="H34" s="115">
        <f t="shared" si="4"/>
        <v>0.25476593013892102</v>
      </c>
      <c r="I34" s="115">
        <f>IFERROR(VLOOKUP(B34,CDS!$B$8:$D$97,3,FALSE),"NA")</f>
        <v>7.8600000000000003E-2</v>
      </c>
      <c r="J34" s="115">
        <f t="shared" si="1"/>
        <v>0.23786916862458959</v>
      </c>
      <c r="K34" s="115">
        <f t="shared" si="5"/>
        <v>0.2678822951327175</v>
      </c>
    </row>
    <row r="35" spans="2:11" x14ac:dyDescent="0.25">
      <c r="B35" s="5" t="s">
        <v>22</v>
      </c>
      <c r="C35" s="5" t="str">
        <f>VLOOKUP(B35,RegionLookup!$B$3:$C$184,2,FALSE)</f>
        <v>North America</v>
      </c>
      <c r="D35" s="44" t="str">
        <f>VLOOKUP(B35,'Ratings&amp;PRS'!$B$4:$C$160,2,FALSE)</f>
        <v>Aaa</v>
      </c>
      <c r="E35" s="115">
        <f t="shared" si="2"/>
        <v>0</v>
      </c>
      <c r="F35" s="115">
        <f t="shared" si="0"/>
        <v>3.0013126508127919E-2</v>
      </c>
      <c r="G35" s="115">
        <f t="shared" si="3"/>
        <v>0</v>
      </c>
      <c r="H35" s="115">
        <f t="shared" si="4"/>
        <v>3.0013126508127919E-2</v>
      </c>
      <c r="I35" s="115">
        <f>IFERROR(VLOOKUP(B35,CDS!$B$8:$D$97,3,FALSE),"NA")</f>
        <v>2E-3</v>
      </c>
      <c r="J35" s="115">
        <f t="shared" si="1"/>
        <v>6.0526506011345958E-3</v>
      </c>
      <c r="K35" s="115">
        <f t="shared" si="5"/>
        <v>3.6065777109262516E-2</v>
      </c>
    </row>
    <row r="36" spans="2:11" x14ac:dyDescent="0.25">
      <c r="B36" s="5" t="s">
        <v>66</v>
      </c>
      <c r="C36" s="5" t="str">
        <f>VLOOKUP(B36,RegionLookup!$B$3:$C$184,2,FALSE)</f>
        <v>Africa</v>
      </c>
      <c r="D36" s="44" t="str">
        <f>VLOOKUP(B36,'Ratings&amp;PRS'!$B$4:$C$160,2,FALSE)</f>
        <v>B2</v>
      </c>
      <c r="E36" s="115">
        <f t="shared" si="2"/>
        <v>5.4477188197371677E-2</v>
      </c>
      <c r="F36" s="115">
        <f t="shared" si="0"/>
        <v>8.44903147054996E-2</v>
      </c>
      <c r="G36" s="115">
        <f t="shared" si="3"/>
        <v>0.16486569294547207</v>
      </c>
      <c r="H36" s="115">
        <f t="shared" si="4"/>
        <v>0.1948788194536</v>
      </c>
      <c r="I36" s="115" t="str">
        <f>IFERROR(VLOOKUP(B36,CDS!$B$8:$D$97,3,FALSE),"NA")</f>
        <v>NA</v>
      </c>
      <c r="J36" s="115" t="str">
        <f t="shared" si="1"/>
        <v>NA</v>
      </c>
      <c r="K36" s="115" t="str">
        <f t="shared" si="5"/>
        <v>NA</v>
      </c>
    </row>
    <row r="37" spans="2:11" x14ac:dyDescent="0.25">
      <c r="B37" s="5" t="s">
        <v>55</v>
      </c>
      <c r="C37" s="5" t="str">
        <f>VLOOKUP(B37,RegionLookup!$B$3:$C$184,2,FALSE)</f>
        <v>Caribbean</v>
      </c>
      <c r="D37" s="44" t="str">
        <f>VLOOKUP(B37,'Ratings&amp;PRS'!$B$4:$C$160,2,FALSE)</f>
        <v>Aa3</v>
      </c>
      <c r="E37" s="115">
        <f t="shared" si="2"/>
        <v>5.9366166625340932E-3</v>
      </c>
      <c r="F37" s="115">
        <f t="shared" si="0"/>
        <v>3.5949743170662012E-2</v>
      </c>
      <c r="G37" s="115">
        <f t="shared" si="3"/>
        <v>1.7966133205596316E-2</v>
      </c>
      <c r="H37" s="115">
        <f t="shared" si="4"/>
        <v>4.7979259713724236E-2</v>
      </c>
      <c r="I37" s="115" t="str">
        <f>IFERROR(VLOOKUP(B37,CDS!$B$8:$D$97,3,FALSE),"NA")</f>
        <v>NA</v>
      </c>
      <c r="J37" s="115" t="str">
        <f t="shared" si="1"/>
        <v>NA</v>
      </c>
      <c r="K37" s="115" t="str">
        <f t="shared" si="5"/>
        <v>NA</v>
      </c>
    </row>
    <row r="38" spans="2:11" x14ac:dyDescent="0.25">
      <c r="B38" s="5" t="s">
        <v>56</v>
      </c>
      <c r="C38" s="5" t="str">
        <f>VLOOKUP(B38,RegionLookup!$B$3:$C$184,2,FALSE)</f>
        <v>Central and South America</v>
      </c>
      <c r="D38" s="44" t="str">
        <f>VLOOKUP(B38,'Ratings&amp;PRS'!$B$4:$C$160,2,FALSE)</f>
        <v>A2</v>
      </c>
      <c r="E38" s="115">
        <f t="shared" si="2"/>
        <v>8.3811058765187203E-3</v>
      </c>
      <c r="F38" s="115">
        <f t="shared" si="0"/>
        <v>3.8394232384646641E-2</v>
      </c>
      <c r="G38" s="115">
        <f t="shared" si="3"/>
        <v>2.536395276084186E-2</v>
      </c>
      <c r="H38" s="115">
        <f t="shared" si="4"/>
        <v>5.537707926896978E-2</v>
      </c>
      <c r="I38" s="115">
        <f>IFERROR(VLOOKUP(B38,CDS!$B$8:$D$97,3,FALSE),"NA")</f>
        <v>8.6999999999999994E-3</v>
      </c>
      <c r="J38" s="115">
        <f t="shared" si="1"/>
        <v>2.6329030114935488E-2</v>
      </c>
      <c r="K38" s="115">
        <f t="shared" si="5"/>
        <v>5.6342156623063411E-2</v>
      </c>
    </row>
    <row r="39" spans="2:11" x14ac:dyDescent="0.25">
      <c r="B39" s="5" t="s">
        <v>43</v>
      </c>
      <c r="C39" s="5" t="str">
        <f>VLOOKUP(B39,RegionLookup!$B$3:$C$184,2,FALSE)</f>
        <v>Asia</v>
      </c>
      <c r="D39" s="44" t="str">
        <f>VLOOKUP(B39,'Ratings&amp;PRS'!$B$4:$C$160,2,FALSE)</f>
        <v>A1</v>
      </c>
      <c r="E39" s="115">
        <f t="shared" si="2"/>
        <v>6.9842548970989338E-3</v>
      </c>
      <c r="F39" s="115">
        <f t="shared" si="0"/>
        <v>3.6997381405226855E-2</v>
      </c>
      <c r="G39" s="115">
        <f t="shared" si="3"/>
        <v>2.1136627300701552E-2</v>
      </c>
      <c r="H39" s="115">
        <f t="shared" si="4"/>
        <v>5.1149753808829468E-2</v>
      </c>
      <c r="I39" s="115">
        <f>IFERROR(VLOOKUP(B39,CDS!$B$8:$D$97,3,FALSE),"NA")</f>
        <v>5.7999999999999996E-3</v>
      </c>
      <c r="J39" s="115">
        <f t="shared" si="1"/>
        <v>1.7552686743290326E-2</v>
      </c>
      <c r="K39" s="115">
        <f t="shared" si="5"/>
        <v>4.7565813251418246E-2</v>
      </c>
    </row>
    <row r="40" spans="2:11" x14ac:dyDescent="0.25">
      <c r="B40" s="5" t="s">
        <v>63</v>
      </c>
      <c r="C40" s="5" t="str">
        <f>VLOOKUP(B40,RegionLookup!$B$3:$C$184,2,FALSE)</f>
        <v>Central and South America</v>
      </c>
      <c r="D40" s="44" t="str">
        <f>VLOOKUP(B40,'Ratings&amp;PRS'!$B$4:$C$160,2,FALSE)</f>
        <v>Baa2</v>
      </c>
      <c r="E40" s="115">
        <f t="shared" si="2"/>
        <v>1.885748822216712E-2</v>
      </c>
      <c r="F40" s="115">
        <f t="shared" si="0"/>
        <v>4.8870614730295039E-2</v>
      </c>
      <c r="G40" s="115">
        <f t="shared" si="3"/>
        <v>5.7068893711894185E-2</v>
      </c>
      <c r="H40" s="115">
        <f t="shared" si="4"/>
        <v>8.7082020220022108E-2</v>
      </c>
      <c r="I40" s="115">
        <f>IFERROR(VLOOKUP(B40,CDS!$B$8:$D$97,3,FALSE),"NA")</f>
        <v>3.3099999999999997E-2</v>
      </c>
      <c r="J40" s="115">
        <f t="shared" si="1"/>
        <v>0.10017136744877754</v>
      </c>
      <c r="K40" s="115">
        <f t="shared" si="5"/>
        <v>0.13018449395690546</v>
      </c>
    </row>
    <row r="41" spans="2:11" x14ac:dyDescent="0.25">
      <c r="B41" s="5" t="s">
        <v>73</v>
      </c>
      <c r="C41" s="5" t="str">
        <f>VLOOKUP(B41,RegionLookup!$B$3:$C$184,2,FALSE)</f>
        <v>Africa</v>
      </c>
      <c r="D41" s="44" t="str">
        <f>VLOOKUP(B41,'Ratings&amp;PRS'!$B$4:$C$160,2,FALSE)</f>
        <v>B3</v>
      </c>
      <c r="E41" s="115">
        <f t="shared" si="2"/>
        <v>6.4371549301595152E-2</v>
      </c>
      <c r="F41" s="115">
        <f t="shared" si="0"/>
        <v>9.4384675809723068E-2</v>
      </c>
      <c r="G41" s="115">
        <f t="shared" si="3"/>
        <v>0.19480924828813256</v>
      </c>
      <c r="H41" s="115">
        <f t="shared" si="4"/>
        <v>0.22482237479626049</v>
      </c>
      <c r="I41" s="115" t="str">
        <f>IFERROR(VLOOKUP(B41,CDS!$B$8:$D$97,3,FALSE),"NA")</f>
        <v>NA</v>
      </c>
      <c r="J41" s="115" t="str">
        <f t="shared" si="1"/>
        <v>NA</v>
      </c>
      <c r="K41" s="115" t="str">
        <f t="shared" si="5"/>
        <v>NA</v>
      </c>
    </row>
    <row r="42" spans="2:11" x14ac:dyDescent="0.25">
      <c r="B42" s="5" t="s">
        <v>80</v>
      </c>
      <c r="C42" s="5" t="str">
        <f>VLOOKUP(B42,RegionLookup!$B$3:$C$184,2,FALSE)</f>
        <v>Africa</v>
      </c>
      <c r="D42" s="44" t="str">
        <f>VLOOKUP(B42,'Ratings&amp;PRS'!$B$4:$C$160,2,FALSE)</f>
        <v>Caa2</v>
      </c>
      <c r="E42" s="115">
        <f t="shared" si="2"/>
        <v>8.9165654186296364E-2</v>
      </c>
      <c r="F42" s="115">
        <f t="shared" si="0"/>
        <v>0.11917878069442428</v>
      </c>
      <c r="G42" s="115">
        <f t="shared" si="3"/>
        <v>0.26984427520562304</v>
      </c>
      <c r="H42" s="115">
        <f t="shared" si="4"/>
        <v>0.29985740171375097</v>
      </c>
      <c r="I42" s="115" t="str">
        <f>IFERROR(VLOOKUP(B42,CDS!$B$8:$D$97,3,FALSE),"NA")</f>
        <v>NA</v>
      </c>
      <c r="J42" s="115" t="str">
        <f t="shared" si="1"/>
        <v>NA</v>
      </c>
      <c r="K42" s="115" t="str">
        <f t="shared" si="5"/>
        <v>NA</v>
      </c>
    </row>
    <row r="43" spans="2:11" x14ac:dyDescent="0.25">
      <c r="B43" s="5" t="s">
        <v>34</v>
      </c>
      <c r="C43" s="5" t="str">
        <f>VLOOKUP(B43,RegionLookup!$B$3:$C$184,2,FALSE)</f>
        <v>Australia &amp; New Zealand</v>
      </c>
      <c r="D43" s="44" t="str">
        <f>VLOOKUP(B43,'Ratings&amp;PRS'!$B$4:$C$160,2,FALSE)</f>
        <v>B1</v>
      </c>
      <c r="E43" s="115">
        <f t="shared" si="2"/>
        <v>4.4582827093148182E-2</v>
      </c>
      <c r="F43" s="115">
        <f t="shared" si="0"/>
        <v>7.4595953601276105E-2</v>
      </c>
      <c r="G43" s="115">
        <f t="shared" si="3"/>
        <v>0.13492213760281152</v>
      </c>
      <c r="H43" s="115">
        <f t="shared" si="4"/>
        <v>0.16493526411093945</v>
      </c>
      <c r="I43" s="115" t="str">
        <f>IFERROR(VLOOKUP(B43,CDS!$B$8:$D$97,3,FALSE),"NA")</f>
        <v>NA</v>
      </c>
      <c r="J43" s="115" t="str">
        <f t="shared" si="1"/>
        <v>NA</v>
      </c>
      <c r="K43" s="115" t="str">
        <f t="shared" si="5"/>
        <v>NA</v>
      </c>
    </row>
    <row r="44" spans="2:11" x14ac:dyDescent="0.25">
      <c r="B44" s="5" t="s">
        <v>70</v>
      </c>
      <c r="C44" s="5" t="str">
        <f>VLOOKUP(B44,RegionLookup!$B$3:$C$184,2,FALSE)</f>
        <v>Central and South America</v>
      </c>
      <c r="D44" s="44" t="str">
        <f>VLOOKUP(B44,'Ratings&amp;PRS'!$B$4:$C$160,2,FALSE)</f>
        <v>Ba3</v>
      </c>
      <c r="E44" s="115">
        <f t="shared" si="2"/>
        <v>3.5619699975204554E-2</v>
      </c>
      <c r="F44" s="115">
        <f t="shared" si="0"/>
        <v>6.5632826483332476E-2</v>
      </c>
      <c r="G44" s="115">
        <f t="shared" si="3"/>
        <v>0.10779679923357789</v>
      </c>
      <c r="H44" s="115">
        <f t="shared" si="4"/>
        <v>0.13780992574170581</v>
      </c>
      <c r="I44" s="115">
        <f>IFERROR(VLOOKUP(B44,CDS!$B$8:$D$97,3,FALSE),"NA")</f>
        <v>2.3300000000000001E-2</v>
      </c>
      <c r="J44" s="115">
        <f t="shared" si="1"/>
        <v>7.0513379503218038E-2</v>
      </c>
      <c r="K44" s="115">
        <f t="shared" si="5"/>
        <v>0.10052650601134595</v>
      </c>
    </row>
    <row r="45" spans="2:11" x14ac:dyDescent="0.25">
      <c r="B45" s="5" t="s">
        <v>87</v>
      </c>
      <c r="C45" s="5" t="str">
        <f>VLOOKUP(B45,RegionLookup!$B$3:$C$184,2,FALSE)</f>
        <v>Africa</v>
      </c>
      <c r="D45" s="44" t="str">
        <f>VLOOKUP(B45,'Ratings&amp;PRS'!$B$4:$C$160,2,FALSE)</f>
        <v>Ba2</v>
      </c>
      <c r="E45" s="115">
        <f t="shared" si="2"/>
        <v>2.9799487560955448E-2</v>
      </c>
      <c r="F45" s="115">
        <f t="shared" si="0"/>
        <v>5.9812614069083364E-2</v>
      </c>
      <c r="G45" s="115">
        <f t="shared" si="3"/>
        <v>9.0182943149659939E-2</v>
      </c>
      <c r="H45" s="115">
        <f t="shared" si="4"/>
        <v>0.12019606965778785</v>
      </c>
      <c r="I45" s="115" t="str">
        <f>IFERROR(VLOOKUP(B45,CDS!$B$8:$D$97,3,FALSE),"NA")</f>
        <v>NA</v>
      </c>
      <c r="J45" s="115" t="str">
        <f t="shared" si="1"/>
        <v>NA</v>
      </c>
      <c r="K45" s="115" t="str">
        <f t="shared" si="5"/>
        <v>NA</v>
      </c>
    </row>
    <row r="46" spans="2:11" x14ac:dyDescent="0.25">
      <c r="B46" s="5" t="s">
        <v>67</v>
      </c>
      <c r="C46" s="5" t="str">
        <f>VLOOKUP(B46,RegionLookup!$B$3:$C$184,2,FALSE)</f>
        <v>Eastern Europe &amp; Russia</v>
      </c>
      <c r="D46" s="44" t="str">
        <f>VLOOKUP(B46,'Ratings&amp;PRS'!$B$4:$C$160,2,FALSE)</f>
        <v>A3</v>
      </c>
      <c r="E46" s="115">
        <f t="shared" si="2"/>
        <v>1.1873233325068186E-2</v>
      </c>
      <c r="F46" s="115">
        <f t="shared" si="0"/>
        <v>4.1886359833196107E-2</v>
      </c>
      <c r="G46" s="115">
        <f t="shared" si="3"/>
        <v>3.5932266411192633E-2</v>
      </c>
      <c r="H46" s="115">
        <f t="shared" si="4"/>
        <v>6.5945392919320556E-2</v>
      </c>
      <c r="I46" s="115">
        <f>IFERROR(VLOOKUP(B46,CDS!$B$8:$D$97,3,FALSE),"NA")</f>
        <v>1.0699999999999999E-2</v>
      </c>
      <c r="J46" s="115">
        <f t="shared" si="1"/>
        <v>3.2381680716070081E-2</v>
      </c>
      <c r="K46" s="115">
        <f t="shared" si="5"/>
        <v>6.2394807224198004E-2</v>
      </c>
    </row>
    <row r="47" spans="2:11" x14ac:dyDescent="0.25">
      <c r="B47" s="5" t="s">
        <v>62</v>
      </c>
      <c r="C47" s="5" t="str">
        <f>VLOOKUP(B47,RegionLookup!$B$3:$C$184,2,FALSE)</f>
        <v>Caribbean</v>
      </c>
      <c r="D47" s="44" t="str">
        <f>VLOOKUP(B47,'Ratings&amp;PRS'!$B$4:$C$160,2,FALSE)</f>
        <v>Ca</v>
      </c>
      <c r="E47" s="115">
        <f t="shared" si="2"/>
        <v>0.11884873749896685</v>
      </c>
      <c r="F47" s="115">
        <f t="shared" si="0"/>
        <v>0.14886186400709478</v>
      </c>
      <c r="G47" s="115">
        <f t="shared" si="3"/>
        <v>0.35967494123360472</v>
      </c>
      <c r="H47" s="115">
        <f t="shared" si="4"/>
        <v>0.38968806774173265</v>
      </c>
      <c r="I47" s="115" t="str">
        <f>IFERROR(VLOOKUP(B47,CDS!$B$8:$D$97,3,FALSE),"NA")</f>
        <v>NA</v>
      </c>
      <c r="J47" s="115" t="str">
        <f t="shared" si="1"/>
        <v>NA</v>
      </c>
      <c r="K47" s="115" t="str">
        <f t="shared" si="5"/>
        <v>NA</v>
      </c>
    </row>
    <row r="48" spans="2:11" x14ac:dyDescent="0.25">
      <c r="B48" s="5" t="s">
        <v>69</v>
      </c>
      <c r="C48" s="5" t="str">
        <f>VLOOKUP(B48,RegionLookup!$B$3:$C$184,2,FALSE)</f>
        <v>Caribbean</v>
      </c>
      <c r="D48" s="44" t="str">
        <f>VLOOKUP(B48,'Ratings&amp;PRS'!$B$4:$C$160,2,FALSE)</f>
        <v>Baa3</v>
      </c>
      <c r="E48" s="115">
        <f t="shared" si="2"/>
        <v>2.1767594429291676E-2</v>
      </c>
      <c r="F48" s="115">
        <f t="shared" si="0"/>
        <v>5.1780720937419596E-2</v>
      </c>
      <c r="G48" s="115">
        <f t="shared" si="3"/>
        <v>6.5875821753853162E-2</v>
      </c>
      <c r="H48" s="115">
        <f t="shared" si="4"/>
        <v>9.5888948261981077E-2</v>
      </c>
      <c r="I48" s="115" t="str">
        <f>IFERROR(VLOOKUP(B48,CDS!$B$8:$D$97,3,FALSE),"NA")</f>
        <v>NA</v>
      </c>
      <c r="J48" s="115" t="str">
        <f t="shared" si="1"/>
        <v>NA</v>
      </c>
      <c r="K48" s="115" t="str">
        <f t="shared" si="5"/>
        <v>NA</v>
      </c>
    </row>
    <row r="49" spans="2:11" x14ac:dyDescent="0.25">
      <c r="B49" s="5" t="s">
        <v>47</v>
      </c>
      <c r="C49" s="5" t="str">
        <f>VLOOKUP(B49,RegionLookup!$B$3:$C$184,2,FALSE)</f>
        <v>Western Europe</v>
      </c>
      <c r="D49" s="44" t="str">
        <f>VLOOKUP(B49,'Ratings&amp;PRS'!$B$4:$C$160,2,FALSE)</f>
        <v>A3</v>
      </c>
      <c r="E49" s="115">
        <f t="shared" si="2"/>
        <v>1.1873233325068186E-2</v>
      </c>
      <c r="F49" s="115">
        <f t="shared" si="0"/>
        <v>4.1886359833196107E-2</v>
      </c>
      <c r="G49" s="115">
        <f t="shared" si="3"/>
        <v>3.5932266411192633E-2</v>
      </c>
      <c r="H49" s="115">
        <f t="shared" si="4"/>
        <v>6.5945392919320556E-2</v>
      </c>
      <c r="I49" s="115">
        <f>IFERROR(VLOOKUP(B49,CDS!$B$8:$D$97,3,FALSE),"NA")</f>
        <v>6.5000000000000006E-3</v>
      </c>
      <c r="J49" s="115">
        <f t="shared" si="1"/>
        <v>1.9671114453687435E-2</v>
      </c>
      <c r="K49" s="115">
        <f t="shared" si="5"/>
        <v>4.9684240961815354E-2</v>
      </c>
    </row>
    <row r="50" spans="2:11" x14ac:dyDescent="0.25">
      <c r="B50" s="5" t="s">
        <v>74</v>
      </c>
      <c r="C50" s="5" t="str">
        <f>VLOOKUP(B50,RegionLookup!$B$3:$C$184,2,FALSE)</f>
        <v>Eastern Europe &amp; Russia</v>
      </c>
      <c r="D50" s="44" t="str">
        <f>VLOOKUP(B50,'Ratings&amp;PRS'!$B$4:$C$160,2,FALSE)</f>
        <v>Aa3</v>
      </c>
      <c r="E50" s="115">
        <f t="shared" si="2"/>
        <v>5.9366166625340932E-3</v>
      </c>
      <c r="F50" s="115">
        <f t="shared" si="0"/>
        <v>3.5949743170662012E-2</v>
      </c>
      <c r="G50" s="115">
        <f t="shared" si="3"/>
        <v>1.7966133205596316E-2</v>
      </c>
      <c r="H50" s="115">
        <f t="shared" si="4"/>
        <v>4.7979259713724236E-2</v>
      </c>
      <c r="I50" s="115">
        <f>IFERROR(VLOOKUP(B50,CDS!$B$8:$D$97,3,FALSE),"NA")</f>
        <v>3.7000000000000002E-3</v>
      </c>
      <c r="J50" s="115">
        <f t="shared" si="1"/>
        <v>1.1197403612099002E-2</v>
      </c>
      <c r="K50" s="115">
        <f t="shared" si="5"/>
        <v>4.1210530120226921E-2</v>
      </c>
    </row>
    <row r="51" spans="2:11" x14ac:dyDescent="0.25">
      <c r="B51" s="5" t="s">
        <v>54</v>
      </c>
      <c r="C51" s="5" t="str">
        <f>VLOOKUP(B51,RegionLookup!$B$3:$C$184,2,FALSE)</f>
        <v>Western Europe</v>
      </c>
      <c r="D51" s="44" t="str">
        <f>VLOOKUP(B51,'Ratings&amp;PRS'!$B$4:$C$160,2,FALSE)</f>
        <v>Aaa</v>
      </c>
      <c r="E51" s="115">
        <f t="shared" si="2"/>
        <v>0</v>
      </c>
      <c r="F51" s="115">
        <f t="shared" si="0"/>
        <v>3.0013126508127919E-2</v>
      </c>
      <c r="G51" s="115">
        <f t="shared" si="3"/>
        <v>0</v>
      </c>
      <c r="H51" s="115">
        <f t="shared" si="4"/>
        <v>3.0013126508127919E-2</v>
      </c>
      <c r="I51" s="115">
        <f>IFERROR(VLOOKUP(B51,CDS!$B$8:$D$97,3,FALSE),"NA")</f>
        <v>3.9999999999999996E-4</v>
      </c>
      <c r="J51" s="115">
        <f t="shared" si="1"/>
        <v>1.2105301202269189E-3</v>
      </c>
      <c r="K51" s="115">
        <f t="shared" si="5"/>
        <v>3.1223656628354839E-2</v>
      </c>
    </row>
    <row r="52" spans="2:11" x14ac:dyDescent="0.25">
      <c r="B52" s="5" t="s">
        <v>76</v>
      </c>
      <c r="C52" s="5" t="str">
        <f>VLOOKUP(B52,RegionLookup!$B$3:$C$184,2,FALSE)</f>
        <v>Caribbean</v>
      </c>
      <c r="D52" s="44" t="str">
        <f>VLOOKUP(B52,'Ratings&amp;PRS'!$B$4:$C$160,2,FALSE)</f>
        <v>Ba3</v>
      </c>
      <c r="E52" s="115">
        <f t="shared" si="2"/>
        <v>3.5619699975204554E-2</v>
      </c>
      <c r="F52" s="115">
        <f t="shared" si="0"/>
        <v>6.5632826483332476E-2</v>
      </c>
      <c r="G52" s="115">
        <f t="shared" si="3"/>
        <v>0.10779679923357789</v>
      </c>
      <c r="H52" s="115">
        <f t="shared" si="4"/>
        <v>0.13780992574170581</v>
      </c>
      <c r="I52" s="115" t="str">
        <f>IFERROR(VLOOKUP(B52,CDS!$B$8:$D$97,3,FALSE),"NA")</f>
        <v>NA</v>
      </c>
      <c r="J52" s="115" t="str">
        <f t="shared" si="1"/>
        <v>NA</v>
      </c>
      <c r="K52" s="115" t="str">
        <f t="shared" si="5"/>
        <v>NA</v>
      </c>
    </row>
    <row r="53" spans="2:11" x14ac:dyDescent="0.25">
      <c r="B53" s="5" t="s">
        <v>77</v>
      </c>
      <c r="C53" s="5" t="str">
        <f>VLOOKUP(B53,RegionLookup!$B$3:$C$184,2,FALSE)</f>
        <v>Central and South America</v>
      </c>
      <c r="D53" s="44" t="str">
        <f>VLOOKUP(B53,'Ratings&amp;PRS'!$B$4:$C$160,2,FALSE)</f>
        <v>Caa3</v>
      </c>
      <c r="E53" s="115">
        <f t="shared" si="2"/>
        <v>9.9060015290519873E-2</v>
      </c>
      <c r="F53" s="115">
        <f t="shared" si="0"/>
        <v>0.12907314179864779</v>
      </c>
      <c r="G53" s="115">
        <f t="shared" si="3"/>
        <v>0.29978783054828367</v>
      </c>
      <c r="H53" s="115">
        <f t="shared" si="4"/>
        <v>0.3298009570564116</v>
      </c>
      <c r="I53" s="115">
        <f>IFERROR(VLOOKUP(B53,CDS!$B$8:$D$97,3,FALSE),"NA")</f>
        <v>0.12250000000000001</v>
      </c>
      <c r="J53" s="115">
        <f t="shared" si="1"/>
        <v>0.37072484931949401</v>
      </c>
      <c r="K53" s="115">
        <f t="shared" si="5"/>
        <v>0.40073797582762194</v>
      </c>
    </row>
    <row r="54" spans="2:11" x14ac:dyDescent="0.25">
      <c r="B54" s="5" t="s">
        <v>101</v>
      </c>
      <c r="C54" s="5" t="str">
        <f>VLOOKUP(B54,RegionLookup!$B$3:$C$184,2,FALSE)</f>
        <v>Africa</v>
      </c>
      <c r="D54" s="44" t="str">
        <f>VLOOKUP(B54,'Ratings&amp;PRS'!$B$4:$C$160,2,FALSE)</f>
        <v>Caa1</v>
      </c>
      <c r="E54" s="115">
        <f t="shared" si="2"/>
        <v>7.4265910405818647E-2</v>
      </c>
      <c r="F54" s="115">
        <f t="shared" si="0"/>
        <v>0.10427903691394656</v>
      </c>
      <c r="G54" s="115">
        <f t="shared" si="3"/>
        <v>0.22475280363079311</v>
      </c>
      <c r="H54" s="115">
        <f t="shared" si="4"/>
        <v>0.25476593013892102</v>
      </c>
      <c r="I54" s="115">
        <f>IFERROR(VLOOKUP(B54,CDS!$B$8:$D$97,3,FALSE),"NA")</f>
        <v>6.4400000000000013E-2</v>
      </c>
      <c r="J54" s="115">
        <f t="shared" si="1"/>
        <v>0.19489534935653402</v>
      </c>
      <c r="K54" s="115">
        <f t="shared" si="5"/>
        <v>0.22490847586466195</v>
      </c>
    </row>
    <row r="55" spans="2:11" x14ac:dyDescent="0.25">
      <c r="B55" s="5" t="s">
        <v>84</v>
      </c>
      <c r="C55" s="5" t="str">
        <f>VLOOKUP(B55,RegionLookup!$B$3:$C$184,2,FALSE)</f>
        <v>Central and South America</v>
      </c>
      <c r="D55" s="44" t="str">
        <f>VLOOKUP(B55,'Ratings&amp;PRS'!$B$4:$C$160,2,FALSE)</f>
        <v>B3</v>
      </c>
      <c r="E55" s="115">
        <f t="shared" si="2"/>
        <v>6.4371549301595152E-2</v>
      </c>
      <c r="F55" s="115">
        <f t="shared" si="0"/>
        <v>9.4384675809723068E-2</v>
      </c>
      <c r="G55" s="115">
        <f t="shared" si="3"/>
        <v>0.19480924828813256</v>
      </c>
      <c r="H55" s="115">
        <f t="shared" si="4"/>
        <v>0.22482237479626049</v>
      </c>
      <c r="I55" s="115">
        <f>IFERROR(VLOOKUP(B55,CDS!$B$8:$D$97,3,FALSE),"NA")</f>
        <v>4.2999999999999997E-2</v>
      </c>
      <c r="J55" s="115">
        <f t="shared" si="1"/>
        <v>0.13013198792439379</v>
      </c>
      <c r="K55" s="115">
        <f t="shared" si="5"/>
        <v>0.16014511443252172</v>
      </c>
    </row>
    <row r="56" spans="2:11" x14ac:dyDescent="0.25">
      <c r="B56" s="5" t="s">
        <v>81</v>
      </c>
      <c r="C56" s="5" t="str">
        <f>VLOOKUP(B56,RegionLookup!$B$3:$C$184,2,FALSE)</f>
        <v>Eastern Europe &amp; Russia</v>
      </c>
      <c r="D56" s="44" t="str">
        <f>VLOOKUP(B56,'Ratings&amp;PRS'!$B$4:$C$160,2,FALSE)</f>
        <v>A1</v>
      </c>
      <c r="E56" s="115">
        <f t="shared" si="2"/>
        <v>6.9842548970989338E-3</v>
      </c>
      <c r="F56" s="115">
        <f t="shared" si="0"/>
        <v>3.6997381405226855E-2</v>
      </c>
      <c r="G56" s="115">
        <f t="shared" si="3"/>
        <v>2.1136627300701552E-2</v>
      </c>
      <c r="H56" s="115">
        <f t="shared" si="4"/>
        <v>5.1149753808829468E-2</v>
      </c>
      <c r="I56" s="115">
        <f>IFERROR(VLOOKUP(B56,CDS!$B$8:$D$97,3,FALSE),"NA")</f>
        <v>7.5999999999999991E-3</v>
      </c>
      <c r="J56" s="115">
        <f t="shared" si="1"/>
        <v>2.300007228431146E-2</v>
      </c>
      <c r="K56" s="115">
        <f t="shared" si="5"/>
        <v>5.3013198792439375E-2</v>
      </c>
    </row>
    <row r="57" spans="2:11" x14ac:dyDescent="0.25">
      <c r="B57" s="5" t="s">
        <v>108</v>
      </c>
      <c r="C57" s="5" t="str">
        <f>VLOOKUP(B57,RegionLookup!$B$3:$C$184,2,FALSE)</f>
        <v>Africa</v>
      </c>
      <c r="D57" s="44" t="str">
        <f>VLOOKUP(B57,'Ratings&amp;PRS'!$B$4:$C$160,2,FALSE)</f>
        <v>Caa2</v>
      </c>
      <c r="E57" s="115">
        <f t="shared" si="2"/>
        <v>8.9165654186296364E-2</v>
      </c>
      <c r="F57" s="115">
        <f t="shared" si="0"/>
        <v>0.11917878069442428</v>
      </c>
      <c r="G57" s="115">
        <f t="shared" si="3"/>
        <v>0.26984427520562304</v>
      </c>
      <c r="H57" s="115">
        <f t="shared" si="4"/>
        <v>0.29985740171375097</v>
      </c>
      <c r="I57" s="115" t="str">
        <f>IFERROR(VLOOKUP(B57,CDS!$B$8:$D$97,3,FALSE),"NA")</f>
        <v>NA</v>
      </c>
      <c r="J57" s="115" t="str">
        <f t="shared" si="1"/>
        <v>NA</v>
      </c>
      <c r="K57" s="115" t="str">
        <f t="shared" si="5"/>
        <v>NA</v>
      </c>
    </row>
    <row r="58" spans="2:11" x14ac:dyDescent="0.25">
      <c r="B58" s="5" t="s">
        <v>50</v>
      </c>
      <c r="C58" s="5" t="str">
        <f>VLOOKUP(B58,RegionLookup!$B$3:$C$184,2,FALSE)</f>
        <v>Asia</v>
      </c>
      <c r="D58" s="44" t="str">
        <f>VLOOKUP(B58,'Ratings&amp;PRS'!$B$4:$C$160,2,FALSE)</f>
        <v>B1</v>
      </c>
      <c r="E58" s="115">
        <f t="shared" si="2"/>
        <v>4.4582827093148182E-2</v>
      </c>
      <c r="F58" s="115">
        <f t="shared" si="0"/>
        <v>7.4595953601276105E-2</v>
      </c>
      <c r="G58" s="115">
        <f t="shared" si="3"/>
        <v>0.13492213760281152</v>
      </c>
      <c r="H58" s="115">
        <f t="shared" si="4"/>
        <v>0.16493526411093945</v>
      </c>
      <c r="I58" s="115" t="str">
        <f>IFERROR(VLOOKUP(B58,CDS!$B$8:$D$97,3,FALSE),"NA")</f>
        <v>NA</v>
      </c>
      <c r="J58" s="115" t="str">
        <f t="shared" si="1"/>
        <v>NA</v>
      </c>
      <c r="K58" s="115" t="str">
        <f t="shared" si="5"/>
        <v>NA</v>
      </c>
    </row>
    <row r="59" spans="2:11" x14ac:dyDescent="0.25">
      <c r="B59" s="5" t="s">
        <v>61</v>
      </c>
      <c r="C59" s="5" t="str">
        <f>VLOOKUP(B59,RegionLookup!$B$3:$C$184,2,FALSE)</f>
        <v>Western Europe</v>
      </c>
      <c r="D59" s="44" t="str">
        <f>VLOOKUP(B59,'Ratings&amp;PRS'!$B$4:$C$160,2,FALSE)</f>
        <v>Aa1</v>
      </c>
      <c r="E59" s="115">
        <f t="shared" si="2"/>
        <v>3.9577444416893943E-3</v>
      </c>
      <c r="F59" s="115">
        <f t="shared" si="0"/>
        <v>3.3970870949817315E-2</v>
      </c>
      <c r="G59" s="115">
        <f t="shared" si="3"/>
        <v>1.1977422137064207E-2</v>
      </c>
      <c r="H59" s="115">
        <f t="shared" si="4"/>
        <v>4.1990548645192124E-2</v>
      </c>
      <c r="I59" s="115">
        <f>IFERROR(VLOOKUP(B59,CDS!$B$8:$D$97,3,FALSE),"NA")</f>
        <v>1.5000000000000002E-3</v>
      </c>
      <c r="J59" s="115">
        <f t="shared" si="1"/>
        <v>4.5394879508509475E-3</v>
      </c>
      <c r="K59" s="115">
        <f t="shared" si="5"/>
        <v>3.4552614458978864E-2</v>
      </c>
    </row>
    <row r="60" spans="2:11" x14ac:dyDescent="0.25">
      <c r="B60" s="5" t="s">
        <v>68</v>
      </c>
      <c r="C60" s="5" t="str">
        <f>VLOOKUP(B60,RegionLookup!$B$3:$C$184,2,FALSE)</f>
        <v>Western Europe</v>
      </c>
      <c r="D60" s="44" t="str">
        <f>VLOOKUP(B60,'Ratings&amp;PRS'!$B$4:$C$160,2,FALSE)</f>
        <v>Aa3</v>
      </c>
      <c r="E60" s="115">
        <f t="shared" si="2"/>
        <v>5.9366166625340932E-3</v>
      </c>
      <c r="F60" s="115">
        <f t="shared" si="0"/>
        <v>3.5949743170662012E-2</v>
      </c>
      <c r="G60" s="115">
        <f t="shared" si="3"/>
        <v>1.7966133205596316E-2</v>
      </c>
      <c r="H60" s="115">
        <f t="shared" si="4"/>
        <v>4.7979259713724236E-2</v>
      </c>
      <c r="I60" s="115">
        <f>IFERROR(VLOOKUP(B60,CDS!$B$8:$D$97,3,FALSE),"NA")</f>
        <v>5.0999999999999995E-3</v>
      </c>
      <c r="J60" s="115">
        <f t="shared" si="1"/>
        <v>1.5434259032893216E-2</v>
      </c>
      <c r="K60" s="115">
        <f t="shared" si="5"/>
        <v>4.5447385541021137E-2</v>
      </c>
    </row>
    <row r="61" spans="2:11" x14ac:dyDescent="0.25">
      <c r="B61" s="5" t="s">
        <v>115</v>
      </c>
      <c r="C61" s="5" t="str">
        <f>VLOOKUP(B61,RegionLookup!$B$3:$C$184,2,FALSE)</f>
        <v>Africa</v>
      </c>
      <c r="D61" s="44" t="str">
        <f>VLOOKUP(B61,'Ratings&amp;PRS'!$B$4:$C$160,2,FALSE)</f>
        <v>Caa2</v>
      </c>
      <c r="E61" s="115">
        <f t="shared" si="2"/>
        <v>8.9165654186296364E-2</v>
      </c>
      <c r="F61" s="115">
        <f t="shared" si="0"/>
        <v>0.11917878069442428</v>
      </c>
      <c r="G61" s="115">
        <f t="shared" si="3"/>
        <v>0.26984427520562304</v>
      </c>
      <c r="H61" s="115">
        <f t="shared" si="4"/>
        <v>0.29985740171375097</v>
      </c>
      <c r="I61" s="115">
        <f>IFERROR(VLOOKUP(B61,CDS!$B$8:$D$97,3,FALSE),"NA")</f>
        <v>7.690000000000001E-2</v>
      </c>
      <c r="J61" s="115">
        <f t="shared" si="1"/>
        <v>0.23272441561362522</v>
      </c>
      <c r="K61" s="115">
        <f t="shared" si="5"/>
        <v>0.26273754212175315</v>
      </c>
    </row>
    <row r="62" spans="2:11" x14ac:dyDescent="0.25">
      <c r="B62" s="5" t="s">
        <v>88</v>
      </c>
      <c r="C62" s="5" t="str">
        <f>VLOOKUP(B62,RegionLookup!$B$3:$C$184,2,FALSE)</f>
        <v>Eastern Europe &amp; Russia</v>
      </c>
      <c r="D62" s="44" t="str">
        <f>VLOOKUP(B62,'Ratings&amp;PRS'!$B$4:$C$160,2,FALSE)</f>
        <v>Ba2</v>
      </c>
      <c r="E62" s="115">
        <f t="shared" si="2"/>
        <v>2.9799487560955448E-2</v>
      </c>
      <c r="F62" s="115">
        <f t="shared" si="0"/>
        <v>5.9812614069083364E-2</v>
      </c>
      <c r="G62" s="115">
        <f t="shared" si="3"/>
        <v>9.0182943149659939E-2</v>
      </c>
      <c r="H62" s="115">
        <f t="shared" si="4"/>
        <v>0.12019606965778785</v>
      </c>
      <c r="I62" s="115" t="str">
        <f>IFERROR(VLOOKUP(B62,CDS!$B$8:$D$97,3,FALSE),"NA")</f>
        <v>NA</v>
      </c>
      <c r="J62" s="115" t="str">
        <f t="shared" si="1"/>
        <v>NA</v>
      </c>
      <c r="K62" s="115" t="str">
        <f t="shared" si="5"/>
        <v>NA</v>
      </c>
    </row>
    <row r="63" spans="2:11" x14ac:dyDescent="0.25">
      <c r="B63" s="5" t="s">
        <v>75</v>
      </c>
      <c r="C63" s="5" t="str">
        <f>VLOOKUP(B63,RegionLookup!$B$3:$C$184,2,FALSE)</f>
        <v>Western Europe</v>
      </c>
      <c r="D63" s="44" t="str">
        <f>VLOOKUP(B63,'Ratings&amp;PRS'!$B$4:$C$160,2,FALSE)</f>
        <v>Aaa</v>
      </c>
      <c r="E63" s="115">
        <f t="shared" si="2"/>
        <v>0</v>
      </c>
      <c r="F63" s="115">
        <f t="shared" si="0"/>
        <v>3.0013126508127919E-2</v>
      </c>
      <c r="G63" s="115">
        <f t="shared" si="3"/>
        <v>0</v>
      </c>
      <c r="H63" s="115">
        <f t="shared" si="4"/>
        <v>3.0013126508127919E-2</v>
      </c>
      <c r="I63" s="115">
        <f>IFERROR(VLOOKUP(B63,CDS!$B$8:$D$97,3,FALSE),"NA")</f>
        <v>6.9999999999999988E-4</v>
      </c>
      <c r="J63" s="115">
        <f t="shared" si="1"/>
        <v>2.1184277103971079E-3</v>
      </c>
      <c r="K63" s="115">
        <f t="shared" si="5"/>
        <v>3.2131554218525024E-2</v>
      </c>
    </row>
    <row r="64" spans="2:11" x14ac:dyDescent="0.25">
      <c r="B64" s="5" t="s">
        <v>129</v>
      </c>
      <c r="C64" s="5" t="str">
        <f>VLOOKUP(B64,RegionLookup!$B$3:$C$184,2,FALSE)</f>
        <v>Africa</v>
      </c>
      <c r="D64" s="44" t="str">
        <f>VLOOKUP(B64,'Ratings&amp;PRS'!$B$4:$C$160,2,FALSE)</f>
        <v>Caa2</v>
      </c>
      <c r="E64" s="115">
        <f t="shared" si="2"/>
        <v>8.9165654186296364E-2</v>
      </c>
      <c r="F64" s="115">
        <f t="shared" si="0"/>
        <v>0.11917878069442428</v>
      </c>
      <c r="G64" s="115">
        <f t="shared" si="3"/>
        <v>0.26984427520562304</v>
      </c>
      <c r="H64" s="115">
        <f t="shared" si="4"/>
        <v>0.29985740171375097</v>
      </c>
      <c r="I64" s="115" t="str">
        <f>IFERROR(VLOOKUP(B64,CDS!$B$8:$D$97,3,FALSE),"NA")</f>
        <v>NA</v>
      </c>
      <c r="J64" s="115" t="str">
        <f t="shared" si="1"/>
        <v>NA</v>
      </c>
      <c r="K64" s="115" t="str">
        <f t="shared" si="5"/>
        <v>NA</v>
      </c>
    </row>
    <row r="65" spans="2:13" x14ac:dyDescent="0.25">
      <c r="B65" s="5" t="s">
        <v>82</v>
      </c>
      <c r="C65" s="5" t="str">
        <f>VLOOKUP(B65,RegionLookup!$B$3:$C$184,2,FALSE)</f>
        <v>Western Europe</v>
      </c>
      <c r="D65" s="44" t="str">
        <f>VLOOKUP(B65,'Ratings&amp;PRS'!$B$4:$C$160,2,FALSE)</f>
        <v>Ba1</v>
      </c>
      <c r="E65" s="115">
        <f t="shared" si="2"/>
        <v>2.4794104884701216E-2</v>
      </c>
      <c r="F65" s="115">
        <f t="shared" si="0"/>
        <v>5.4807231392829135E-2</v>
      </c>
      <c r="G65" s="115">
        <f t="shared" si="3"/>
        <v>7.5035026917490505E-2</v>
      </c>
      <c r="H65" s="115">
        <f t="shared" si="4"/>
        <v>0.10504815342561842</v>
      </c>
      <c r="I65" s="115">
        <f>IFERROR(VLOOKUP(B65,CDS!$B$8:$D$97,3,FALSE),"NA")</f>
        <v>8.6999999999999994E-3</v>
      </c>
      <c r="J65" s="115">
        <f t="shared" si="1"/>
        <v>2.6329030114935488E-2</v>
      </c>
      <c r="K65" s="115">
        <f t="shared" si="5"/>
        <v>5.6342156623063411E-2</v>
      </c>
    </row>
    <row r="66" spans="2:13" x14ac:dyDescent="0.25">
      <c r="B66" s="5" t="s">
        <v>91</v>
      </c>
      <c r="C66" s="5" t="str">
        <f>VLOOKUP(B66,RegionLookup!$B$3:$C$184,2,FALSE)</f>
        <v>Central and South America</v>
      </c>
      <c r="D66" s="44" t="str">
        <f>VLOOKUP(B66,'Ratings&amp;PRS'!$B$4:$C$160,2,FALSE)</f>
        <v>Ba1</v>
      </c>
      <c r="E66" s="115">
        <f t="shared" si="2"/>
        <v>2.4794104884701216E-2</v>
      </c>
      <c r="F66" s="115">
        <f t="shared" si="0"/>
        <v>5.4807231392829135E-2</v>
      </c>
      <c r="G66" s="115">
        <f t="shared" si="3"/>
        <v>7.5035026917490505E-2</v>
      </c>
      <c r="H66" s="115">
        <f t="shared" si="4"/>
        <v>0.10504815342561842</v>
      </c>
      <c r="I66" s="115">
        <f>IFERROR(VLOOKUP(B66,CDS!$B$8:$D$97,3,FALSE),"NA")</f>
        <v>2.0400000000000001E-2</v>
      </c>
      <c r="J66" s="115">
        <f t="shared" si="1"/>
        <v>6.173703613157288E-2</v>
      </c>
      <c r="K66" s="115">
        <f t="shared" si="5"/>
        <v>9.1750162639700802E-2</v>
      </c>
    </row>
    <row r="67" spans="2:13" x14ac:dyDescent="0.25">
      <c r="B67" s="5" t="s">
        <v>89</v>
      </c>
      <c r="C67" s="5" t="str">
        <f>VLOOKUP(B67,RegionLookup!$B$3:$C$184,2,FALSE)</f>
        <v>Western Europe</v>
      </c>
      <c r="D67" s="44" t="str">
        <f>VLOOKUP(B67,'Ratings&amp;PRS'!$B$4:$C$160,2,FALSE)</f>
        <v>A1</v>
      </c>
      <c r="E67" s="115">
        <f t="shared" si="2"/>
        <v>6.9842548970989338E-3</v>
      </c>
      <c r="F67" s="115">
        <f t="shared" si="0"/>
        <v>3.6997381405226855E-2</v>
      </c>
      <c r="G67" s="115">
        <f t="shared" si="3"/>
        <v>2.1136627300701552E-2</v>
      </c>
      <c r="H67" s="115">
        <f t="shared" si="4"/>
        <v>5.1149753808829468E-2</v>
      </c>
      <c r="I67" s="115" t="str">
        <f>IFERROR(VLOOKUP(B67,CDS!$B$8:$D$97,3,FALSE),"NA")</f>
        <v>NA</v>
      </c>
      <c r="J67" s="115" t="str">
        <f t="shared" si="1"/>
        <v>NA</v>
      </c>
      <c r="K67" s="115" t="str">
        <f t="shared" si="5"/>
        <v>NA</v>
      </c>
    </row>
    <row r="68" spans="2:13" x14ac:dyDescent="0.25">
      <c r="B68" s="5" t="s">
        <v>105</v>
      </c>
      <c r="C68" s="5" t="str">
        <f>VLOOKUP(B68,RegionLookup!$B$3:$C$184,2,FALSE)</f>
        <v>Central and South America</v>
      </c>
      <c r="D68" s="44" t="str">
        <f>VLOOKUP(B68,'Ratings&amp;PRS'!$B$4:$C$160,2,FALSE)</f>
        <v>B1</v>
      </c>
      <c r="E68" s="115">
        <f t="shared" si="2"/>
        <v>4.4582827093148182E-2</v>
      </c>
      <c r="F68" s="115">
        <f t="shared" si="0"/>
        <v>7.4595953601276105E-2</v>
      </c>
      <c r="G68" s="115">
        <f t="shared" si="3"/>
        <v>0.13492213760281152</v>
      </c>
      <c r="H68" s="115">
        <f t="shared" si="4"/>
        <v>0.16493526411093945</v>
      </c>
      <c r="I68" s="115" t="str">
        <f>IFERROR(VLOOKUP(B68,CDS!$B$8:$D$97,3,FALSE),"NA")</f>
        <v>NA</v>
      </c>
      <c r="J68" s="115" t="str">
        <f t="shared" si="1"/>
        <v>NA</v>
      </c>
      <c r="K68" s="115" t="str">
        <f t="shared" si="5"/>
        <v>NA</v>
      </c>
    </row>
    <row r="69" spans="2:13" x14ac:dyDescent="0.25">
      <c r="B69" s="5" t="s">
        <v>57</v>
      </c>
      <c r="C69" s="5" t="str">
        <f>VLOOKUP(B69,RegionLookup!$B$3:$C$184,2,FALSE)</f>
        <v>Asia</v>
      </c>
      <c r="D69" s="44" t="str">
        <f>VLOOKUP(B69,'Ratings&amp;PRS'!$B$4:$C$160,2,FALSE)</f>
        <v>Aa3</v>
      </c>
      <c r="E69" s="115">
        <f t="shared" si="2"/>
        <v>5.9366166625340932E-3</v>
      </c>
      <c r="F69" s="115">
        <f t="shared" si="0"/>
        <v>3.5949743170662012E-2</v>
      </c>
      <c r="G69" s="115">
        <f t="shared" si="3"/>
        <v>1.7966133205596316E-2</v>
      </c>
      <c r="H69" s="115">
        <f t="shared" si="4"/>
        <v>4.7979259713724236E-2</v>
      </c>
      <c r="I69" s="115">
        <f>IFERROR(VLOOKUP(B69,CDS!$B$8:$D$97,3,FALSE),"NA")</f>
        <v>4.1999999999999997E-3</v>
      </c>
      <c r="J69" s="115">
        <f t="shared" si="1"/>
        <v>1.271056626238265E-2</v>
      </c>
      <c r="K69" s="115">
        <f t="shared" si="5"/>
        <v>4.2723692770510566E-2</v>
      </c>
    </row>
    <row r="70" spans="2:13" x14ac:dyDescent="0.25">
      <c r="B70" s="5" t="s">
        <v>95</v>
      </c>
      <c r="C70" s="5" t="str">
        <f>VLOOKUP(B70,RegionLookup!$B$3:$C$184,2,FALSE)</f>
        <v>Eastern Europe &amp; Russia</v>
      </c>
      <c r="D70" s="44" t="str">
        <f>VLOOKUP(B70,'Ratings&amp;PRS'!$B$4:$C$160,2,FALSE)</f>
        <v>Baa2</v>
      </c>
      <c r="E70" s="115">
        <f t="shared" si="2"/>
        <v>1.885748822216712E-2</v>
      </c>
      <c r="F70" s="115">
        <f t="shared" si="0"/>
        <v>4.8870614730295039E-2</v>
      </c>
      <c r="G70" s="115">
        <f t="shared" si="3"/>
        <v>5.7068893711894185E-2</v>
      </c>
      <c r="H70" s="115">
        <f t="shared" si="4"/>
        <v>8.7082020220022108E-2</v>
      </c>
      <c r="I70" s="115">
        <f>IFERROR(VLOOKUP(B70,CDS!$B$8:$D$97,3,FALSE),"NA")</f>
        <v>1.66E-2</v>
      </c>
      <c r="J70" s="115">
        <f t="shared" si="1"/>
        <v>5.0236999989417143E-2</v>
      </c>
      <c r="K70" s="115">
        <f t="shared" si="5"/>
        <v>8.0250126497545066E-2</v>
      </c>
    </row>
    <row r="71" spans="2:13" x14ac:dyDescent="0.25">
      <c r="B71" s="5" t="s">
        <v>96</v>
      </c>
      <c r="C71" s="5" t="str">
        <f>VLOOKUP(B71,RegionLookup!$B$3:$C$184,2,FALSE)</f>
        <v>Western Europe</v>
      </c>
      <c r="D71" s="44" t="str">
        <f>VLOOKUP(B71,'Ratings&amp;PRS'!$B$4:$C$160,2,FALSE)</f>
        <v>A1</v>
      </c>
      <c r="E71" s="115">
        <f t="shared" si="2"/>
        <v>6.9842548970989338E-3</v>
      </c>
      <c r="F71" s="115">
        <f t="shared" si="0"/>
        <v>3.6997381405226855E-2</v>
      </c>
      <c r="G71" s="115">
        <f t="shared" si="3"/>
        <v>2.1136627300701552E-2</v>
      </c>
      <c r="H71" s="115">
        <f t="shared" si="4"/>
        <v>5.1149753808829468E-2</v>
      </c>
      <c r="I71" s="115">
        <f>IFERROR(VLOOKUP(B71,CDS!$B$8:$D$97,3,FALSE),"NA")</f>
        <v>3.0000000000000001E-3</v>
      </c>
      <c r="J71" s="115">
        <f t="shared" si="1"/>
        <v>9.0789759017018933E-3</v>
      </c>
      <c r="K71" s="115">
        <f t="shared" si="5"/>
        <v>3.9092102409829813E-2</v>
      </c>
    </row>
    <row r="72" spans="2:13" x14ac:dyDescent="0.25">
      <c r="B72" s="5" t="s">
        <v>64</v>
      </c>
      <c r="C72" s="5" t="str">
        <f>VLOOKUP(B72,RegionLookup!$B$3:$C$184,2,FALSE)</f>
        <v>Asia</v>
      </c>
      <c r="D72" s="44" t="str">
        <f>VLOOKUP(B72,'Ratings&amp;PRS'!$B$4:$C$160,2,FALSE)</f>
        <v>Baa3</v>
      </c>
      <c r="E72" s="118">
        <f>VLOOKUP(D72,$N$8:$O$30,2,FALSE)/10000</f>
        <v>2.1767594429291676E-2</v>
      </c>
      <c r="F72" s="118">
        <f>$E$3+E72</f>
        <v>5.1780720937419596E-2</v>
      </c>
      <c r="G72" s="118">
        <f>E72*$E$4</f>
        <v>6.5875821753853162E-2</v>
      </c>
      <c r="H72" s="118">
        <f t="shared" ref="H72:H135" si="6">$E$3+G72</f>
        <v>9.5888948261981077E-2</v>
      </c>
      <c r="I72" s="118">
        <f>IFERROR(VLOOKUP(B72,CDS!$B$8:$D$97,3,FALSE),"NA")</f>
        <v>6.6999999999999994E-3</v>
      </c>
      <c r="J72" s="118">
        <f>IF(I72="NA","NA",$E$4*I72)</f>
        <v>2.0276379513800891E-2</v>
      </c>
      <c r="K72" s="118">
        <f>IF(J72="NA","NA",$E$3+J72)</f>
        <v>5.0289506021928811E-2</v>
      </c>
      <c r="M72" s="46"/>
    </row>
    <row r="73" spans="2:13" x14ac:dyDescent="0.25">
      <c r="B73" s="5" t="s">
        <v>71</v>
      </c>
      <c r="C73" s="5" t="str">
        <f>VLOOKUP(B73,RegionLookup!$B$3:$C$184,2,FALSE)</f>
        <v>Asia</v>
      </c>
      <c r="D73" s="44" t="str">
        <f>VLOOKUP(B73,'Ratings&amp;PRS'!$B$4:$C$160,2,FALSE)</f>
        <v>Baa2</v>
      </c>
      <c r="E73" s="115">
        <f t="shared" ref="E73:E135" si="7">VLOOKUP(D73,$N$8:$O$30,2,FALSE)/10000</f>
        <v>1.885748822216712E-2</v>
      </c>
      <c r="F73" s="115">
        <f t="shared" ref="F73:F135" si="8">$E$3+E73</f>
        <v>4.8870614730295039E-2</v>
      </c>
      <c r="G73" s="115">
        <f t="shared" ref="G73:G135" si="9">E73*$E$4</f>
        <v>5.7068893711894185E-2</v>
      </c>
      <c r="H73" s="115">
        <f t="shared" si="6"/>
        <v>8.7082020220022108E-2</v>
      </c>
      <c r="I73" s="115">
        <f>IFERROR(VLOOKUP(B73,CDS!$B$8:$D$97,3,FALSE),"NA")</f>
        <v>1.17E-2</v>
      </c>
      <c r="J73" s="115">
        <f t="shared" ref="J73:J136" si="10">IF(I73="NA","NA",$E$4*I73)</f>
        <v>3.5408006016637385E-2</v>
      </c>
      <c r="K73" s="115">
        <f t="shared" ref="K73:K135" si="11">IF(J73="NA","NA",$E$3+J73)</f>
        <v>6.5421132524765307E-2</v>
      </c>
    </row>
    <row r="74" spans="2:13" x14ac:dyDescent="0.25">
      <c r="B74" s="5" t="s">
        <v>44</v>
      </c>
      <c r="C74" s="5" t="str">
        <f>VLOOKUP(B74,RegionLookup!$B$3:$C$184,2,FALSE)</f>
        <v>Middle East</v>
      </c>
      <c r="D74" s="44" t="str">
        <f>VLOOKUP(B74,'Ratings&amp;PRS'!$B$4:$C$160,2,FALSE)</f>
        <v>Caa1</v>
      </c>
      <c r="E74" s="115">
        <f t="shared" si="7"/>
        <v>7.4265910405818647E-2</v>
      </c>
      <c r="F74" s="115">
        <f t="shared" si="8"/>
        <v>0.10427903691394656</v>
      </c>
      <c r="G74" s="115">
        <f t="shared" si="9"/>
        <v>0.22475280363079311</v>
      </c>
      <c r="H74" s="115">
        <f t="shared" si="6"/>
        <v>0.25476593013892102</v>
      </c>
      <c r="I74" s="115">
        <f>IFERROR(VLOOKUP(B74,CDS!$B$8:$D$97,3,FALSE),"NA")</f>
        <v>3.8800000000000001E-2</v>
      </c>
      <c r="J74" s="115">
        <f t="shared" si="10"/>
        <v>0.11742142166201115</v>
      </c>
      <c r="K74" s="115">
        <f t="shared" si="11"/>
        <v>0.14743454817013907</v>
      </c>
    </row>
    <row r="75" spans="2:13" x14ac:dyDescent="0.25">
      <c r="B75" s="5" t="s">
        <v>103</v>
      </c>
      <c r="C75" s="5" t="str">
        <f>VLOOKUP(B75,RegionLookup!$B$3:$C$184,2,FALSE)</f>
        <v>Western Europe</v>
      </c>
      <c r="D75" s="44" t="str">
        <f>VLOOKUP(B75,'Ratings&amp;PRS'!$B$4:$C$160,2,FALSE)</f>
        <v>Aa3</v>
      </c>
      <c r="E75" s="115">
        <f t="shared" si="7"/>
        <v>5.9366166625340932E-3</v>
      </c>
      <c r="F75" s="115">
        <f t="shared" si="8"/>
        <v>3.5949743170662012E-2</v>
      </c>
      <c r="G75" s="115">
        <f t="shared" si="9"/>
        <v>1.7966133205596316E-2</v>
      </c>
      <c r="H75" s="115">
        <f t="shared" si="6"/>
        <v>4.7979259713724236E-2</v>
      </c>
      <c r="I75" s="115">
        <f>IFERROR(VLOOKUP(B75,CDS!$B$8:$D$97,3,FALSE),"NA")</f>
        <v>2.1000000000000003E-3</v>
      </c>
      <c r="J75" s="115">
        <f t="shared" si="10"/>
        <v>6.3552831311913258E-3</v>
      </c>
      <c r="K75" s="115">
        <f t="shared" si="11"/>
        <v>3.6368409639319248E-2</v>
      </c>
    </row>
    <row r="76" spans="2:13" x14ac:dyDescent="0.25">
      <c r="B76" s="5" t="s">
        <v>110</v>
      </c>
      <c r="C76" s="5" t="str">
        <f>VLOOKUP(B76,RegionLookup!$B$3:$C$184,2,FALSE)</f>
        <v>Western Europe</v>
      </c>
      <c r="D76" s="44" t="str">
        <f>VLOOKUP(B76,'Ratings&amp;PRS'!$B$4:$C$160,2,FALSE)</f>
        <v>Aa3</v>
      </c>
      <c r="E76" s="115">
        <f t="shared" si="7"/>
        <v>5.9366166625340932E-3</v>
      </c>
      <c r="F76" s="115">
        <f t="shared" si="8"/>
        <v>3.5949743170662012E-2</v>
      </c>
      <c r="G76" s="115">
        <f t="shared" si="9"/>
        <v>1.7966133205596316E-2</v>
      </c>
      <c r="H76" s="115">
        <f t="shared" si="6"/>
        <v>4.7979259713724236E-2</v>
      </c>
      <c r="I76" s="115" t="str">
        <f>IFERROR(VLOOKUP(B76,CDS!$B$8:$D$97,3,FALSE),"NA")</f>
        <v>NA</v>
      </c>
      <c r="J76" s="115" t="str">
        <f t="shared" si="10"/>
        <v>NA</v>
      </c>
      <c r="K76" s="115" t="str">
        <f t="shared" si="11"/>
        <v>NA</v>
      </c>
    </row>
    <row r="77" spans="2:13" x14ac:dyDescent="0.25">
      <c r="B77" s="5" t="s">
        <v>51</v>
      </c>
      <c r="C77" s="5" t="str">
        <f>VLOOKUP(B77,RegionLookup!$B$3:$C$184,2,FALSE)</f>
        <v>Middle East</v>
      </c>
      <c r="D77" s="44" t="str">
        <f>VLOOKUP(B77,'Ratings&amp;PRS'!$B$4:$C$160,2,FALSE)</f>
        <v>Baa1</v>
      </c>
      <c r="E77" s="115">
        <f t="shared" si="7"/>
        <v>1.5830977766757577E-2</v>
      </c>
      <c r="F77" s="115">
        <f t="shared" si="8"/>
        <v>4.58441042748855E-2</v>
      </c>
      <c r="G77" s="115">
        <f t="shared" si="9"/>
        <v>4.7909688548256828E-2</v>
      </c>
      <c r="H77" s="115">
        <f t="shared" si="6"/>
        <v>7.792281505638475E-2</v>
      </c>
      <c r="I77" s="115">
        <f>IFERROR(VLOOKUP(B77,CDS!$B$8:$D$97,3,FALSE),"NA")</f>
        <v>1.2199999999999999E-2</v>
      </c>
      <c r="J77" s="115">
        <f t="shared" si="10"/>
        <v>3.692116866692103E-2</v>
      </c>
      <c r="K77" s="115">
        <f t="shared" si="11"/>
        <v>6.6934295175048952E-2</v>
      </c>
    </row>
    <row r="78" spans="2:13" x14ac:dyDescent="0.25">
      <c r="B78" s="5" t="s">
        <v>117</v>
      </c>
      <c r="C78" s="5" t="str">
        <f>VLOOKUP(B78,RegionLookup!$B$3:$C$184,2,FALSE)</f>
        <v>Western Europe</v>
      </c>
      <c r="D78" s="44" t="str">
        <f>VLOOKUP(B78,'Ratings&amp;PRS'!$B$4:$C$160,2,FALSE)</f>
        <v>Baa3</v>
      </c>
      <c r="E78" s="115">
        <f t="shared" si="7"/>
        <v>2.1767594429291676E-2</v>
      </c>
      <c r="F78" s="115">
        <f t="shared" si="8"/>
        <v>5.1780720937419596E-2</v>
      </c>
      <c r="G78" s="115">
        <f t="shared" si="9"/>
        <v>6.5875821753853162E-2</v>
      </c>
      <c r="H78" s="115">
        <f t="shared" si="6"/>
        <v>9.5888948261981077E-2</v>
      </c>
      <c r="I78" s="115">
        <f>IFERROR(VLOOKUP(B78,CDS!$B$8:$D$97,3,FALSE),"NA")</f>
        <v>8.0999999999999996E-3</v>
      </c>
      <c r="J78" s="115">
        <f t="shared" si="10"/>
        <v>2.4513234934595108E-2</v>
      </c>
      <c r="K78" s="115">
        <f t="shared" si="11"/>
        <v>5.4526361442723027E-2</v>
      </c>
    </row>
    <row r="79" spans="2:13" x14ac:dyDescent="0.25">
      <c r="B79" s="5" t="s">
        <v>90</v>
      </c>
      <c r="C79" s="5" t="str">
        <f>VLOOKUP(B79,RegionLookup!$B$3:$C$184,2,FALSE)</f>
        <v>Caribbean</v>
      </c>
      <c r="D79" s="44" t="str">
        <f>VLOOKUP(B79,'Ratings&amp;PRS'!$B$4:$C$160,2,FALSE)</f>
        <v>B1</v>
      </c>
      <c r="E79" s="115">
        <f t="shared" si="7"/>
        <v>4.4582827093148182E-2</v>
      </c>
      <c r="F79" s="115">
        <f t="shared" si="8"/>
        <v>7.4595953601276105E-2</v>
      </c>
      <c r="G79" s="115">
        <f t="shared" si="9"/>
        <v>0.13492213760281152</v>
      </c>
      <c r="H79" s="115">
        <f t="shared" si="6"/>
        <v>0.16493526411093945</v>
      </c>
      <c r="I79" s="115" t="str">
        <f>IFERROR(VLOOKUP(B79,CDS!$B$8:$D$97,3,FALSE),"NA")</f>
        <v>NA</v>
      </c>
      <c r="J79" s="115" t="str">
        <f t="shared" si="10"/>
        <v>NA</v>
      </c>
      <c r="K79" s="115" t="str">
        <f t="shared" si="11"/>
        <v>NA</v>
      </c>
    </row>
    <row r="80" spans="2:13" x14ac:dyDescent="0.25">
      <c r="B80" s="5" t="s">
        <v>78</v>
      </c>
      <c r="C80" s="5" t="str">
        <f>VLOOKUP(B80,RegionLookup!$B$3:$C$184,2,FALSE)</f>
        <v>Asia</v>
      </c>
      <c r="D80" s="44" t="str">
        <f>VLOOKUP(B80,'Ratings&amp;PRS'!$B$4:$C$160,2,FALSE)</f>
        <v>A1</v>
      </c>
      <c r="E80" s="115">
        <f t="shared" si="7"/>
        <v>6.9842548970989338E-3</v>
      </c>
      <c r="F80" s="115">
        <f t="shared" si="8"/>
        <v>3.6997381405226855E-2</v>
      </c>
      <c r="G80" s="115">
        <f t="shared" si="9"/>
        <v>2.1136627300701552E-2</v>
      </c>
      <c r="H80" s="115">
        <f t="shared" si="6"/>
        <v>5.1149753808829468E-2</v>
      </c>
      <c r="I80" s="115">
        <f>IFERROR(VLOOKUP(B80,CDS!$B$8:$D$97,3,FALSE),"NA")</f>
        <v>1.9E-3</v>
      </c>
      <c r="J80" s="115">
        <f t="shared" si="10"/>
        <v>5.7500180710778658E-3</v>
      </c>
      <c r="K80" s="115">
        <f t="shared" si="11"/>
        <v>3.5763144579205784E-2</v>
      </c>
    </row>
    <row r="81" spans="2:11" x14ac:dyDescent="0.25">
      <c r="B81" s="5" t="s">
        <v>124</v>
      </c>
      <c r="C81" s="5" t="str">
        <f>VLOOKUP(B81,RegionLookup!$B$3:$C$184,2,FALSE)</f>
        <v>Western Europe</v>
      </c>
      <c r="D81" s="44" t="str">
        <f>VLOOKUP(B81,'Ratings&amp;PRS'!$B$4:$C$160,2,FALSE)</f>
        <v>Aa2</v>
      </c>
      <c r="E81" s="115">
        <f t="shared" si="7"/>
        <v>4.8889784279692525E-3</v>
      </c>
      <c r="F81" s="115">
        <f t="shared" si="8"/>
        <v>3.4902104936097175E-2</v>
      </c>
      <c r="G81" s="115">
        <f t="shared" si="9"/>
        <v>1.4795639110491083E-2</v>
      </c>
      <c r="H81" s="115">
        <f t="shared" si="6"/>
        <v>4.4808765618619004E-2</v>
      </c>
      <c r="I81" s="115" t="str">
        <f>IFERROR(VLOOKUP(B81,CDS!$B$8:$D$97,3,FALSE),"NA")</f>
        <v>NA</v>
      </c>
      <c r="J81" s="115" t="str">
        <f t="shared" si="10"/>
        <v>NA</v>
      </c>
      <c r="K81" s="115" t="str">
        <f t="shared" si="11"/>
        <v>NA</v>
      </c>
    </row>
    <row r="82" spans="2:11" x14ac:dyDescent="0.25">
      <c r="B82" s="5" t="s">
        <v>58</v>
      </c>
      <c r="C82" s="5" t="str">
        <f>VLOOKUP(B82,RegionLookup!$B$3:$C$184,2,FALSE)</f>
        <v>Middle East</v>
      </c>
      <c r="D82" s="44" t="str">
        <f>VLOOKUP(B82,'Ratings&amp;PRS'!$B$4:$C$160,2,FALSE)</f>
        <v>Ba3</v>
      </c>
      <c r="E82" s="115">
        <f t="shared" si="7"/>
        <v>3.5619699975204554E-2</v>
      </c>
      <c r="F82" s="115">
        <f t="shared" si="8"/>
        <v>6.5632826483332476E-2</v>
      </c>
      <c r="G82" s="115">
        <f t="shared" si="9"/>
        <v>0.10779679923357789</v>
      </c>
      <c r="H82" s="115">
        <f t="shared" si="6"/>
        <v>0.13780992574170581</v>
      </c>
      <c r="I82" s="115" t="str">
        <f>IFERROR(VLOOKUP(B82,CDS!$B$8:$D$97,3,FALSE),"NA")</f>
        <v>NA</v>
      </c>
      <c r="J82" s="115" t="str">
        <f t="shared" si="10"/>
        <v>NA</v>
      </c>
      <c r="K82" s="115" t="str">
        <f t="shared" si="11"/>
        <v>NA</v>
      </c>
    </row>
    <row r="83" spans="2:11" x14ac:dyDescent="0.25">
      <c r="B83" s="5" t="s">
        <v>102</v>
      </c>
      <c r="C83" s="5" t="str">
        <f>VLOOKUP(B83,RegionLookup!$B$3:$C$184,2,FALSE)</f>
        <v>Eastern Europe &amp; Russia</v>
      </c>
      <c r="D83" s="44" t="str">
        <f>VLOOKUP(B83,'Ratings&amp;PRS'!$B$4:$C$160,2,FALSE)</f>
        <v>Baa1</v>
      </c>
      <c r="E83" s="115">
        <f t="shared" si="7"/>
        <v>1.5830977766757577E-2</v>
      </c>
      <c r="F83" s="115">
        <f t="shared" si="8"/>
        <v>4.58441042748855E-2</v>
      </c>
      <c r="G83" s="115">
        <f t="shared" si="9"/>
        <v>4.7909688548256828E-2</v>
      </c>
      <c r="H83" s="115">
        <f t="shared" si="6"/>
        <v>7.792281505638475E-2</v>
      </c>
      <c r="I83" s="115">
        <f>IFERROR(VLOOKUP(B83,CDS!$B$8:$D$97,3,FALSE),"NA")</f>
        <v>1.29E-2</v>
      </c>
      <c r="J83" s="115">
        <f t="shared" si="10"/>
        <v>3.9039596377318138E-2</v>
      </c>
      <c r="K83" s="115">
        <f t="shared" si="11"/>
        <v>6.9052722885446061E-2</v>
      </c>
    </row>
    <row r="84" spans="2:11" x14ac:dyDescent="0.25">
      <c r="B84" s="5" t="s">
        <v>144</v>
      </c>
      <c r="C84" s="5" t="str">
        <f>VLOOKUP(B84,RegionLookup!$B$3:$C$184,2,FALSE)</f>
        <v>Africa</v>
      </c>
      <c r="D84" s="44" t="str">
        <f>VLOOKUP(B84,'Ratings&amp;PRS'!$B$4:$C$160,2,FALSE)</f>
        <v>Caa1</v>
      </c>
      <c r="E84" s="115">
        <f t="shared" si="7"/>
        <v>7.4265910405818647E-2</v>
      </c>
      <c r="F84" s="115">
        <f t="shared" si="8"/>
        <v>0.10427903691394656</v>
      </c>
      <c r="G84" s="115">
        <f t="shared" si="9"/>
        <v>0.22475280363079311</v>
      </c>
      <c r="H84" s="115">
        <f t="shared" si="6"/>
        <v>0.25476593013892102</v>
      </c>
      <c r="I84" s="115">
        <f>IFERROR(VLOOKUP(B84,CDS!$B$8:$D$97,3,FALSE),"NA")</f>
        <v>6.1699999999999998E-2</v>
      </c>
      <c r="J84" s="115">
        <f t="shared" si="10"/>
        <v>0.18672427104500225</v>
      </c>
      <c r="K84" s="115">
        <f t="shared" si="11"/>
        <v>0.21673739755313018</v>
      </c>
    </row>
    <row r="85" spans="2:11" x14ac:dyDescent="0.25">
      <c r="B85" s="5" t="s">
        <v>85</v>
      </c>
      <c r="C85" s="5" t="str">
        <f>VLOOKUP(B85,RegionLookup!$B$3:$C$184,2,FALSE)</f>
        <v>Asia</v>
      </c>
      <c r="D85" s="44" t="str">
        <f>VLOOKUP(B85,'Ratings&amp;PRS'!$B$4:$C$160,2,FALSE)</f>
        <v>Aa2</v>
      </c>
      <c r="E85" s="115">
        <f t="shared" si="7"/>
        <v>4.8889784279692525E-3</v>
      </c>
      <c r="F85" s="115">
        <f t="shared" si="8"/>
        <v>3.4902104936097175E-2</v>
      </c>
      <c r="G85" s="115">
        <f t="shared" si="9"/>
        <v>1.4795639110491083E-2</v>
      </c>
      <c r="H85" s="115">
        <f t="shared" si="6"/>
        <v>4.4808765618619004E-2</v>
      </c>
      <c r="I85" s="115">
        <f>IFERROR(VLOOKUP(B85,CDS!$B$8:$D$97,3,FALSE),"NA")</f>
        <v>2E-3</v>
      </c>
      <c r="J85" s="115">
        <f t="shared" si="10"/>
        <v>6.0526506011345958E-3</v>
      </c>
      <c r="K85" s="115">
        <f t="shared" si="11"/>
        <v>3.6065777109262516E-2</v>
      </c>
    </row>
    <row r="86" spans="2:11" x14ac:dyDescent="0.25">
      <c r="B86" s="5" t="s">
        <v>65</v>
      </c>
      <c r="C86" s="5" t="str">
        <f>VLOOKUP(B86,RegionLookup!$B$3:$C$184,2,FALSE)</f>
        <v>Middle East</v>
      </c>
      <c r="D86" s="44" t="str">
        <f>VLOOKUP(B86,'Ratings&amp;PRS'!$B$4:$C$160,2,FALSE)</f>
        <v>A1</v>
      </c>
      <c r="E86" s="115">
        <f t="shared" si="7"/>
        <v>6.9842548970989338E-3</v>
      </c>
      <c r="F86" s="115">
        <f t="shared" si="8"/>
        <v>3.6997381405226855E-2</v>
      </c>
      <c r="G86" s="115">
        <f t="shared" si="9"/>
        <v>2.1136627300701552E-2</v>
      </c>
      <c r="H86" s="115">
        <f t="shared" si="6"/>
        <v>5.1149753808829468E-2</v>
      </c>
      <c r="I86" s="115">
        <f>IFERROR(VLOOKUP(B86,CDS!$B$8:$D$97,3,FALSE),"NA")</f>
        <v>6.9999999999999993E-3</v>
      </c>
      <c r="J86" s="115">
        <f t="shared" si="10"/>
        <v>2.118427710397108E-2</v>
      </c>
      <c r="K86" s="115">
        <f t="shared" si="11"/>
        <v>5.1197403612098999E-2</v>
      </c>
    </row>
    <row r="87" spans="2:11" x14ac:dyDescent="0.25">
      <c r="B87" s="5" t="s">
        <v>109</v>
      </c>
      <c r="C87" s="5" t="str">
        <f>VLOOKUP(B87,RegionLookup!$B$3:$C$184,2,FALSE)</f>
        <v>Eastern Europe &amp; Russia</v>
      </c>
      <c r="D87" s="44" t="str">
        <f>VLOOKUP(B87,'Ratings&amp;PRS'!$B$4:$C$160,2,FALSE)</f>
        <v>B3</v>
      </c>
      <c r="E87" s="115">
        <f t="shared" si="7"/>
        <v>6.4371549301595152E-2</v>
      </c>
      <c r="F87" s="115">
        <f t="shared" si="8"/>
        <v>9.4384675809723068E-2</v>
      </c>
      <c r="G87" s="115">
        <f t="shared" si="9"/>
        <v>0.19480924828813256</v>
      </c>
      <c r="H87" s="115">
        <f t="shared" si="6"/>
        <v>0.22482237479626049</v>
      </c>
      <c r="I87" s="115" t="str">
        <f>IFERROR(VLOOKUP(B87,CDS!$B$8:$D$97,3,FALSE),"NA")</f>
        <v>NA</v>
      </c>
      <c r="J87" s="115" t="str">
        <f t="shared" si="10"/>
        <v>NA</v>
      </c>
      <c r="K87" s="115" t="str">
        <f t="shared" si="11"/>
        <v>NA</v>
      </c>
    </row>
    <row r="88" spans="2:11" x14ac:dyDescent="0.25">
      <c r="B88" s="5" t="s">
        <v>99</v>
      </c>
      <c r="C88" s="5" t="str">
        <f>VLOOKUP(B88,RegionLookup!$B$3:$C$184,2,FALSE)</f>
        <v>Asia</v>
      </c>
      <c r="D88" s="44" t="str">
        <f>VLOOKUP(B88,'Ratings&amp;PRS'!$B$4:$C$160,2,FALSE)</f>
        <v>Caa3</v>
      </c>
      <c r="E88" s="115">
        <f t="shared" si="7"/>
        <v>9.9060015290519873E-2</v>
      </c>
      <c r="F88" s="115">
        <f t="shared" si="8"/>
        <v>0.12907314179864779</v>
      </c>
      <c r="G88" s="115">
        <f t="shared" si="9"/>
        <v>0.29978783054828367</v>
      </c>
      <c r="H88" s="115">
        <f t="shared" si="6"/>
        <v>0.3298009570564116</v>
      </c>
      <c r="I88" s="115" t="str">
        <f>IFERROR(VLOOKUP(B88,CDS!$B$8:$D$97,3,FALSE),"NA")</f>
        <v>NA</v>
      </c>
      <c r="J88" s="115" t="str">
        <f t="shared" si="10"/>
        <v>NA</v>
      </c>
      <c r="K88" s="115" t="str">
        <f t="shared" si="11"/>
        <v>NA</v>
      </c>
    </row>
    <row r="89" spans="2:11" x14ac:dyDescent="0.25">
      <c r="B89" s="5" t="s">
        <v>116</v>
      </c>
      <c r="C89" s="5" t="str">
        <f>VLOOKUP(B89,RegionLookup!$B$3:$C$184,2,FALSE)</f>
        <v>Eastern Europe &amp; Russia</v>
      </c>
      <c r="D89" s="44" t="str">
        <f>VLOOKUP(B89,'Ratings&amp;PRS'!$B$4:$C$160,2,FALSE)</f>
        <v>A3</v>
      </c>
      <c r="E89" s="115">
        <f t="shared" si="7"/>
        <v>1.1873233325068186E-2</v>
      </c>
      <c r="F89" s="115">
        <f t="shared" si="8"/>
        <v>4.1886359833196107E-2</v>
      </c>
      <c r="G89" s="115">
        <f t="shared" si="9"/>
        <v>3.5932266411192633E-2</v>
      </c>
      <c r="H89" s="115">
        <f t="shared" si="6"/>
        <v>6.5945392919320556E-2</v>
      </c>
      <c r="I89" s="115">
        <f>IFERROR(VLOOKUP(B89,CDS!$B$8:$D$97,3,FALSE),"NA")</f>
        <v>8.0999999999999996E-3</v>
      </c>
      <c r="J89" s="115">
        <f t="shared" si="10"/>
        <v>2.4513234934595108E-2</v>
      </c>
      <c r="K89" s="115">
        <f t="shared" si="11"/>
        <v>5.4526361442723027E-2</v>
      </c>
    </row>
    <row r="90" spans="2:11" x14ac:dyDescent="0.25">
      <c r="B90" s="5" t="s">
        <v>72</v>
      </c>
      <c r="C90" s="5" t="str">
        <f>VLOOKUP(B90,RegionLookup!$B$3:$C$184,2,FALSE)</f>
        <v>Middle East</v>
      </c>
      <c r="D90" s="44" t="str">
        <f>VLOOKUP(B90,'Ratings&amp;PRS'!$B$4:$C$160,2,FALSE)</f>
        <v>C</v>
      </c>
      <c r="E90" s="115">
        <f t="shared" si="7"/>
        <v>0.17499999999999999</v>
      </c>
      <c r="F90" s="115">
        <f t="shared" si="8"/>
        <v>0.20501312650812792</v>
      </c>
      <c r="G90" s="115">
        <f t="shared" si="9"/>
        <v>0.52960692759927708</v>
      </c>
      <c r="H90" s="115">
        <f t="shared" si="6"/>
        <v>0.55962005410740501</v>
      </c>
      <c r="I90" s="115" t="str">
        <f>IFERROR(VLOOKUP(B90,CDS!$B$8:$D$97,3,FALSE),"NA")</f>
        <v>NA</v>
      </c>
      <c r="J90" s="115" t="str">
        <f t="shared" si="10"/>
        <v>NA</v>
      </c>
      <c r="K90" s="115" t="str">
        <f t="shared" si="11"/>
        <v>NA</v>
      </c>
    </row>
    <row r="91" spans="2:11" x14ac:dyDescent="0.25">
      <c r="B91" s="5" t="s">
        <v>131</v>
      </c>
      <c r="C91" s="5" t="str">
        <f>VLOOKUP(B91,RegionLookup!$B$3:$C$184,2,FALSE)</f>
        <v>Western Europe</v>
      </c>
      <c r="D91" s="44" t="str">
        <f>VLOOKUP(B91,'Ratings&amp;PRS'!$B$4:$C$160,2,FALSE)</f>
        <v>Aaa</v>
      </c>
      <c r="E91" s="115">
        <f t="shared" si="7"/>
        <v>0</v>
      </c>
      <c r="F91" s="115">
        <f t="shared" si="8"/>
        <v>3.0013126508127919E-2</v>
      </c>
      <c r="G91" s="115">
        <f t="shared" si="9"/>
        <v>0</v>
      </c>
      <c r="H91" s="115">
        <f t="shared" si="6"/>
        <v>3.0013126508127919E-2</v>
      </c>
      <c r="I91" s="115" t="str">
        <f>IFERROR(VLOOKUP(B91,CDS!$B$8:$D$97,3,FALSE),"NA")</f>
        <v>NA</v>
      </c>
      <c r="J91" s="115" t="str">
        <f t="shared" si="10"/>
        <v>NA</v>
      </c>
      <c r="K91" s="115" t="str">
        <f t="shared" si="11"/>
        <v>NA</v>
      </c>
    </row>
    <row r="92" spans="2:11" x14ac:dyDescent="0.25">
      <c r="B92" s="5" t="s">
        <v>123</v>
      </c>
      <c r="C92" s="5" t="str">
        <f>VLOOKUP(B92,RegionLookup!$B$3:$C$184,2,FALSE)</f>
        <v>Eastern Europe &amp; Russia</v>
      </c>
      <c r="D92" s="44" t="str">
        <f>VLOOKUP(B92,'Ratings&amp;PRS'!$B$4:$C$160,2,FALSE)</f>
        <v>A2</v>
      </c>
      <c r="E92" s="115">
        <f t="shared" si="7"/>
        <v>8.3811058765187203E-3</v>
      </c>
      <c r="F92" s="115">
        <f t="shared" si="8"/>
        <v>3.8394232384646641E-2</v>
      </c>
      <c r="G92" s="115">
        <f t="shared" si="9"/>
        <v>2.536395276084186E-2</v>
      </c>
      <c r="H92" s="115">
        <f t="shared" si="6"/>
        <v>5.537707926896978E-2</v>
      </c>
      <c r="I92" s="115">
        <f>IFERROR(VLOOKUP(B92,CDS!$B$8:$D$97,3,FALSE),"NA")</f>
        <v>7.2999999999999992E-3</v>
      </c>
      <c r="J92" s="115">
        <f t="shared" si="10"/>
        <v>2.2092174694141271E-2</v>
      </c>
      <c r="K92" s="115">
        <f t="shared" si="11"/>
        <v>5.2105301202269194E-2</v>
      </c>
    </row>
    <row r="93" spans="2:11" x14ac:dyDescent="0.25">
      <c r="B93" s="5" t="s">
        <v>136</v>
      </c>
      <c r="C93" s="5" t="str">
        <f>VLOOKUP(B93,RegionLookup!$B$3:$C$184,2,FALSE)</f>
        <v>Western Europe</v>
      </c>
      <c r="D93" s="44" t="str">
        <f>VLOOKUP(B93,'Ratings&amp;PRS'!$B$4:$C$160,2,FALSE)</f>
        <v>Aaa</v>
      </c>
      <c r="E93" s="115">
        <f t="shared" si="7"/>
        <v>0</v>
      </c>
      <c r="F93" s="115">
        <f t="shared" si="8"/>
        <v>3.0013126508127919E-2</v>
      </c>
      <c r="G93" s="115">
        <f t="shared" si="9"/>
        <v>0</v>
      </c>
      <c r="H93" s="115">
        <f t="shared" si="6"/>
        <v>3.0013126508127919E-2</v>
      </c>
      <c r="I93" s="115" t="str">
        <f>IFERROR(VLOOKUP(B93,CDS!$B$8:$D$97,3,FALSE),"NA")</f>
        <v>NA</v>
      </c>
      <c r="J93" s="115" t="str">
        <f t="shared" si="10"/>
        <v>NA</v>
      </c>
      <c r="K93" s="115" t="str">
        <f t="shared" si="11"/>
        <v>NA</v>
      </c>
    </row>
    <row r="94" spans="2:11" x14ac:dyDescent="0.25">
      <c r="B94" s="5" t="s">
        <v>106</v>
      </c>
      <c r="C94" s="5" t="str">
        <f>VLOOKUP(B94,RegionLookup!$B$3:$C$184,2,FALSE)</f>
        <v>Asia</v>
      </c>
      <c r="D94" s="44" t="str">
        <f>VLOOKUP(B94,'Ratings&amp;PRS'!$B$4:$C$160,2,FALSE)</f>
        <v>Aa3</v>
      </c>
      <c r="E94" s="115">
        <f t="shared" si="7"/>
        <v>5.9366166625340932E-3</v>
      </c>
      <c r="F94" s="115">
        <f t="shared" si="8"/>
        <v>3.5949743170662012E-2</v>
      </c>
      <c r="G94" s="115">
        <f t="shared" si="9"/>
        <v>1.7966133205596316E-2</v>
      </c>
      <c r="H94" s="115">
        <f t="shared" si="6"/>
        <v>4.7979259713724236E-2</v>
      </c>
      <c r="I94" s="115" t="str">
        <f>IFERROR(VLOOKUP(B94,CDS!$B$8:$D$97,3,FALSE),"NA")</f>
        <v>NA</v>
      </c>
      <c r="J94" s="115" t="str">
        <f t="shared" si="10"/>
        <v>NA</v>
      </c>
      <c r="K94" s="115" t="str">
        <f t="shared" si="11"/>
        <v>NA</v>
      </c>
    </row>
    <row r="95" spans="2:11" x14ac:dyDescent="0.25">
      <c r="B95" s="5" t="s">
        <v>130</v>
      </c>
      <c r="C95" s="5" t="str">
        <f>VLOOKUP(B95,RegionLookup!$B$3:$C$184,2,FALSE)</f>
        <v>Eastern Europe &amp; Russia</v>
      </c>
      <c r="D95" s="44" t="str">
        <f>VLOOKUP(B95,'Ratings&amp;PRS'!$B$4:$C$160,2,FALSE)</f>
        <v>Ba3</v>
      </c>
      <c r="E95" s="115">
        <f t="shared" si="7"/>
        <v>3.5619699975204554E-2</v>
      </c>
      <c r="F95" s="115">
        <f t="shared" si="8"/>
        <v>6.5632826483332476E-2</v>
      </c>
      <c r="G95" s="115">
        <f t="shared" si="9"/>
        <v>0.10779679923357789</v>
      </c>
      <c r="H95" s="115">
        <f t="shared" si="6"/>
        <v>0.13780992574170581</v>
      </c>
      <c r="I95" s="115" t="str">
        <f>IFERROR(VLOOKUP(B95,CDS!$B$8:$D$97,3,FALSE),"NA")</f>
        <v>NA</v>
      </c>
      <c r="J95" s="115" t="str">
        <f t="shared" si="10"/>
        <v>NA</v>
      </c>
      <c r="K95" s="115" t="str">
        <f t="shared" si="11"/>
        <v>NA</v>
      </c>
    </row>
    <row r="96" spans="2:11" x14ac:dyDescent="0.25">
      <c r="B96" s="5" t="s">
        <v>113</v>
      </c>
      <c r="C96" s="5" t="str">
        <f>VLOOKUP(B96,RegionLookup!$B$3:$C$184,2,FALSE)</f>
        <v>Asia</v>
      </c>
      <c r="D96" s="44" t="str">
        <f>VLOOKUP(B96,'Ratings&amp;PRS'!$B$4:$C$160,2,FALSE)</f>
        <v>A3</v>
      </c>
      <c r="E96" s="115">
        <f t="shared" si="7"/>
        <v>1.1873233325068186E-2</v>
      </c>
      <c r="F96" s="115">
        <f t="shared" si="8"/>
        <v>4.1886359833196107E-2</v>
      </c>
      <c r="G96" s="115">
        <f t="shared" si="9"/>
        <v>3.5932266411192633E-2</v>
      </c>
      <c r="H96" s="115">
        <f t="shared" si="6"/>
        <v>6.5945392919320556E-2</v>
      </c>
      <c r="I96" s="115">
        <f>IFERROR(VLOOKUP(B96,CDS!$B$8:$D$97,3,FALSE),"NA")</f>
        <v>6.3999999999999994E-3</v>
      </c>
      <c r="J96" s="115">
        <f t="shared" si="10"/>
        <v>1.9368481923630703E-2</v>
      </c>
      <c r="K96" s="115">
        <f t="shared" si="11"/>
        <v>4.9381608431758622E-2</v>
      </c>
    </row>
    <row r="97" spans="2:11" x14ac:dyDescent="0.25">
      <c r="B97" s="5" t="s">
        <v>120</v>
      </c>
      <c r="C97" s="5" t="str">
        <f>VLOOKUP(B97,RegionLookup!$B$3:$C$184,2,FALSE)</f>
        <v>Asia</v>
      </c>
      <c r="D97" s="44" t="str">
        <f>VLOOKUP(B97,'Ratings&amp;PRS'!$B$4:$C$160,2,FALSE)</f>
        <v>Caa2</v>
      </c>
      <c r="E97" s="115">
        <f t="shared" si="7"/>
        <v>8.9165654186296364E-2</v>
      </c>
      <c r="F97" s="115">
        <f t="shared" si="8"/>
        <v>0.11917878069442428</v>
      </c>
      <c r="G97" s="115">
        <f t="shared" si="9"/>
        <v>0.26984427520562304</v>
      </c>
      <c r="H97" s="115">
        <f t="shared" si="6"/>
        <v>0.29985740171375097</v>
      </c>
      <c r="I97" s="115" t="str">
        <f>IFERROR(VLOOKUP(B97,CDS!$B$8:$D$97,3,FALSE),"NA")</f>
        <v>NA</v>
      </c>
      <c r="J97" s="115" t="str">
        <f t="shared" si="10"/>
        <v>NA</v>
      </c>
      <c r="K97" s="115" t="str">
        <f t="shared" si="11"/>
        <v>NA</v>
      </c>
    </row>
    <row r="98" spans="2:11" x14ac:dyDescent="0.25">
      <c r="B98" s="5" t="s">
        <v>165</v>
      </c>
      <c r="C98" s="5" t="str">
        <f>VLOOKUP(B98,RegionLookup!$B$3:$C$184,2,FALSE)</f>
        <v>Africa</v>
      </c>
      <c r="D98" s="44" t="str">
        <f>VLOOKUP(B98,'Ratings&amp;PRS'!$B$4:$C$160,2,FALSE)</f>
        <v>Caa2</v>
      </c>
      <c r="E98" s="115">
        <f t="shared" si="7"/>
        <v>8.9165654186296364E-2</v>
      </c>
      <c r="F98" s="115">
        <f t="shared" si="8"/>
        <v>0.11917878069442428</v>
      </c>
      <c r="G98" s="115">
        <f t="shared" si="9"/>
        <v>0.26984427520562304</v>
      </c>
      <c r="H98" s="115">
        <f t="shared" si="6"/>
        <v>0.29985740171375097</v>
      </c>
      <c r="I98" s="115" t="str">
        <f>IFERROR(VLOOKUP(B98,CDS!$B$8:$D$97,3,FALSE),"NA")</f>
        <v>NA</v>
      </c>
      <c r="J98" s="115" t="str">
        <f t="shared" si="10"/>
        <v>NA</v>
      </c>
      <c r="K98" s="115" t="str">
        <f t="shared" si="11"/>
        <v>NA</v>
      </c>
    </row>
    <row r="99" spans="2:11" x14ac:dyDescent="0.25">
      <c r="B99" s="5" t="s">
        <v>141</v>
      </c>
      <c r="C99" s="5" t="str">
        <f>VLOOKUP(B99,RegionLookup!$B$3:$C$184,2,FALSE)</f>
        <v>Western Europe</v>
      </c>
      <c r="D99" s="44" t="str">
        <f>VLOOKUP(B99,'Ratings&amp;PRS'!$B$4:$C$160,2,FALSE)</f>
        <v>A2</v>
      </c>
      <c r="E99" s="115">
        <f t="shared" si="7"/>
        <v>8.3811058765187203E-3</v>
      </c>
      <c r="F99" s="115">
        <f t="shared" si="8"/>
        <v>3.8394232384646641E-2</v>
      </c>
      <c r="G99" s="115">
        <f t="shared" si="9"/>
        <v>2.536395276084186E-2</v>
      </c>
      <c r="H99" s="115">
        <f t="shared" si="6"/>
        <v>5.537707926896978E-2</v>
      </c>
      <c r="I99" s="115" t="str">
        <f>IFERROR(VLOOKUP(B99,CDS!$B$8:$D$97,3,FALSE),"NA")</f>
        <v>NA</v>
      </c>
      <c r="J99" s="115" t="str">
        <f t="shared" si="10"/>
        <v>NA</v>
      </c>
      <c r="K99" s="115" t="str">
        <f t="shared" si="11"/>
        <v>NA</v>
      </c>
    </row>
    <row r="100" spans="2:11" x14ac:dyDescent="0.25">
      <c r="B100" s="5" t="s">
        <v>169</v>
      </c>
      <c r="C100" s="5" t="str">
        <f>VLOOKUP(B100,RegionLookup!$B$3:$C$184,2,FALSE)</f>
        <v>Africa</v>
      </c>
      <c r="D100" s="44" t="str">
        <f>VLOOKUP(B100,'Ratings&amp;PRS'!$B$4:$C$160,2,FALSE)</f>
        <v>Baa3</v>
      </c>
      <c r="E100" s="115">
        <f t="shared" si="7"/>
        <v>2.1767594429291676E-2</v>
      </c>
      <c r="F100" s="115">
        <f t="shared" si="8"/>
        <v>5.1780720937419596E-2</v>
      </c>
      <c r="G100" s="115">
        <f t="shared" si="9"/>
        <v>6.5875821753853162E-2</v>
      </c>
      <c r="H100" s="115">
        <f t="shared" si="6"/>
        <v>9.5888948261981077E-2</v>
      </c>
      <c r="I100" s="115" t="str">
        <f>IFERROR(VLOOKUP(B100,CDS!$B$8:$D$97,3,FALSE),"NA")</f>
        <v>NA</v>
      </c>
      <c r="J100" s="115" t="str">
        <f t="shared" si="10"/>
        <v>NA</v>
      </c>
      <c r="K100" s="115" t="str">
        <f t="shared" si="11"/>
        <v>NA</v>
      </c>
    </row>
    <row r="101" spans="2:11" x14ac:dyDescent="0.25">
      <c r="B101" s="5" t="s">
        <v>112</v>
      </c>
      <c r="C101" s="5" t="str">
        <f>VLOOKUP(B101,RegionLookup!$B$3:$C$184,2,FALSE)</f>
        <v>Central and South America</v>
      </c>
      <c r="D101" s="44" t="str">
        <f>VLOOKUP(B101,'Ratings&amp;PRS'!$B$4:$C$160,2,FALSE)</f>
        <v>Baa2</v>
      </c>
      <c r="E101" s="115">
        <f t="shared" si="7"/>
        <v>1.885748822216712E-2</v>
      </c>
      <c r="F101" s="115">
        <f t="shared" si="8"/>
        <v>4.8870614730295039E-2</v>
      </c>
      <c r="G101" s="115">
        <f t="shared" si="9"/>
        <v>5.7068893711894185E-2</v>
      </c>
      <c r="H101" s="115">
        <f t="shared" si="6"/>
        <v>8.7082020220022108E-2</v>
      </c>
      <c r="I101" s="115">
        <f>IFERROR(VLOOKUP(B101,CDS!$B$8:$D$97,3,FALSE),"NA")</f>
        <v>1.6899999999999998E-2</v>
      </c>
      <c r="J101" s="115">
        <f t="shared" si="10"/>
        <v>5.1144897579587324E-2</v>
      </c>
      <c r="K101" s="115">
        <f t="shared" si="11"/>
        <v>8.1158024087715247E-2</v>
      </c>
    </row>
    <row r="102" spans="2:11" x14ac:dyDescent="0.25">
      <c r="B102" s="5" t="s">
        <v>135</v>
      </c>
      <c r="C102" s="5" t="str">
        <f>VLOOKUP(B102,RegionLookup!$B$3:$C$184,2,FALSE)</f>
        <v>Eastern Europe &amp; Russia</v>
      </c>
      <c r="D102" s="44" t="str">
        <f>VLOOKUP(B102,'Ratings&amp;PRS'!$B$4:$C$160,2,FALSE)</f>
        <v>B3</v>
      </c>
      <c r="E102" s="115">
        <f t="shared" si="7"/>
        <v>6.4371549301595152E-2</v>
      </c>
      <c r="F102" s="115">
        <f t="shared" si="8"/>
        <v>9.4384675809723068E-2</v>
      </c>
      <c r="G102" s="115">
        <f t="shared" si="9"/>
        <v>0.19480924828813256</v>
      </c>
      <c r="H102" s="115">
        <f t="shared" si="6"/>
        <v>0.22482237479626049</v>
      </c>
      <c r="I102" s="115" t="str">
        <f>IFERROR(VLOOKUP(B102,CDS!$B$8:$D$97,3,FALSE),"NA")</f>
        <v>NA</v>
      </c>
      <c r="J102" s="115" t="str">
        <f t="shared" si="10"/>
        <v>NA</v>
      </c>
      <c r="K102" s="115" t="str">
        <f t="shared" si="11"/>
        <v>NA</v>
      </c>
    </row>
    <row r="103" spans="2:11" x14ac:dyDescent="0.25">
      <c r="B103" s="5" t="s">
        <v>127</v>
      </c>
      <c r="C103" s="5" t="str">
        <f>VLOOKUP(B103,RegionLookup!$B$3:$C$184,2,FALSE)</f>
        <v>Asia</v>
      </c>
      <c r="D103" s="44" t="str">
        <f>VLOOKUP(B103,'Ratings&amp;PRS'!$B$4:$C$160,2,FALSE)</f>
        <v>B2</v>
      </c>
      <c r="E103" s="115">
        <f t="shared" si="7"/>
        <v>5.4477188197371677E-2</v>
      </c>
      <c r="F103" s="115">
        <f t="shared" si="8"/>
        <v>8.44903147054996E-2</v>
      </c>
      <c r="G103" s="115">
        <f t="shared" si="9"/>
        <v>0.16486569294547207</v>
      </c>
      <c r="H103" s="115">
        <f t="shared" si="6"/>
        <v>0.1948788194536</v>
      </c>
      <c r="I103" s="115">
        <f>IFERROR(VLOOKUP(B103,CDS!$B$8:$D$97,3,FALSE),"NA")</f>
        <v>4.2099999999999999E-2</v>
      </c>
      <c r="J103" s="115">
        <f t="shared" si="10"/>
        <v>0.12740829515388322</v>
      </c>
      <c r="K103" s="115">
        <f t="shared" si="11"/>
        <v>0.15742142166201115</v>
      </c>
    </row>
    <row r="104" spans="2:11" x14ac:dyDescent="0.25">
      <c r="B104" s="5" t="s">
        <v>140</v>
      </c>
      <c r="C104" s="5" t="str">
        <f>VLOOKUP(B104,RegionLookup!$B$3:$C$184,2,FALSE)</f>
        <v>Eastern Europe &amp; Russia</v>
      </c>
      <c r="D104" s="44" t="str">
        <f>VLOOKUP(B104,'Ratings&amp;PRS'!$B$4:$C$160,2,FALSE)</f>
        <v>B1</v>
      </c>
      <c r="E104" s="115">
        <f t="shared" si="7"/>
        <v>4.4582827093148182E-2</v>
      </c>
      <c r="F104" s="115">
        <f t="shared" si="8"/>
        <v>7.4595953601276105E-2</v>
      </c>
      <c r="G104" s="115">
        <f t="shared" si="9"/>
        <v>0.13492213760281152</v>
      </c>
      <c r="H104" s="115">
        <f t="shared" si="6"/>
        <v>0.16493526411093945</v>
      </c>
      <c r="I104" s="115" t="str">
        <f>IFERROR(VLOOKUP(B104,CDS!$B$8:$D$97,3,FALSE),"NA")</f>
        <v>NA</v>
      </c>
      <c r="J104" s="115" t="str">
        <f t="shared" si="10"/>
        <v>NA</v>
      </c>
      <c r="K104" s="115" t="str">
        <f t="shared" si="11"/>
        <v>NA</v>
      </c>
    </row>
    <row r="105" spans="2:11" x14ac:dyDescent="0.25">
      <c r="B105" s="5" t="s">
        <v>97</v>
      </c>
      <c r="C105" s="5" t="str">
        <f>VLOOKUP(B105,RegionLookup!$B$3:$C$184,2,FALSE)</f>
        <v>Caribbean</v>
      </c>
      <c r="D105" s="44" t="str">
        <f>VLOOKUP(B105,'Ratings&amp;PRS'!$B$4:$C$160,2,FALSE)</f>
        <v>Baa3</v>
      </c>
      <c r="E105" s="115">
        <f t="shared" si="7"/>
        <v>2.1767594429291676E-2</v>
      </c>
      <c r="F105" s="115">
        <f t="shared" si="8"/>
        <v>5.1780720937419596E-2</v>
      </c>
      <c r="G105" s="115">
        <f t="shared" si="9"/>
        <v>6.5875821753853162E-2</v>
      </c>
      <c r="H105" s="115">
        <f t="shared" si="6"/>
        <v>9.5888948261981077E-2</v>
      </c>
      <c r="I105" s="115" t="str">
        <f>IFERROR(VLOOKUP(B105,CDS!$B$8:$D$97,3,FALSE),"NA")</f>
        <v>NA</v>
      </c>
      <c r="J105" s="115" t="str">
        <f t="shared" si="10"/>
        <v>NA</v>
      </c>
      <c r="K105" s="115" t="str">
        <f t="shared" si="11"/>
        <v>NA</v>
      </c>
    </row>
    <row r="106" spans="2:11" x14ac:dyDescent="0.25">
      <c r="B106" s="5" t="s">
        <v>173</v>
      </c>
      <c r="C106" s="5" t="str">
        <f>VLOOKUP(B106,RegionLookup!$B$3:$C$184,2,FALSE)</f>
        <v>Africa</v>
      </c>
      <c r="D106" s="44" t="str">
        <f>VLOOKUP(B106,'Ratings&amp;PRS'!$B$4:$C$160,2,FALSE)</f>
        <v>Ba1</v>
      </c>
      <c r="E106" s="115">
        <f t="shared" si="7"/>
        <v>2.4794104884701216E-2</v>
      </c>
      <c r="F106" s="115">
        <f t="shared" si="8"/>
        <v>5.4807231392829135E-2</v>
      </c>
      <c r="G106" s="115">
        <f t="shared" si="9"/>
        <v>7.5035026917490505E-2</v>
      </c>
      <c r="H106" s="115">
        <f t="shared" si="6"/>
        <v>0.10504815342561842</v>
      </c>
      <c r="I106" s="115">
        <f>IFERROR(VLOOKUP(B106,CDS!$B$8:$D$97,3,FALSE),"NA")</f>
        <v>1.43E-2</v>
      </c>
      <c r="J106" s="115">
        <f t="shared" si="10"/>
        <v>4.3276451798112354E-2</v>
      </c>
      <c r="K106" s="115">
        <f t="shared" si="11"/>
        <v>7.3289578306240277E-2</v>
      </c>
    </row>
    <row r="107" spans="2:11" x14ac:dyDescent="0.25">
      <c r="B107" s="5" t="s">
        <v>177</v>
      </c>
      <c r="C107" s="5" t="str">
        <f>VLOOKUP(B107,RegionLookup!$B$3:$C$184,2,FALSE)</f>
        <v>Africa</v>
      </c>
      <c r="D107" s="44" t="str">
        <f>VLOOKUP(B107,'Ratings&amp;PRS'!$B$4:$C$160,2,FALSE)</f>
        <v>Caa2</v>
      </c>
      <c r="E107" s="115">
        <f t="shared" si="7"/>
        <v>8.9165654186296364E-2</v>
      </c>
      <c r="F107" s="115">
        <f t="shared" si="8"/>
        <v>0.11917878069442428</v>
      </c>
      <c r="G107" s="115">
        <f t="shared" si="9"/>
        <v>0.26984427520562304</v>
      </c>
      <c r="H107" s="115">
        <f t="shared" si="6"/>
        <v>0.29985740171375097</v>
      </c>
      <c r="I107" s="115" t="str">
        <f>IFERROR(VLOOKUP(B107,CDS!$B$8:$D$97,3,FALSE),"NA")</f>
        <v>NA</v>
      </c>
      <c r="J107" s="115" t="str">
        <f t="shared" si="10"/>
        <v>NA</v>
      </c>
      <c r="K107" s="115" t="str">
        <f t="shared" si="11"/>
        <v>NA</v>
      </c>
    </row>
    <row r="108" spans="2:11" x14ac:dyDescent="0.25">
      <c r="B108" s="5" t="s">
        <v>179</v>
      </c>
      <c r="C108" s="5" t="str">
        <f>VLOOKUP(B108,RegionLookup!$B$3:$C$184,2,FALSE)</f>
        <v>Africa</v>
      </c>
      <c r="D108" s="44" t="str">
        <f>VLOOKUP(B108,'Ratings&amp;PRS'!$B$4:$C$160,2,FALSE)</f>
        <v>B1</v>
      </c>
      <c r="E108" s="115">
        <f t="shared" si="7"/>
        <v>4.4582827093148182E-2</v>
      </c>
      <c r="F108" s="115">
        <f t="shared" si="8"/>
        <v>7.4595953601276105E-2</v>
      </c>
      <c r="G108" s="115">
        <f t="shared" si="9"/>
        <v>0.13492213760281152</v>
      </c>
      <c r="H108" s="115">
        <f t="shared" si="6"/>
        <v>0.16493526411093945</v>
      </c>
      <c r="I108" s="115">
        <f>IFERROR(VLOOKUP(B108,CDS!$B$8:$D$97,3,FALSE),"NA")</f>
        <v>3.4799999999999998E-2</v>
      </c>
      <c r="J108" s="115">
        <f t="shared" si="10"/>
        <v>0.10531612045974195</v>
      </c>
      <c r="K108" s="115">
        <f t="shared" si="11"/>
        <v>0.13532924696786988</v>
      </c>
    </row>
    <row r="109" spans="2:11" x14ac:dyDescent="0.25">
      <c r="B109" s="5" t="s">
        <v>138</v>
      </c>
      <c r="C109" s="5" t="str">
        <f>VLOOKUP(B109,RegionLookup!$B$3:$C$184,2,FALSE)</f>
        <v>Asia</v>
      </c>
      <c r="D109" s="44" t="str">
        <f>VLOOKUP(B109,'Ratings&amp;PRS'!$B$4:$C$160,2,FALSE)</f>
        <v>Ba3</v>
      </c>
      <c r="E109" s="115">
        <f t="shared" si="7"/>
        <v>3.5619699975204554E-2</v>
      </c>
      <c r="F109" s="115">
        <f t="shared" si="8"/>
        <v>6.5632826483332476E-2</v>
      </c>
      <c r="G109" s="115">
        <f t="shared" si="9"/>
        <v>0.10779679923357789</v>
      </c>
      <c r="H109" s="115">
        <f t="shared" si="6"/>
        <v>0.13780992574170581</v>
      </c>
      <c r="I109" s="115" t="str">
        <f>IFERROR(VLOOKUP(B109,CDS!$B$8:$D$97,3,FALSE),"NA")</f>
        <v>NA</v>
      </c>
      <c r="J109" s="115" t="str">
        <f t="shared" si="10"/>
        <v>NA</v>
      </c>
      <c r="K109" s="115" t="str">
        <f t="shared" si="11"/>
        <v>NA</v>
      </c>
    </row>
    <row r="110" spans="2:11" x14ac:dyDescent="0.25">
      <c r="B110" s="5" t="s">
        <v>146</v>
      </c>
      <c r="C110" s="5" t="str">
        <f>VLOOKUP(B110,RegionLookup!$B$3:$C$184,2,FALSE)</f>
        <v>Western Europe</v>
      </c>
      <c r="D110" s="44" t="str">
        <f>VLOOKUP(B110,'Ratings&amp;PRS'!$B$4:$C$160,2,FALSE)</f>
        <v>Aaa</v>
      </c>
      <c r="E110" s="115">
        <f t="shared" si="7"/>
        <v>0</v>
      </c>
      <c r="F110" s="115">
        <f t="shared" si="8"/>
        <v>3.0013126508127919E-2</v>
      </c>
      <c r="G110" s="115">
        <f t="shared" si="9"/>
        <v>0</v>
      </c>
      <c r="H110" s="115">
        <f t="shared" si="6"/>
        <v>3.0013126508127919E-2</v>
      </c>
      <c r="I110" s="115">
        <f>IFERROR(VLOOKUP(B110,CDS!$B$8:$D$97,3,FALSE),"NA")</f>
        <v>8.0000000000000015E-4</v>
      </c>
      <c r="J110" s="115">
        <f t="shared" si="10"/>
        <v>2.4210602404538388E-3</v>
      </c>
      <c r="K110" s="115">
        <f t="shared" si="11"/>
        <v>3.2434186748581756E-2</v>
      </c>
    </row>
    <row r="111" spans="2:11" x14ac:dyDescent="0.25">
      <c r="B111" s="5" t="s">
        <v>42</v>
      </c>
      <c r="C111" s="5" t="str">
        <f>VLOOKUP(B111,RegionLookup!$B$3:$C$184,2,FALSE)</f>
        <v>Australia &amp; New Zealand</v>
      </c>
      <c r="D111" s="44" t="str">
        <f>VLOOKUP(B111,'Ratings&amp;PRS'!$B$4:$C$160,2,FALSE)</f>
        <v>Aaa</v>
      </c>
      <c r="E111" s="115">
        <f t="shared" si="7"/>
        <v>0</v>
      </c>
      <c r="F111" s="115">
        <f t="shared" si="8"/>
        <v>3.0013126508127919E-2</v>
      </c>
      <c r="G111" s="115">
        <f t="shared" si="9"/>
        <v>0</v>
      </c>
      <c r="H111" s="115">
        <f t="shared" si="6"/>
        <v>3.0013126508127919E-2</v>
      </c>
      <c r="I111" s="115">
        <f>IFERROR(VLOOKUP(B111,CDS!$B$8:$D$97,3,FALSE),"NA")</f>
        <v>6.0000000000000006E-4</v>
      </c>
      <c r="J111" s="115">
        <f t="shared" si="10"/>
        <v>1.8157951803403787E-3</v>
      </c>
      <c r="K111" s="115">
        <f t="shared" si="11"/>
        <v>3.1828921688468299E-2</v>
      </c>
    </row>
    <row r="112" spans="2:11" x14ac:dyDescent="0.25">
      <c r="B112" s="5" t="s">
        <v>119</v>
      </c>
      <c r="C112" s="5" t="str">
        <f>VLOOKUP(B112,RegionLookup!$B$3:$C$184,2,FALSE)</f>
        <v>Central and South America</v>
      </c>
      <c r="D112" s="44" t="str">
        <f>VLOOKUP(B112,'Ratings&amp;PRS'!$B$4:$C$160,2,FALSE)</f>
        <v>B2</v>
      </c>
      <c r="E112" s="115">
        <f t="shared" si="7"/>
        <v>5.4477188197371677E-2</v>
      </c>
      <c r="F112" s="115">
        <f t="shared" si="8"/>
        <v>8.44903147054996E-2</v>
      </c>
      <c r="G112" s="115">
        <f t="shared" si="9"/>
        <v>0.16486569294547207</v>
      </c>
      <c r="H112" s="115">
        <f t="shared" si="6"/>
        <v>0.1948788194536</v>
      </c>
      <c r="I112" s="115">
        <f>IFERROR(VLOOKUP(B112,CDS!$B$8:$D$97,3,FALSE),"NA")</f>
        <v>6.2000000000000006E-2</v>
      </c>
      <c r="J112" s="115">
        <f t="shared" si="10"/>
        <v>0.18763216863517249</v>
      </c>
      <c r="K112" s="115">
        <f t="shared" si="11"/>
        <v>0.21764529514330042</v>
      </c>
    </row>
    <row r="113" spans="2:11" x14ac:dyDescent="0.25">
      <c r="B113" s="5" t="s">
        <v>181</v>
      </c>
      <c r="C113" s="5" t="str">
        <f>VLOOKUP(B113,RegionLookup!$B$3:$C$184,2,FALSE)</f>
        <v>Africa</v>
      </c>
      <c r="D113" s="44" t="str">
        <f>VLOOKUP(B113,'Ratings&amp;PRS'!$B$4:$C$160,2,FALSE)</f>
        <v>Caa3</v>
      </c>
      <c r="E113" s="115">
        <f t="shared" si="7"/>
        <v>9.9060015290519873E-2</v>
      </c>
      <c r="F113" s="115">
        <f t="shared" si="8"/>
        <v>0.12907314179864779</v>
      </c>
      <c r="G113" s="115">
        <f t="shared" si="9"/>
        <v>0.29978783054828367</v>
      </c>
      <c r="H113" s="115">
        <f t="shared" si="6"/>
        <v>0.3298009570564116</v>
      </c>
      <c r="I113" s="115" t="str">
        <f>IFERROR(VLOOKUP(B113,CDS!$B$8:$D$97,3,FALSE),"NA")</f>
        <v>NA</v>
      </c>
      <c r="J113" s="115" t="str">
        <f t="shared" si="10"/>
        <v>NA</v>
      </c>
      <c r="K113" s="115" t="str">
        <f t="shared" si="11"/>
        <v>NA</v>
      </c>
    </row>
    <row r="114" spans="2:11" x14ac:dyDescent="0.25">
      <c r="B114" s="5" t="s">
        <v>183</v>
      </c>
      <c r="C114" s="5" t="str">
        <f>VLOOKUP(B114,RegionLookup!$B$3:$C$184,2,FALSE)</f>
        <v>Africa</v>
      </c>
      <c r="D114" s="44" t="str">
        <f>VLOOKUP(B114,'Ratings&amp;PRS'!$B$4:$C$160,2,FALSE)</f>
        <v>Caa1</v>
      </c>
      <c r="E114" s="115">
        <f t="shared" si="7"/>
        <v>7.4265910405818647E-2</v>
      </c>
      <c r="F114" s="115">
        <f t="shared" si="8"/>
        <v>0.10427903691394656</v>
      </c>
      <c r="G114" s="115">
        <f t="shared" si="9"/>
        <v>0.22475280363079311</v>
      </c>
      <c r="H114" s="115">
        <f t="shared" si="6"/>
        <v>0.25476593013892102</v>
      </c>
      <c r="I114" s="115">
        <f>IFERROR(VLOOKUP(B114,CDS!$B$8:$D$97,3,FALSE),"NA")</f>
        <v>5.8799999999999998E-2</v>
      </c>
      <c r="J114" s="115">
        <f t="shared" si="10"/>
        <v>0.1779479276733571</v>
      </c>
      <c r="K114" s="115">
        <f t="shared" si="11"/>
        <v>0.20796105418148503</v>
      </c>
    </row>
    <row r="115" spans="2:11" x14ac:dyDescent="0.25">
      <c r="B115" s="5" t="s">
        <v>151</v>
      </c>
      <c r="C115" s="5" t="str">
        <f>VLOOKUP(B115,RegionLookup!$B$3:$C$184,2,FALSE)</f>
        <v>Western Europe</v>
      </c>
      <c r="D115" s="44" t="str">
        <f>VLOOKUP(B115,'Ratings&amp;PRS'!$B$4:$C$160,2,FALSE)</f>
        <v>Aaa</v>
      </c>
      <c r="E115" s="115">
        <f t="shared" si="7"/>
        <v>0</v>
      </c>
      <c r="F115" s="115">
        <f t="shared" si="8"/>
        <v>3.0013126508127919E-2</v>
      </c>
      <c r="G115" s="115">
        <f t="shared" si="9"/>
        <v>0</v>
      </c>
      <c r="H115" s="115">
        <f t="shared" si="6"/>
        <v>3.0013126508127919E-2</v>
      </c>
      <c r="I115" s="115">
        <f>IFERROR(VLOOKUP(B115,CDS!$B$8:$D$97,3,FALSE),"NA")</f>
        <v>5.0000000000000023E-4</v>
      </c>
      <c r="J115" s="115">
        <f t="shared" si="10"/>
        <v>1.5131626502836496E-3</v>
      </c>
      <c r="K115" s="115">
        <f t="shared" si="11"/>
        <v>3.1526289158411568E-2</v>
      </c>
    </row>
    <row r="116" spans="2:11" x14ac:dyDescent="0.25">
      <c r="B116" s="5" t="s">
        <v>79</v>
      </c>
      <c r="C116" s="5" t="str">
        <f>VLOOKUP(B116,RegionLookup!$B$3:$C$184,2,FALSE)</f>
        <v>Middle East</v>
      </c>
      <c r="D116" s="44" t="str">
        <f>VLOOKUP(B116,'Ratings&amp;PRS'!$B$4:$C$160,2,FALSE)</f>
        <v>Ba1</v>
      </c>
      <c r="E116" s="115">
        <f t="shared" si="7"/>
        <v>2.4794104884701216E-2</v>
      </c>
      <c r="F116" s="115">
        <f t="shared" si="8"/>
        <v>5.4807231392829135E-2</v>
      </c>
      <c r="G116" s="115">
        <f t="shared" si="9"/>
        <v>7.5035026917490505E-2</v>
      </c>
      <c r="H116" s="115">
        <f t="shared" si="6"/>
        <v>0.10504815342561842</v>
      </c>
      <c r="I116" s="115">
        <f>IFERROR(VLOOKUP(B116,CDS!$B$8:$D$97,3,FALSE),"NA")</f>
        <v>1.49E-2</v>
      </c>
      <c r="J116" s="115">
        <f t="shared" si="10"/>
        <v>4.5092246978452738E-2</v>
      </c>
      <c r="K116" s="115">
        <f t="shared" si="11"/>
        <v>7.5105373486580654E-2</v>
      </c>
    </row>
    <row r="117" spans="2:11" x14ac:dyDescent="0.25">
      <c r="B117" s="5" t="s">
        <v>143</v>
      </c>
      <c r="C117" s="5" t="str">
        <f>VLOOKUP(B117,RegionLookup!$B$3:$C$184,2,FALSE)</f>
        <v>Asia</v>
      </c>
      <c r="D117" s="44" t="str">
        <f>VLOOKUP(B117,'Ratings&amp;PRS'!$B$4:$C$160,2,FALSE)</f>
        <v>Caa2</v>
      </c>
      <c r="E117" s="115">
        <f t="shared" si="7"/>
        <v>8.9165654186296364E-2</v>
      </c>
      <c r="F117" s="115">
        <f t="shared" si="8"/>
        <v>0.11917878069442428</v>
      </c>
      <c r="G117" s="115">
        <f t="shared" si="9"/>
        <v>0.26984427520562304</v>
      </c>
      <c r="H117" s="115">
        <f t="shared" si="6"/>
        <v>0.29985740171375097</v>
      </c>
      <c r="I117" s="115">
        <f>IFERROR(VLOOKUP(B117,CDS!$B$8:$D$97,3,FALSE),"NA")</f>
        <v>7.4700000000000003E-2</v>
      </c>
      <c r="J117" s="115">
        <f t="shared" si="10"/>
        <v>0.22606649995237715</v>
      </c>
      <c r="K117" s="115">
        <f t="shared" si="11"/>
        <v>0.25607962646050508</v>
      </c>
    </row>
    <row r="118" spans="2:11" x14ac:dyDescent="0.25">
      <c r="B118" s="5" t="s">
        <v>126</v>
      </c>
      <c r="C118" s="5" t="str">
        <f>VLOOKUP(B118,RegionLookup!$B$3:$C$184,2,FALSE)</f>
        <v>Central and South America</v>
      </c>
      <c r="D118" s="44" t="str">
        <f>VLOOKUP(B118,'Ratings&amp;PRS'!$B$4:$C$160,2,FALSE)</f>
        <v>Baa3</v>
      </c>
      <c r="E118" s="115">
        <f t="shared" si="7"/>
        <v>2.1767594429291676E-2</v>
      </c>
      <c r="F118" s="115">
        <f t="shared" si="8"/>
        <v>5.1780720937419596E-2</v>
      </c>
      <c r="G118" s="115">
        <f t="shared" si="9"/>
        <v>6.5875821753853162E-2</v>
      </c>
      <c r="H118" s="115">
        <f t="shared" si="6"/>
        <v>9.5888948261981077E-2</v>
      </c>
      <c r="I118" s="115">
        <f>IFERROR(VLOOKUP(B118,CDS!$B$8:$D$97,3,FALSE),"NA")</f>
        <v>2.7900000000000001E-2</v>
      </c>
      <c r="J118" s="115">
        <f t="shared" si="10"/>
        <v>8.4434475885827615E-2</v>
      </c>
      <c r="K118" s="115">
        <f t="shared" si="11"/>
        <v>0.11444760239395553</v>
      </c>
    </row>
    <row r="119" spans="2:11" x14ac:dyDescent="0.25">
      <c r="B119" s="5" t="s">
        <v>148</v>
      </c>
      <c r="C119" s="5" t="str">
        <f>VLOOKUP(B119,RegionLookup!$B$3:$C$184,2,FALSE)</f>
        <v>Asia</v>
      </c>
      <c r="D119" s="44" t="str">
        <f>VLOOKUP(B119,'Ratings&amp;PRS'!$B$4:$C$160,2,FALSE)</f>
        <v>B2</v>
      </c>
      <c r="E119" s="115">
        <f t="shared" si="7"/>
        <v>5.4477188197371677E-2</v>
      </c>
      <c r="F119" s="115">
        <f t="shared" si="8"/>
        <v>8.44903147054996E-2</v>
      </c>
      <c r="G119" s="115">
        <f t="shared" si="9"/>
        <v>0.16486569294547207</v>
      </c>
      <c r="H119" s="115">
        <f t="shared" si="6"/>
        <v>0.1948788194536</v>
      </c>
      <c r="I119" s="115" t="str">
        <f>IFERROR(VLOOKUP(B119,CDS!$B$8:$D$97,3,FALSE),"NA")</f>
        <v>NA</v>
      </c>
      <c r="J119" s="115" t="str">
        <f t="shared" si="10"/>
        <v>NA</v>
      </c>
      <c r="K119" s="115" t="str">
        <f t="shared" si="11"/>
        <v>NA</v>
      </c>
    </row>
    <row r="120" spans="2:11" x14ac:dyDescent="0.25">
      <c r="B120" s="5" t="s">
        <v>132</v>
      </c>
      <c r="C120" s="5" t="str">
        <f>VLOOKUP(B120,RegionLookup!$B$3:$C$184,2,FALSE)</f>
        <v>Central and South America</v>
      </c>
      <c r="D120" s="44" t="str">
        <f>VLOOKUP(B120,'Ratings&amp;PRS'!$B$4:$C$160,2,FALSE)</f>
        <v>Baa3</v>
      </c>
      <c r="E120" s="115">
        <f t="shared" si="7"/>
        <v>2.1767594429291676E-2</v>
      </c>
      <c r="F120" s="115">
        <f t="shared" si="8"/>
        <v>5.1780720937419596E-2</v>
      </c>
      <c r="G120" s="115">
        <f t="shared" si="9"/>
        <v>6.5875821753853162E-2</v>
      </c>
      <c r="H120" s="115">
        <f t="shared" si="6"/>
        <v>9.5888948261981077E-2</v>
      </c>
      <c r="I120" s="115" t="str">
        <f>IFERROR(VLOOKUP(B120,CDS!$B$8:$D$97,3,FALSE),"NA")</f>
        <v>NA</v>
      </c>
      <c r="J120" s="115" t="str">
        <f t="shared" si="10"/>
        <v>NA</v>
      </c>
      <c r="K120" s="115" t="str">
        <f t="shared" si="11"/>
        <v>NA</v>
      </c>
    </row>
    <row r="121" spans="2:11" x14ac:dyDescent="0.25">
      <c r="B121" s="5" t="s">
        <v>137</v>
      </c>
      <c r="C121" s="5" t="str">
        <f>VLOOKUP(B121,RegionLookup!$B$3:$C$184,2,FALSE)</f>
        <v>Central and South America</v>
      </c>
      <c r="D121" s="44" t="str">
        <f>VLOOKUP(B121,'Ratings&amp;PRS'!$B$4:$C$160,2,FALSE)</f>
        <v>Baa1</v>
      </c>
      <c r="E121" s="115">
        <f t="shared" si="7"/>
        <v>1.5830977766757577E-2</v>
      </c>
      <c r="F121" s="115">
        <f t="shared" si="8"/>
        <v>4.58441042748855E-2</v>
      </c>
      <c r="G121" s="115">
        <f t="shared" si="9"/>
        <v>4.7909688548256828E-2</v>
      </c>
      <c r="H121" s="115">
        <f t="shared" si="6"/>
        <v>7.792281505638475E-2</v>
      </c>
      <c r="I121" s="115">
        <f>IFERROR(VLOOKUP(B121,CDS!$B$8:$D$97,3,FALSE),"NA")</f>
        <v>1.2199999999999999E-2</v>
      </c>
      <c r="J121" s="115">
        <f t="shared" si="10"/>
        <v>3.692116866692103E-2</v>
      </c>
      <c r="K121" s="115">
        <f t="shared" si="11"/>
        <v>6.6934295175048952E-2</v>
      </c>
    </row>
    <row r="122" spans="2:11" x14ac:dyDescent="0.25">
      <c r="B122" s="5" t="s">
        <v>153</v>
      </c>
      <c r="C122" s="5" t="str">
        <f>VLOOKUP(B122,RegionLookup!$B$3:$C$184,2,FALSE)</f>
        <v>Asia</v>
      </c>
      <c r="D122" s="44" t="str">
        <f>VLOOKUP(B122,'Ratings&amp;PRS'!$B$4:$C$160,2,FALSE)</f>
        <v>Baa2</v>
      </c>
      <c r="E122" s="115">
        <f t="shared" si="7"/>
        <v>1.885748822216712E-2</v>
      </c>
      <c r="F122" s="115">
        <f t="shared" si="8"/>
        <v>4.8870614730295039E-2</v>
      </c>
      <c r="G122" s="115">
        <f t="shared" si="9"/>
        <v>5.7068893711894185E-2</v>
      </c>
      <c r="H122" s="115">
        <f t="shared" si="6"/>
        <v>8.7082020220022108E-2</v>
      </c>
      <c r="I122" s="115">
        <f>IFERROR(VLOOKUP(B122,CDS!$B$8:$D$97,3,FALSE),"NA")</f>
        <v>9.7999999999999997E-3</v>
      </c>
      <c r="J122" s="115">
        <f t="shared" si="10"/>
        <v>2.9657987945559516E-2</v>
      </c>
      <c r="K122" s="115">
        <f t="shared" si="11"/>
        <v>5.9671114453687432E-2</v>
      </c>
    </row>
    <row r="123" spans="2:11" x14ac:dyDescent="0.25">
      <c r="B123" s="5" t="s">
        <v>145</v>
      </c>
      <c r="C123" s="5" t="str">
        <f>VLOOKUP(B123,RegionLookup!$B$3:$C$184,2,FALSE)</f>
        <v>Eastern Europe &amp; Russia</v>
      </c>
      <c r="D123" s="44" t="str">
        <f>VLOOKUP(B123,'Ratings&amp;PRS'!$B$4:$C$160,2,FALSE)</f>
        <v>A2</v>
      </c>
      <c r="E123" s="115">
        <f t="shared" si="7"/>
        <v>8.3811058765187203E-3</v>
      </c>
      <c r="F123" s="115">
        <f t="shared" si="8"/>
        <v>3.8394232384646641E-2</v>
      </c>
      <c r="G123" s="115">
        <f t="shared" si="9"/>
        <v>2.536395276084186E-2</v>
      </c>
      <c r="H123" s="115">
        <f t="shared" si="6"/>
        <v>5.537707926896978E-2</v>
      </c>
      <c r="I123" s="115">
        <f>IFERROR(VLOOKUP(B123,CDS!$B$8:$D$97,3,FALSE),"NA")</f>
        <v>9.2999999999999992E-3</v>
      </c>
      <c r="J123" s="115">
        <f t="shared" si="10"/>
        <v>2.8144825295275865E-2</v>
      </c>
      <c r="K123" s="115">
        <f t="shared" si="11"/>
        <v>5.8157951803403787E-2</v>
      </c>
    </row>
    <row r="124" spans="2:11" x14ac:dyDescent="0.25">
      <c r="B124" s="5" t="s">
        <v>156</v>
      </c>
      <c r="C124" s="5" t="str">
        <f>VLOOKUP(B124,RegionLookup!$B$3:$C$184,2,FALSE)</f>
        <v>Western Europe</v>
      </c>
      <c r="D124" s="44" t="str">
        <f>VLOOKUP(B124,'Ratings&amp;PRS'!$B$4:$C$160,2,FALSE)</f>
        <v>A3</v>
      </c>
      <c r="E124" s="115">
        <f t="shared" si="7"/>
        <v>1.1873233325068186E-2</v>
      </c>
      <c r="F124" s="115">
        <f t="shared" si="8"/>
        <v>4.1886359833196107E-2</v>
      </c>
      <c r="G124" s="115">
        <f t="shared" si="9"/>
        <v>3.5932266411192633E-2</v>
      </c>
      <c r="H124" s="115">
        <f t="shared" si="6"/>
        <v>6.5945392919320556E-2</v>
      </c>
      <c r="I124" s="115">
        <f>IFERROR(VLOOKUP(B124,CDS!$B$8:$D$97,3,FALSE),"NA")</f>
        <v>3.7999999999999996E-3</v>
      </c>
      <c r="J124" s="115">
        <f t="shared" si="10"/>
        <v>1.150003614215573E-2</v>
      </c>
      <c r="K124" s="115">
        <f t="shared" si="11"/>
        <v>4.1513162650283653E-2</v>
      </c>
    </row>
    <row r="125" spans="2:11" x14ac:dyDescent="0.25">
      <c r="B125" s="5" t="s">
        <v>86</v>
      </c>
      <c r="C125" s="5" t="str">
        <f>VLOOKUP(B125,RegionLookup!$B$3:$C$184,2,FALSE)</f>
        <v>Middle East</v>
      </c>
      <c r="D125" s="44" t="str">
        <f>VLOOKUP(B125,'Ratings&amp;PRS'!$B$4:$C$160,2,FALSE)</f>
        <v>Aa2</v>
      </c>
      <c r="E125" s="115">
        <f t="shared" si="7"/>
        <v>4.8889784279692525E-3</v>
      </c>
      <c r="F125" s="115">
        <f t="shared" si="8"/>
        <v>3.4902104936097175E-2</v>
      </c>
      <c r="G125" s="115">
        <f t="shared" si="9"/>
        <v>1.4795639110491083E-2</v>
      </c>
      <c r="H125" s="115">
        <f t="shared" si="6"/>
        <v>4.4808765618619004E-2</v>
      </c>
      <c r="I125" s="115">
        <f>IFERROR(VLOOKUP(B125,CDS!$B$8:$D$97,3,FALSE),"NA")</f>
        <v>5.0999999999999995E-3</v>
      </c>
      <c r="J125" s="115">
        <f t="shared" si="10"/>
        <v>1.5434259032893216E-2</v>
      </c>
      <c r="K125" s="115">
        <f t="shared" si="11"/>
        <v>4.5447385541021137E-2</v>
      </c>
    </row>
    <row r="126" spans="2:11" x14ac:dyDescent="0.25">
      <c r="B126" s="5" t="s">
        <v>93</v>
      </c>
      <c r="C126" s="5" t="str">
        <f>VLOOKUP(B126,RegionLookup!$B$3:$C$184,2,FALSE)</f>
        <v>Middle East</v>
      </c>
      <c r="D126" s="44" t="str">
        <f>VLOOKUP(B126,'Ratings&amp;PRS'!$B$4:$C$160,2,FALSE)</f>
        <v>A3</v>
      </c>
      <c r="E126" s="115">
        <f t="shared" si="7"/>
        <v>1.1873233325068186E-2</v>
      </c>
      <c r="F126" s="115">
        <f t="shared" si="8"/>
        <v>4.1886359833196107E-2</v>
      </c>
      <c r="G126" s="115">
        <f t="shared" si="9"/>
        <v>3.5932266411192633E-2</v>
      </c>
      <c r="H126" s="115">
        <f t="shared" si="6"/>
        <v>6.5945392919320556E-2</v>
      </c>
      <c r="I126" s="115" t="str">
        <f>IFERROR(VLOOKUP(B126,CDS!$B$8:$D$97,3,FALSE),"NA")</f>
        <v>NA</v>
      </c>
      <c r="J126" s="115" t="str">
        <f t="shared" si="10"/>
        <v>NA</v>
      </c>
      <c r="K126" s="115" t="str">
        <f t="shared" si="11"/>
        <v>NA</v>
      </c>
    </row>
    <row r="127" spans="2:11" x14ac:dyDescent="0.25">
      <c r="B127" s="5" t="s">
        <v>150</v>
      </c>
      <c r="C127" s="5" t="str">
        <f>VLOOKUP(B127,RegionLookup!$B$3:$C$184,2,FALSE)</f>
        <v>Eastern Europe &amp; Russia</v>
      </c>
      <c r="D127" s="44" t="str">
        <f>VLOOKUP(B127,'Ratings&amp;PRS'!$B$4:$C$160,2,FALSE)</f>
        <v>Baa3</v>
      </c>
      <c r="E127" s="115">
        <f t="shared" si="7"/>
        <v>2.1767594429291676E-2</v>
      </c>
      <c r="F127" s="115">
        <f t="shared" si="8"/>
        <v>5.1780720937419596E-2</v>
      </c>
      <c r="G127" s="115">
        <f t="shared" si="9"/>
        <v>6.5875821753853162E-2</v>
      </c>
      <c r="H127" s="115">
        <f t="shared" si="6"/>
        <v>9.5888948261981077E-2</v>
      </c>
      <c r="I127" s="115">
        <f>IFERROR(VLOOKUP(B127,CDS!$B$8:$D$97,3,FALSE),"NA")</f>
        <v>2.5000000000000001E-2</v>
      </c>
      <c r="J127" s="115">
        <f t="shared" si="10"/>
        <v>7.565813251418245E-2</v>
      </c>
      <c r="K127" s="115">
        <f t="shared" si="11"/>
        <v>0.10567125902231037</v>
      </c>
    </row>
    <row r="128" spans="2:11" x14ac:dyDescent="0.25">
      <c r="B128" s="5" t="s">
        <v>185</v>
      </c>
      <c r="C128" s="5" t="str">
        <f>VLOOKUP(B128,RegionLookup!$B$3:$C$184,2,FALSE)</f>
        <v>Africa</v>
      </c>
      <c r="D128" s="44" t="str">
        <f>VLOOKUP(B128,'Ratings&amp;PRS'!$B$4:$C$160,2,FALSE)</f>
        <v>B2</v>
      </c>
      <c r="E128" s="115">
        <f t="shared" si="7"/>
        <v>5.4477188197371677E-2</v>
      </c>
      <c r="F128" s="115">
        <f t="shared" si="8"/>
        <v>8.44903147054996E-2</v>
      </c>
      <c r="G128" s="115">
        <f t="shared" si="9"/>
        <v>0.16486569294547207</v>
      </c>
      <c r="H128" s="115">
        <f t="shared" si="6"/>
        <v>0.1948788194536</v>
      </c>
      <c r="I128" s="115">
        <f>IFERROR(VLOOKUP(B128,CDS!$B$8:$D$97,3,FALSE),"NA")</f>
        <v>5.2600000000000001E-2</v>
      </c>
      <c r="J128" s="115">
        <f t="shared" si="10"/>
        <v>0.15918471080983987</v>
      </c>
      <c r="K128" s="115">
        <f t="shared" si="11"/>
        <v>0.1891978373179678</v>
      </c>
    </row>
    <row r="129" spans="2:11" x14ac:dyDescent="0.25">
      <c r="B129" s="5" t="s">
        <v>100</v>
      </c>
      <c r="C129" s="5" t="str">
        <f>VLOOKUP(B129,RegionLookup!$B$3:$C$184,2,FALSE)</f>
        <v>Middle East</v>
      </c>
      <c r="D129" s="44" t="str">
        <f>VLOOKUP(B129,'Ratings&amp;PRS'!$B$4:$C$160,2,FALSE)</f>
        <v>Aa3</v>
      </c>
      <c r="E129" s="115">
        <f t="shared" si="7"/>
        <v>5.9366166625340932E-3</v>
      </c>
      <c r="F129" s="115">
        <f t="shared" si="8"/>
        <v>3.5949743170662012E-2</v>
      </c>
      <c r="G129" s="115">
        <f t="shared" si="9"/>
        <v>1.7966133205596316E-2</v>
      </c>
      <c r="H129" s="115">
        <f t="shared" si="6"/>
        <v>4.7979259713724236E-2</v>
      </c>
      <c r="I129" s="115">
        <f>IFERROR(VLOOKUP(B129,CDS!$B$8:$D$97,3,FALSE),"NA")</f>
        <v>9.4999999999999998E-3</v>
      </c>
      <c r="J129" s="115">
        <f t="shared" si="10"/>
        <v>2.8750090355389328E-2</v>
      </c>
      <c r="K129" s="115">
        <f t="shared" si="11"/>
        <v>5.8763216863517251E-2</v>
      </c>
    </row>
    <row r="130" spans="2:11" x14ac:dyDescent="0.25">
      <c r="B130" s="5" t="s">
        <v>186</v>
      </c>
      <c r="C130" s="5" t="str">
        <f>VLOOKUP(B130,RegionLookup!$B$3:$C$184,2,FALSE)</f>
        <v>Africa</v>
      </c>
      <c r="D130" s="44" t="str">
        <f>VLOOKUP(B130,'Ratings&amp;PRS'!$B$4:$C$160,2,FALSE)</f>
        <v>B1</v>
      </c>
      <c r="E130" s="115">
        <f t="shared" si="7"/>
        <v>4.4582827093148182E-2</v>
      </c>
      <c r="F130" s="115">
        <f t="shared" si="8"/>
        <v>7.4595953601276105E-2</v>
      </c>
      <c r="G130" s="115">
        <f t="shared" si="9"/>
        <v>0.13492213760281152</v>
      </c>
      <c r="H130" s="115">
        <f t="shared" si="6"/>
        <v>0.16493526411093945</v>
      </c>
      <c r="I130" s="115">
        <f>IFERROR(VLOOKUP(B130,CDS!$B$8:$D$97,3,FALSE),"NA")</f>
        <v>7.6600000000000001E-2</v>
      </c>
      <c r="J130" s="115">
        <f t="shared" si="10"/>
        <v>0.23181651802345501</v>
      </c>
      <c r="K130" s="115">
        <f t="shared" si="11"/>
        <v>0.26182964453158292</v>
      </c>
    </row>
    <row r="131" spans="2:11" x14ac:dyDescent="0.25">
      <c r="B131" s="5" t="s">
        <v>162</v>
      </c>
      <c r="C131" s="5" t="str">
        <f>VLOOKUP(B131,RegionLookup!$B$3:$C$184,2,FALSE)</f>
        <v>Eastern Europe &amp; Russia</v>
      </c>
      <c r="D131" s="44" t="str">
        <f>VLOOKUP(B131,'Ratings&amp;PRS'!$B$4:$C$160,2,FALSE)</f>
        <v>Ba2</v>
      </c>
      <c r="E131" s="115">
        <f t="shared" si="7"/>
        <v>2.9799487560955448E-2</v>
      </c>
      <c r="F131" s="115">
        <f t="shared" si="8"/>
        <v>5.9812614069083364E-2</v>
      </c>
      <c r="G131" s="115">
        <f t="shared" si="9"/>
        <v>9.0182943149659939E-2</v>
      </c>
      <c r="H131" s="115">
        <f t="shared" si="6"/>
        <v>0.12019606965778785</v>
      </c>
      <c r="I131" s="115">
        <f>IFERROR(VLOOKUP(B131,CDS!$B$8:$D$97,3,FALSE),"NA")</f>
        <v>2.1299999999999999E-2</v>
      </c>
      <c r="J131" s="115">
        <f t="shared" si="10"/>
        <v>6.4460728902083445E-2</v>
      </c>
      <c r="K131" s="115">
        <f t="shared" si="11"/>
        <v>9.447385541021136E-2</v>
      </c>
    </row>
    <row r="132" spans="2:11" x14ac:dyDescent="0.25">
      <c r="B132" s="5" t="s">
        <v>107</v>
      </c>
      <c r="C132" s="5" t="str">
        <f>VLOOKUP(B132,RegionLookup!$B$3:$C$184,2,FALSE)</f>
        <v>Middle East</v>
      </c>
      <c r="D132" s="44" t="str">
        <f>VLOOKUP(B132,'Ratings&amp;PRS'!$B$4:$C$160,2,FALSE)</f>
        <v>Ba1</v>
      </c>
      <c r="E132" s="115">
        <f t="shared" si="7"/>
        <v>2.4794104884701216E-2</v>
      </c>
      <c r="F132" s="115">
        <f t="shared" si="8"/>
        <v>5.4807231392829135E-2</v>
      </c>
      <c r="G132" s="115">
        <f t="shared" si="9"/>
        <v>7.5035026917490505E-2</v>
      </c>
      <c r="H132" s="115">
        <f t="shared" si="6"/>
        <v>0.10504815342561842</v>
      </c>
      <c r="I132" s="115" t="str">
        <f>IFERROR(VLOOKUP(B132,CDS!$B$8:$D$97,3,FALSE),"NA")</f>
        <v>NA</v>
      </c>
      <c r="J132" s="115" t="str">
        <f t="shared" si="10"/>
        <v>NA</v>
      </c>
      <c r="K132" s="115" t="str">
        <f t="shared" si="11"/>
        <v>NA</v>
      </c>
    </row>
    <row r="133" spans="2:11" x14ac:dyDescent="0.25">
      <c r="B133" s="5" t="s">
        <v>157</v>
      </c>
      <c r="C133" s="5" t="str">
        <f>VLOOKUP(B133,RegionLookup!$B$3:$C$184,2,FALSE)</f>
        <v>Asia</v>
      </c>
      <c r="D133" s="44" t="str">
        <f>VLOOKUP(B133,'Ratings&amp;PRS'!$B$4:$C$160,2,FALSE)</f>
        <v>Aaa</v>
      </c>
      <c r="E133" s="115">
        <f t="shared" si="7"/>
        <v>0</v>
      </c>
      <c r="F133" s="115">
        <f t="shared" si="8"/>
        <v>3.0013126508127919E-2</v>
      </c>
      <c r="G133" s="115">
        <f t="shared" si="9"/>
        <v>0</v>
      </c>
      <c r="H133" s="115">
        <f t="shared" si="6"/>
        <v>3.0013126508127919E-2</v>
      </c>
      <c r="I133" s="115" t="str">
        <f>IFERROR(VLOOKUP(B133,CDS!$B$8:$D$97,3,FALSE),"NA")</f>
        <v>NA</v>
      </c>
      <c r="J133" s="115" t="str">
        <f t="shared" si="10"/>
        <v>NA</v>
      </c>
      <c r="K133" s="115" t="str">
        <f t="shared" si="11"/>
        <v>NA</v>
      </c>
    </row>
    <row r="134" spans="2:11" x14ac:dyDescent="0.25">
      <c r="B134" s="5" t="s">
        <v>166</v>
      </c>
      <c r="C134" s="5" t="str">
        <f>VLOOKUP(B134,RegionLookup!$B$3:$C$184,2,FALSE)</f>
        <v>Eastern Europe &amp; Russia</v>
      </c>
      <c r="D134" s="44" t="str">
        <f>VLOOKUP(B134,'Ratings&amp;PRS'!$B$4:$C$160,2,FALSE)</f>
        <v>A3</v>
      </c>
      <c r="E134" s="115">
        <f t="shared" si="7"/>
        <v>1.1873233325068186E-2</v>
      </c>
      <c r="F134" s="115">
        <f t="shared" si="8"/>
        <v>4.1886359833196107E-2</v>
      </c>
      <c r="G134" s="115">
        <f t="shared" si="9"/>
        <v>3.5932266411192633E-2</v>
      </c>
      <c r="H134" s="115">
        <f t="shared" si="6"/>
        <v>6.5945392919320556E-2</v>
      </c>
      <c r="I134" s="115">
        <f>IFERROR(VLOOKUP(B134,CDS!$B$8:$D$97,3,FALSE),"NA")</f>
        <v>4.4000000000000003E-3</v>
      </c>
      <c r="J134" s="115">
        <f t="shared" si="10"/>
        <v>1.331583132249611E-2</v>
      </c>
      <c r="K134" s="115">
        <f t="shared" si="11"/>
        <v>4.3328957830624029E-2</v>
      </c>
    </row>
    <row r="135" spans="2:11" x14ac:dyDescent="0.25">
      <c r="B135" s="5" t="s">
        <v>170</v>
      </c>
      <c r="C135" s="5" t="str">
        <f>VLOOKUP(B135,RegionLookup!$B$3:$C$184,2,FALSE)</f>
        <v>Eastern Europe &amp; Russia</v>
      </c>
      <c r="D135" s="44" t="str">
        <f>VLOOKUP(B135,'Ratings&amp;PRS'!$B$4:$C$160,2,FALSE)</f>
        <v>A3</v>
      </c>
      <c r="E135" s="115">
        <f t="shared" si="7"/>
        <v>1.1873233325068186E-2</v>
      </c>
      <c r="F135" s="115">
        <f t="shared" si="8"/>
        <v>4.1886359833196107E-2</v>
      </c>
      <c r="G135" s="115">
        <f t="shared" si="9"/>
        <v>3.5932266411192633E-2</v>
      </c>
      <c r="H135" s="115">
        <f t="shared" si="6"/>
        <v>6.5945392919320556E-2</v>
      </c>
      <c r="I135" s="115">
        <f>IFERROR(VLOOKUP(B135,CDS!$B$8:$D$97,3,FALSE),"NA")</f>
        <v>5.3E-3</v>
      </c>
      <c r="J135" s="115">
        <f t="shared" si="10"/>
        <v>1.6039524093006678E-2</v>
      </c>
      <c r="K135" s="115">
        <f t="shared" si="11"/>
        <v>4.6052650601134601E-2</v>
      </c>
    </row>
    <row r="136" spans="2:11" x14ac:dyDescent="0.25">
      <c r="B136" s="5" t="s">
        <v>160</v>
      </c>
      <c r="C136" s="5" t="str">
        <f>VLOOKUP(B136,RegionLookup!$B$3:$C$184,2,FALSE)</f>
        <v>Asia</v>
      </c>
      <c r="D136" s="44" t="str">
        <f>VLOOKUP(B136,'Ratings&amp;PRS'!$B$4:$C$160,2,FALSE)</f>
        <v>Caa1</v>
      </c>
      <c r="E136" s="115">
        <f t="shared" ref="E136:E164" si="12">VLOOKUP(D136,$N$8:$O$30,2,FALSE)/10000</f>
        <v>7.4265910405818647E-2</v>
      </c>
      <c r="F136" s="115">
        <f t="shared" ref="F136:F164" si="13">$E$3+E136</f>
        <v>0.10427903691394656</v>
      </c>
      <c r="G136" s="115">
        <f t="shared" ref="G136:G164" si="14">E136*$E$4</f>
        <v>0.22475280363079311</v>
      </c>
      <c r="H136" s="115">
        <f t="shared" ref="H136:H164" si="15">$E$3+G136</f>
        <v>0.25476593013892102</v>
      </c>
      <c r="I136" s="115" t="str">
        <f>IFERROR(VLOOKUP(B136,CDS!$B$8:$D$97,3,FALSE),"NA")</f>
        <v>NA</v>
      </c>
      <c r="J136" s="115" t="str">
        <f t="shared" si="10"/>
        <v>NA</v>
      </c>
      <c r="K136" s="115" t="str">
        <f t="shared" ref="K136:K164" si="16">IF(J136="NA","NA",$E$3+J136)</f>
        <v>NA</v>
      </c>
    </row>
    <row r="137" spans="2:11" x14ac:dyDescent="0.25">
      <c r="B137" s="5" t="s">
        <v>189</v>
      </c>
      <c r="C137" s="5" t="str">
        <f>VLOOKUP(B137,RegionLookup!$B$3:$C$184,2,FALSE)</f>
        <v>Africa</v>
      </c>
      <c r="D137" s="44" t="str">
        <f>VLOOKUP(B137,'Ratings&amp;PRS'!$B$4:$C$160,2,FALSE)</f>
        <v>Ba2</v>
      </c>
      <c r="E137" s="115">
        <f t="shared" si="12"/>
        <v>2.9799487560955448E-2</v>
      </c>
      <c r="F137" s="115">
        <f t="shared" si="13"/>
        <v>5.9812614069083364E-2</v>
      </c>
      <c r="G137" s="115">
        <f t="shared" si="14"/>
        <v>9.0182943149659939E-2</v>
      </c>
      <c r="H137" s="115">
        <f t="shared" si="15"/>
        <v>0.12019606965778785</v>
      </c>
      <c r="I137" s="115">
        <f>IFERROR(VLOOKUP(B137,CDS!$B$8:$D$97,3,FALSE),"NA")</f>
        <v>2.8399999999999998E-2</v>
      </c>
      <c r="J137" s="115">
        <f t="shared" ref="J137:J164" si="17">IF(I137="NA","NA",$E$4*I137)</f>
        <v>8.5947638536111245E-2</v>
      </c>
      <c r="K137" s="115">
        <f t="shared" si="16"/>
        <v>0.11596076504423916</v>
      </c>
    </row>
    <row r="138" spans="2:11" x14ac:dyDescent="0.25">
      <c r="B138" s="5" t="s">
        <v>159</v>
      </c>
      <c r="C138" s="5" t="str">
        <f>VLOOKUP(B138,RegionLookup!$B$3:$C$184,2,FALSE)</f>
        <v>Western Europe</v>
      </c>
      <c r="D138" s="44" t="str">
        <f>VLOOKUP(B138,'Ratings&amp;PRS'!$B$4:$C$160,2,FALSE)</f>
        <v>Baa1</v>
      </c>
      <c r="E138" s="115">
        <f t="shared" si="12"/>
        <v>1.5830977766757577E-2</v>
      </c>
      <c r="F138" s="115">
        <f t="shared" si="13"/>
        <v>4.58441042748855E-2</v>
      </c>
      <c r="G138" s="115">
        <f t="shared" si="14"/>
        <v>4.7909688548256828E-2</v>
      </c>
      <c r="H138" s="115">
        <f t="shared" si="15"/>
        <v>7.792281505638475E-2</v>
      </c>
      <c r="I138" s="115">
        <f>IFERROR(VLOOKUP(B138,CDS!$B$8:$D$97,3,FALSE),"NA")</f>
        <v>4.7000000000000002E-3</v>
      </c>
      <c r="J138" s="115">
        <f t="shared" si="17"/>
        <v>1.42237289126663E-2</v>
      </c>
      <c r="K138" s="115">
        <f t="shared" si="16"/>
        <v>4.4236855420794217E-2</v>
      </c>
    </row>
    <row r="139" spans="2:11" x14ac:dyDescent="0.25">
      <c r="B139" s="5" t="s">
        <v>164</v>
      </c>
      <c r="C139" s="5" t="str">
        <f>VLOOKUP(B139,RegionLookup!$B$3:$C$184,2,FALSE)</f>
        <v>Asia</v>
      </c>
      <c r="D139" s="44" t="str">
        <f>VLOOKUP(B139,'Ratings&amp;PRS'!$B$4:$C$160,2,FALSE)</f>
        <v>Ca</v>
      </c>
      <c r="E139" s="115">
        <f t="shared" si="12"/>
        <v>0.11884873749896685</v>
      </c>
      <c r="F139" s="115">
        <f t="shared" si="13"/>
        <v>0.14886186400709478</v>
      </c>
      <c r="G139" s="115">
        <f t="shared" si="14"/>
        <v>0.35967494123360472</v>
      </c>
      <c r="H139" s="115">
        <f t="shared" si="15"/>
        <v>0.38968806774173265</v>
      </c>
      <c r="I139" s="115">
        <f>IFERROR(VLOOKUP(B139,CDS!$B$8:$D$97,3,FALSE),"NA")</f>
        <v>4.6899999999999997E-2</v>
      </c>
      <c r="J139" s="115">
        <f t="shared" si="17"/>
        <v>0.14193465659660626</v>
      </c>
      <c r="K139" s="115">
        <f t="shared" si="16"/>
        <v>0.17194778310473419</v>
      </c>
    </row>
    <row r="140" spans="2:11" x14ac:dyDescent="0.25">
      <c r="B140" s="5" t="s">
        <v>104</v>
      </c>
      <c r="C140" s="5" t="str">
        <f>VLOOKUP(B140,RegionLookup!$B$3:$C$184,2,FALSE)</f>
        <v>Caribbean</v>
      </c>
      <c r="D140" s="44" t="str">
        <f>VLOOKUP(B140,'Ratings&amp;PRS'!$B$4:$C$160,2,FALSE)</f>
        <v>Ba2</v>
      </c>
      <c r="E140" s="115">
        <f t="shared" si="12"/>
        <v>2.9799487560955448E-2</v>
      </c>
      <c r="F140" s="115">
        <f t="shared" si="13"/>
        <v>5.9812614069083364E-2</v>
      </c>
      <c r="G140" s="115">
        <f t="shared" si="14"/>
        <v>9.0182943149659939E-2</v>
      </c>
      <c r="H140" s="115">
        <f t="shared" si="15"/>
        <v>0.12019606965778785</v>
      </c>
      <c r="I140" s="115" t="str">
        <f>IFERROR(VLOOKUP(B140,CDS!$B$8:$D$97,3,FALSE),"NA")</f>
        <v>NA</v>
      </c>
      <c r="J140" s="115" t="str">
        <f t="shared" si="17"/>
        <v>NA</v>
      </c>
      <c r="K140" s="115" t="str">
        <f t="shared" si="16"/>
        <v>NA</v>
      </c>
    </row>
    <row r="141" spans="2:11" x14ac:dyDescent="0.25">
      <c r="B141" s="5" t="s">
        <v>111</v>
      </c>
      <c r="C141" s="5" t="str">
        <f>VLOOKUP(B141,RegionLookup!$B$3:$C$184,2,FALSE)</f>
        <v>Caribbean</v>
      </c>
      <c r="D141" s="44" t="str">
        <f>VLOOKUP(B141,'Ratings&amp;PRS'!$B$4:$C$160,2,FALSE)</f>
        <v>B3</v>
      </c>
      <c r="E141" s="115">
        <f t="shared" si="12"/>
        <v>6.4371549301595152E-2</v>
      </c>
      <c r="F141" s="115">
        <f t="shared" si="13"/>
        <v>9.4384675809723068E-2</v>
      </c>
      <c r="G141" s="115">
        <f t="shared" si="14"/>
        <v>0.19480924828813256</v>
      </c>
      <c r="H141" s="115">
        <f t="shared" si="15"/>
        <v>0.22482237479626049</v>
      </c>
      <c r="I141" s="115" t="str">
        <f>IFERROR(VLOOKUP(B141,CDS!$B$8:$D$97,3,FALSE),"NA")</f>
        <v>NA</v>
      </c>
      <c r="J141" s="115" t="str">
        <f t="shared" si="17"/>
        <v>NA</v>
      </c>
      <c r="K141" s="115" t="str">
        <f t="shared" si="16"/>
        <v>NA</v>
      </c>
    </row>
    <row r="142" spans="2:11" x14ac:dyDescent="0.25">
      <c r="B142" s="5" t="s">
        <v>142</v>
      </c>
      <c r="C142" s="5" t="str">
        <f>VLOOKUP(B142,RegionLookup!$B$3:$C$184,2,FALSE)</f>
        <v>Central and South America</v>
      </c>
      <c r="D142" s="44" t="str">
        <f>VLOOKUP(B142,'Ratings&amp;PRS'!$B$4:$C$160,2,FALSE)</f>
        <v>Caa1</v>
      </c>
      <c r="E142" s="115">
        <f t="shared" si="12"/>
        <v>7.4265910405818647E-2</v>
      </c>
      <c r="F142" s="115">
        <f t="shared" si="13"/>
        <v>0.10427903691394656</v>
      </c>
      <c r="G142" s="115">
        <f t="shared" si="14"/>
        <v>0.22475280363079311</v>
      </c>
      <c r="H142" s="115">
        <f t="shared" si="15"/>
        <v>0.25476593013892102</v>
      </c>
      <c r="I142" s="115" t="str">
        <f>IFERROR(VLOOKUP(B142,CDS!$B$8:$D$97,3,FALSE),"NA")</f>
        <v>NA</v>
      </c>
      <c r="J142" s="115" t="str">
        <f t="shared" si="17"/>
        <v>NA</v>
      </c>
      <c r="K142" s="115" t="str">
        <f t="shared" si="16"/>
        <v>NA</v>
      </c>
    </row>
    <row r="143" spans="2:11" x14ac:dyDescent="0.25">
      <c r="B143" s="5" t="s">
        <v>191</v>
      </c>
      <c r="C143" s="5" t="str">
        <f>VLOOKUP(B143,RegionLookup!$B$3:$C$184,2,FALSE)</f>
        <v>Africa</v>
      </c>
      <c r="D143" s="44" t="str">
        <f>VLOOKUP(B143,'Ratings&amp;PRS'!$B$4:$C$160,2,FALSE)</f>
        <v>B2</v>
      </c>
      <c r="E143" s="115">
        <f t="shared" si="12"/>
        <v>5.4477188197371677E-2</v>
      </c>
      <c r="F143" s="115">
        <f t="shared" si="13"/>
        <v>8.44903147054996E-2</v>
      </c>
      <c r="G143" s="115">
        <f t="shared" si="14"/>
        <v>0.16486569294547207</v>
      </c>
      <c r="H143" s="115">
        <f t="shared" si="15"/>
        <v>0.1948788194536</v>
      </c>
      <c r="I143" s="115" t="str">
        <f>IFERROR(VLOOKUP(B143,CDS!$B$8:$D$97,3,FALSE),"NA")</f>
        <v>NA</v>
      </c>
      <c r="J143" s="115" t="str">
        <f t="shared" si="17"/>
        <v>NA</v>
      </c>
      <c r="K143" s="115" t="str">
        <f t="shared" si="16"/>
        <v>NA</v>
      </c>
    </row>
    <row r="144" spans="2:11" x14ac:dyDescent="0.25">
      <c r="B144" s="5" t="s">
        <v>163</v>
      </c>
      <c r="C144" s="5" t="str">
        <f>VLOOKUP(B144,RegionLookup!$B$3:$C$184,2,FALSE)</f>
        <v>Western Europe</v>
      </c>
      <c r="D144" s="44" t="str">
        <f>VLOOKUP(B144,'Ratings&amp;PRS'!$B$4:$C$160,2,FALSE)</f>
        <v>Aaa</v>
      </c>
      <c r="E144" s="115">
        <f t="shared" si="12"/>
        <v>0</v>
      </c>
      <c r="F144" s="115">
        <f t="shared" si="13"/>
        <v>3.0013126508127919E-2</v>
      </c>
      <c r="G144" s="115">
        <f t="shared" si="14"/>
        <v>0</v>
      </c>
      <c r="H144" s="115">
        <f t="shared" si="15"/>
        <v>3.0013126508127919E-2</v>
      </c>
      <c r="I144" s="115">
        <f>IFERROR(VLOOKUP(B144,CDS!$B$8:$D$97,3,FALSE),"NA")</f>
        <v>8.0000000000000015E-4</v>
      </c>
      <c r="J144" s="115">
        <f t="shared" si="17"/>
        <v>2.4210602404538388E-3</v>
      </c>
      <c r="K144" s="115">
        <f t="shared" si="16"/>
        <v>3.2434186748581756E-2</v>
      </c>
    </row>
    <row r="145" spans="2:11" x14ac:dyDescent="0.25">
      <c r="B145" s="5" t="s">
        <v>167</v>
      </c>
      <c r="C145" s="5" t="str">
        <f>VLOOKUP(B145,RegionLookup!$B$3:$C$184,2,FALSE)</f>
        <v>Western Europe</v>
      </c>
      <c r="D145" s="44" t="str">
        <f>VLOOKUP(B145,'Ratings&amp;PRS'!$B$4:$C$160,2,FALSE)</f>
        <v>Aaa</v>
      </c>
      <c r="E145" s="115">
        <f t="shared" si="12"/>
        <v>0</v>
      </c>
      <c r="F145" s="115">
        <f t="shared" si="13"/>
        <v>3.0013126508127919E-2</v>
      </c>
      <c r="G145" s="115">
        <f t="shared" si="14"/>
        <v>0</v>
      </c>
      <c r="H145" s="115">
        <f t="shared" si="15"/>
        <v>3.0013126508127919E-2</v>
      </c>
      <c r="I145" s="115">
        <f>IFERROR(VLOOKUP(B145,CDS!$B$8:$D$97,3,FALSE),"NA")</f>
        <v>0</v>
      </c>
      <c r="J145" s="115">
        <f t="shared" si="17"/>
        <v>0</v>
      </c>
      <c r="K145" s="115">
        <f t="shared" si="16"/>
        <v>3.0013126508127919E-2</v>
      </c>
    </row>
    <row r="146" spans="2:11" x14ac:dyDescent="0.25">
      <c r="B146" s="5" t="s">
        <v>168</v>
      </c>
      <c r="C146" s="5" t="str">
        <f>VLOOKUP(B146,RegionLookup!$B$3:$C$184,2,FALSE)</f>
        <v>Asia</v>
      </c>
      <c r="D146" s="44" t="str">
        <f>VLOOKUP(B146,'Ratings&amp;PRS'!$B$4:$C$160,2,FALSE)</f>
        <v>Aa3</v>
      </c>
      <c r="E146" s="115">
        <f t="shared" si="12"/>
        <v>5.9366166625340932E-3</v>
      </c>
      <c r="F146" s="115">
        <f t="shared" si="13"/>
        <v>3.5949743170662012E-2</v>
      </c>
      <c r="G146" s="115">
        <f t="shared" si="14"/>
        <v>1.7966133205596316E-2</v>
      </c>
      <c r="H146" s="115">
        <f t="shared" si="15"/>
        <v>4.7979259713724236E-2</v>
      </c>
      <c r="I146" s="115" t="str">
        <f>IFERROR(VLOOKUP(B146,CDS!$B$8:$D$97,3,FALSE),"NA")</f>
        <v>NA</v>
      </c>
      <c r="J146" s="115" t="str">
        <f t="shared" si="17"/>
        <v>NA</v>
      </c>
      <c r="K146" s="115" t="str">
        <f t="shared" si="16"/>
        <v>NA</v>
      </c>
    </row>
    <row r="147" spans="2:11" x14ac:dyDescent="0.25">
      <c r="B147" s="5" t="s">
        <v>174</v>
      </c>
      <c r="C147" s="5" t="str">
        <f>VLOOKUP(B147,RegionLookup!$B$3:$C$184,2,FALSE)</f>
        <v>Eastern Europe &amp; Russia</v>
      </c>
      <c r="D147" s="44" t="str">
        <f>VLOOKUP(B147,'Ratings&amp;PRS'!$B$4:$C$160,2,FALSE)</f>
        <v>B3</v>
      </c>
      <c r="E147" s="115">
        <f t="shared" si="12"/>
        <v>6.4371549301595152E-2</v>
      </c>
      <c r="F147" s="115">
        <f t="shared" si="13"/>
        <v>9.4384675809723068E-2</v>
      </c>
      <c r="G147" s="115">
        <f t="shared" si="14"/>
        <v>0.19480924828813256</v>
      </c>
      <c r="H147" s="115">
        <f t="shared" si="15"/>
        <v>0.22482237479626049</v>
      </c>
      <c r="I147" s="115" t="str">
        <f>IFERROR(VLOOKUP(B147,CDS!$B$8:$D$97,3,FALSE),"NA")</f>
        <v>NA</v>
      </c>
      <c r="J147" s="115" t="str">
        <f t="shared" si="17"/>
        <v>NA</v>
      </c>
      <c r="K147" s="115" t="str">
        <f t="shared" si="16"/>
        <v>NA</v>
      </c>
    </row>
    <row r="148" spans="2:11" x14ac:dyDescent="0.25">
      <c r="B148" s="5" t="s">
        <v>192</v>
      </c>
      <c r="C148" s="5" t="str">
        <f>VLOOKUP(B148,RegionLookup!$B$3:$C$184,2,FALSE)</f>
        <v>Africa</v>
      </c>
      <c r="D148" s="44" t="str">
        <f>VLOOKUP(B148,'Ratings&amp;PRS'!$B$4:$C$160,2,FALSE)</f>
        <v>B1</v>
      </c>
      <c r="E148" s="115">
        <f t="shared" si="12"/>
        <v>4.4582827093148182E-2</v>
      </c>
      <c r="F148" s="115">
        <f t="shared" si="13"/>
        <v>7.4595953601276105E-2</v>
      </c>
      <c r="G148" s="115">
        <f t="shared" si="14"/>
        <v>0.13492213760281152</v>
      </c>
      <c r="H148" s="115">
        <f t="shared" si="15"/>
        <v>0.16493526411093945</v>
      </c>
      <c r="I148" s="115" t="str">
        <f>IFERROR(VLOOKUP(B148,CDS!$B$8:$D$97,3,FALSE),"NA")</f>
        <v>NA</v>
      </c>
      <c r="J148" s="115" t="str">
        <f t="shared" si="17"/>
        <v>NA</v>
      </c>
      <c r="K148" s="115" t="str">
        <f t="shared" si="16"/>
        <v>NA</v>
      </c>
    </row>
    <row r="149" spans="2:11" x14ac:dyDescent="0.25">
      <c r="B149" s="5" t="s">
        <v>172</v>
      </c>
      <c r="C149" s="5" t="str">
        <f>VLOOKUP(B149,RegionLookup!$B$3:$C$184,2,FALSE)</f>
        <v>Asia</v>
      </c>
      <c r="D149" s="44" t="str">
        <f>VLOOKUP(B149,'Ratings&amp;PRS'!$B$4:$C$160,2,FALSE)</f>
        <v>Baa1</v>
      </c>
      <c r="E149" s="115">
        <f t="shared" si="12"/>
        <v>1.5830977766757577E-2</v>
      </c>
      <c r="F149" s="115">
        <f t="shared" si="13"/>
        <v>4.58441042748855E-2</v>
      </c>
      <c r="G149" s="115">
        <f t="shared" si="14"/>
        <v>4.7909688548256828E-2</v>
      </c>
      <c r="H149" s="115">
        <f t="shared" si="15"/>
        <v>7.792281505638475E-2</v>
      </c>
      <c r="I149" s="115">
        <f>IFERROR(VLOOKUP(B149,CDS!$B$8:$D$97,3,FALSE),"NA")</f>
        <v>5.4999999999999997E-3</v>
      </c>
      <c r="J149" s="115">
        <f t="shared" si="17"/>
        <v>1.6644789153120135E-2</v>
      </c>
      <c r="K149" s="115">
        <f t="shared" si="16"/>
        <v>4.6657915661248051E-2</v>
      </c>
    </row>
    <row r="150" spans="2:11" x14ac:dyDescent="0.25">
      <c r="B150" s="5" t="s">
        <v>193</v>
      </c>
      <c r="C150" s="5" t="str">
        <f>VLOOKUP(B150,RegionLookup!$B$3:$C$184,2,FALSE)</f>
        <v>Africa</v>
      </c>
      <c r="D150" s="44" t="str">
        <f>VLOOKUP(B150,'Ratings&amp;PRS'!$B$4:$C$160,2,FALSE)</f>
        <v>B3</v>
      </c>
      <c r="E150" s="115">
        <f t="shared" si="12"/>
        <v>6.4371549301595152E-2</v>
      </c>
      <c r="F150" s="115">
        <f t="shared" si="13"/>
        <v>9.4384675809723068E-2</v>
      </c>
      <c r="G150" s="115">
        <f t="shared" si="14"/>
        <v>0.19480924828813256</v>
      </c>
      <c r="H150" s="115">
        <f t="shared" si="15"/>
        <v>0.22482237479626049</v>
      </c>
      <c r="I150" s="115" t="str">
        <f>IFERROR(VLOOKUP(B150,CDS!$B$8:$D$97,3,FALSE),"NA")</f>
        <v>NA</v>
      </c>
      <c r="J150" s="115" t="str">
        <f t="shared" si="17"/>
        <v>NA</v>
      </c>
      <c r="K150" s="115" t="str">
        <f t="shared" si="16"/>
        <v>NA</v>
      </c>
    </row>
    <row r="151" spans="2:11" x14ac:dyDescent="0.25">
      <c r="B151" s="5" t="s">
        <v>118</v>
      </c>
      <c r="C151" s="5" t="str">
        <f>VLOOKUP(B151,RegionLookup!$B$3:$C$184,2,FALSE)</f>
        <v>Caribbean</v>
      </c>
      <c r="D151" s="44" t="str">
        <f>VLOOKUP(B151,'Ratings&amp;PRS'!$B$4:$C$160,2,FALSE)</f>
        <v>Ba2</v>
      </c>
      <c r="E151" s="115">
        <f t="shared" si="12"/>
        <v>2.9799487560955448E-2</v>
      </c>
      <c r="F151" s="115">
        <f t="shared" si="13"/>
        <v>5.9812614069083364E-2</v>
      </c>
      <c r="G151" s="115">
        <f t="shared" si="14"/>
        <v>9.0182943149659939E-2</v>
      </c>
      <c r="H151" s="115">
        <f t="shared" si="15"/>
        <v>0.12019606965778785</v>
      </c>
      <c r="I151" s="115" t="str">
        <f>IFERROR(VLOOKUP(B151,CDS!$B$8:$D$97,3,FALSE),"NA")</f>
        <v>NA</v>
      </c>
      <c r="J151" s="115" t="str">
        <f t="shared" si="17"/>
        <v>NA</v>
      </c>
      <c r="K151" s="115" t="str">
        <f t="shared" si="16"/>
        <v>NA</v>
      </c>
    </row>
    <row r="152" spans="2:11" x14ac:dyDescent="0.25">
      <c r="B152" s="5" t="s">
        <v>194</v>
      </c>
      <c r="C152" s="5" t="str">
        <f>VLOOKUP(B152,RegionLookup!$B$3:$C$184,2,FALSE)</f>
        <v>Africa</v>
      </c>
      <c r="D152" s="44" t="str">
        <f>VLOOKUP(B152,'Ratings&amp;PRS'!$B$4:$C$160,2,FALSE)</f>
        <v>Caa2</v>
      </c>
      <c r="E152" s="115">
        <f t="shared" si="12"/>
        <v>8.9165654186296364E-2</v>
      </c>
      <c r="F152" s="115">
        <f t="shared" si="13"/>
        <v>0.11917878069442428</v>
      </c>
      <c r="G152" s="115">
        <f t="shared" si="14"/>
        <v>0.26984427520562304</v>
      </c>
      <c r="H152" s="115">
        <f t="shared" si="15"/>
        <v>0.29985740171375097</v>
      </c>
      <c r="I152" s="115">
        <f>IFERROR(VLOOKUP(B152,CDS!$B$8:$D$97,3,FALSE),"NA")</f>
        <v>7.2500000000000009E-2</v>
      </c>
      <c r="J152" s="115">
        <f t="shared" si="17"/>
        <v>0.21940858429112911</v>
      </c>
      <c r="K152" s="115">
        <f t="shared" si="16"/>
        <v>0.24942171079925704</v>
      </c>
    </row>
    <row r="153" spans="2:11" x14ac:dyDescent="0.25">
      <c r="B153" s="5" t="s">
        <v>171</v>
      </c>
      <c r="C153" s="5" t="str">
        <f>VLOOKUP(B153,RegionLookup!$B$3:$C$184,2,FALSE)</f>
        <v>Western Europe</v>
      </c>
      <c r="D153" s="44" t="str">
        <f>VLOOKUP(B153,'Ratings&amp;PRS'!$B$4:$C$160,2,FALSE)</f>
        <v>B1</v>
      </c>
      <c r="E153" s="115">
        <f t="shared" si="12"/>
        <v>4.4582827093148182E-2</v>
      </c>
      <c r="F153" s="115">
        <f t="shared" si="13"/>
        <v>7.4595953601276105E-2</v>
      </c>
      <c r="G153" s="115">
        <f t="shared" si="14"/>
        <v>0.13492213760281152</v>
      </c>
      <c r="H153" s="115">
        <f t="shared" si="15"/>
        <v>0.16493526411093945</v>
      </c>
      <c r="I153" s="115">
        <f>IFERROR(VLOOKUP(B153,CDS!$B$8:$D$97,3,FALSE),"NA")</f>
        <v>3.6299999999999999E-2</v>
      </c>
      <c r="J153" s="115">
        <f t="shared" si="17"/>
        <v>0.1098556084105929</v>
      </c>
      <c r="K153" s="115">
        <f t="shared" si="16"/>
        <v>0.13986873491872082</v>
      </c>
    </row>
    <row r="154" spans="2:11" x14ac:dyDescent="0.25">
      <c r="B154" s="5" t="s">
        <v>125</v>
      </c>
      <c r="C154" s="5" t="str">
        <f>VLOOKUP(B154,RegionLookup!$B$3:$C$184,2,FALSE)</f>
        <v>Caribbean</v>
      </c>
      <c r="D154" s="44" t="str">
        <f>VLOOKUP(B154,'Ratings&amp;PRS'!$B$4:$C$160,2,FALSE)</f>
        <v>Baa1</v>
      </c>
      <c r="E154" s="115">
        <f t="shared" si="12"/>
        <v>1.5830977766757577E-2</v>
      </c>
      <c r="F154" s="115">
        <f t="shared" si="13"/>
        <v>4.58441042748855E-2</v>
      </c>
      <c r="G154" s="115">
        <f t="shared" si="14"/>
        <v>4.7909688548256828E-2</v>
      </c>
      <c r="H154" s="115">
        <f t="shared" si="15"/>
        <v>7.792281505638475E-2</v>
      </c>
      <c r="I154" s="115" t="str">
        <f>IFERROR(VLOOKUP(B154,CDS!$B$8:$D$97,3,FALSE),"NA")</f>
        <v>NA</v>
      </c>
      <c r="J154" s="115" t="str">
        <f t="shared" si="17"/>
        <v>NA</v>
      </c>
      <c r="K154" s="115" t="str">
        <f t="shared" si="16"/>
        <v>NA</v>
      </c>
    </row>
    <row r="155" spans="2:11" x14ac:dyDescent="0.25">
      <c r="B155" s="5" t="s">
        <v>195</v>
      </c>
      <c r="C155" s="5" t="str">
        <f>VLOOKUP(B155,RegionLookup!$B$3:$C$184,2,FALSE)</f>
        <v>Africa</v>
      </c>
      <c r="D155" s="44" t="str">
        <f>VLOOKUP(B155,'Ratings&amp;PRS'!$B$4:$C$160,2,FALSE)</f>
        <v>B3</v>
      </c>
      <c r="E155" s="115">
        <f t="shared" si="12"/>
        <v>6.4371549301595152E-2</v>
      </c>
      <c r="F155" s="115">
        <f t="shared" si="13"/>
        <v>9.4384675809723068E-2</v>
      </c>
      <c r="G155" s="115">
        <f t="shared" si="14"/>
        <v>0.19480924828813256</v>
      </c>
      <c r="H155" s="115">
        <f t="shared" si="15"/>
        <v>0.22482237479626049</v>
      </c>
      <c r="I155" s="115" t="str">
        <f>IFERROR(VLOOKUP(B155,CDS!$B$8:$D$97,3,FALSE),"NA")</f>
        <v>NA</v>
      </c>
      <c r="J155" s="115" t="str">
        <f t="shared" si="17"/>
        <v>NA</v>
      </c>
      <c r="K155" s="115" t="str">
        <f t="shared" si="16"/>
        <v>NA</v>
      </c>
    </row>
    <row r="156" spans="2:11" x14ac:dyDescent="0.25">
      <c r="B156" s="5" t="s">
        <v>180</v>
      </c>
      <c r="C156" s="5" t="str">
        <f>VLOOKUP(B156,RegionLookup!$B$3:$C$184,2,FALSE)</f>
        <v>Eastern Europe &amp; Russia</v>
      </c>
      <c r="D156" s="44" t="str">
        <f>VLOOKUP(B156,'Ratings&amp;PRS'!$B$4:$C$160,2,FALSE)</f>
        <v>Ca</v>
      </c>
      <c r="E156" s="115">
        <f t="shared" si="12"/>
        <v>0.11884873749896685</v>
      </c>
      <c r="F156" s="115">
        <f t="shared" si="13"/>
        <v>0.14886186400709478</v>
      </c>
      <c r="G156" s="115">
        <f t="shared" si="14"/>
        <v>0.35967494123360472</v>
      </c>
      <c r="H156" s="115">
        <f t="shared" si="15"/>
        <v>0.38968806774173265</v>
      </c>
      <c r="I156" s="115" t="str">
        <f>IFERROR(VLOOKUP(B156,CDS!$B$8:$D$97,3,FALSE),"NA")</f>
        <v>NA</v>
      </c>
      <c r="J156" s="115" t="str">
        <f t="shared" si="17"/>
        <v>NA</v>
      </c>
      <c r="K156" s="115" t="str">
        <f t="shared" si="16"/>
        <v>NA</v>
      </c>
    </row>
    <row r="157" spans="2:11" x14ac:dyDescent="0.25">
      <c r="B157" s="5" t="s">
        <v>121</v>
      </c>
      <c r="C157" s="5" t="str">
        <f>VLOOKUP(B157,RegionLookup!$B$3:$C$184,2,FALSE)</f>
        <v>Middle East</v>
      </c>
      <c r="D157" s="44" t="str">
        <f>VLOOKUP(B157,'Ratings&amp;PRS'!$B$4:$C$160,2,FALSE)</f>
        <v>Aa2</v>
      </c>
      <c r="E157" s="115">
        <f t="shared" si="12"/>
        <v>4.8889784279692525E-3</v>
      </c>
      <c r="F157" s="115">
        <f t="shared" si="13"/>
        <v>3.4902104936097175E-2</v>
      </c>
      <c r="G157" s="115">
        <f t="shared" si="14"/>
        <v>1.4795639110491083E-2</v>
      </c>
      <c r="H157" s="115">
        <f t="shared" si="15"/>
        <v>4.4808765618619004E-2</v>
      </c>
      <c r="I157" s="115" t="str">
        <f>IFERROR(VLOOKUP(B157,CDS!$B$8:$D$97,3,FALSE),"NA")</f>
        <v>NA</v>
      </c>
      <c r="J157" s="115" t="str">
        <f t="shared" si="17"/>
        <v>NA</v>
      </c>
      <c r="K157" s="115" t="str">
        <f t="shared" si="16"/>
        <v>NA</v>
      </c>
    </row>
    <row r="158" spans="2:11" x14ac:dyDescent="0.25">
      <c r="B158" s="5" t="s">
        <v>175</v>
      </c>
      <c r="C158" s="5" t="str">
        <f>VLOOKUP(B158,RegionLookup!$B$3:$C$184,2,FALSE)</f>
        <v>Western Europe</v>
      </c>
      <c r="D158" s="44" t="str">
        <f>VLOOKUP(B158,'Ratings&amp;PRS'!$B$4:$C$160,2,FALSE)</f>
        <v>Aa3</v>
      </c>
      <c r="E158" s="115">
        <f t="shared" si="12"/>
        <v>5.9366166625340932E-3</v>
      </c>
      <c r="F158" s="115">
        <f t="shared" si="13"/>
        <v>3.5949743170662012E-2</v>
      </c>
      <c r="G158" s="115">
        <f t="shared" si="14"/>
        <v>1.7966133205596316E-2</v>
      </c>
      <c r="H158" s="115">
        <f t="shared" si="15"/>
        <v>4.7979259713724236E-2</v>
      </c>
      <c r="I158" s="115">
        <f>IFERROR(VLOOKUP(B158,CDS!$B$8:$D$97,3,FALSE),"NA")</f>
        <v>2E-3</v>
      </c>
      <c r="J158" s="115">
        <f t="shared" si="17"/>
        <v>6.0526506011345958E-3</v>
      </c>
      <c r="K158" s="115">
        <f t="shared" si="16"/>
        <v>3.6065777109262516E-2</v>
      </c>
    </row>
    <row r="159" spans="2:11" x14ac:dyDescent="0.25">
      <c r="B159" s="5" t="s">
        <v>31</v>
      </c>
      <c r="C159" s="5" t="str">
        <f>VLOOKUP(B159,RegionLookup!$B$3:$C$184,2,FALSE)</f>
        <v>North America</v>
      </c>
      <c r="D159" s="44" t="str">
        <f>VLOOKUP(B159,'Ratings&amp;PRS'!$B$4:$C$160,2,FALSE)</f>
        <v>Aa1</v>
      </c>
      <c r="E159" s="115">
        <f t="shared" si="12"/>
        <v>3.9577444416893943E-3</v>
      </c>
      <c r="F159" s="115">
        <f>$E$3+E159</f>
        <v>3.3970870949817315E-2</v>
      </c>
      <c r="G159" s="115">
        <f>E159*$E$4</f>
        <v>1.1977422137064207E-2</v>
      </c>
      <c r="H159" s="115">
        <f>$E$3+G159</f>
        <v>4.1990548645192124E-2</v>
      </c>
      <c r="I159" s="115">
        <f>IFERROR(VLOOKUP(B159,CDS!$B$8:$D$97,3,FALSE),"NA")</f>
        <v>3.3E-3</v>
      </c>
      <c r="J159" s="115">
        <f>IF(I159="NA","NA",$E$4*I159)</f>
        <v>9.9868734918720815E-3</v>
      </c>
      <c r="K159" s="115">
        <f>IF(J159="NA","NA",$E$3+J159)</f>
        <v>0.04</v>
      </c>
    </row>
    <row r="160" spans="2:11" x14ac:dyDescent="0.25">
      <c r="B160" s="5" t="s">
        <v>147</v>
      </c>
      <c r="C160" s="5" t="str">
        <f>VLOOKUP(B160,RegionLookup!$B$3:$C$184,2,FALSE)</f>
        <v>Central and South America</v>
      </c>
      <c r="D160" s="44" t="str">
        <f>VLOOKUP(B160,'Ratings&amp;PRS'!$B$4:$C$160,2,FALSE)</f>
        <v>Baa1</v>
      </c>
      <c r="E160" s="115">
        <f t="shared" si="12"/>
        <v>1.5830977766757577E-2</v>
      </c>
      <c r="F160" s="115">
        <f t="shared" si="13"/>
        <v>4.58441042748855E-2</v>
      </c>
      <c r="G160" s="115">
        <f t="shared" si="14"/>
        <v>4.7909688548256828E-2</v>
      </c>
      <c r="H160" s="115">
        <f t="shared" si="15"/>
        <v>7.792281505638475E-2</v>
      </c>
      <c r="I160" s="115">
        <f>IFERROR(VLOOKUP(B160,CDS!$B$8:$D$97,3,FALSE),"NA")</f>
        <v>1.0200000000000001E-2</v>
      </c>
      <c r="J160" s="115">
        <f t="shared" si="17"/>
        <v>3.086851806578644E-2</v>
      </c>
      <c r="K160" s="115">
        <f t="shared" si="16"/>
        <v>6.0881644573914359E-2</v>
      </c>
    </row>
    <row r="161" spans="1:15" x14ac:dyDescent="0.25">
      <c r="B161" s="5" t="s">
        <v>182</v>
      </c>
      <c r="C161" s="5" t="str">
        <f>VLOOKUP(B161,RegionLookup!$B$3:$C$184,2,FALSE)</f>
        <v>Eastern Europe &amp; Russia</v>
      </c>
      <c r="D161" s="44" t="str">
        <f>VLOOKUP(B161,'Ratings&amp;PRS'!$B$4:$C$160,2,FALSE)</f>
        <v>Ba3</v>
      </c>
      <c r="E161" s="115">
        <f t="shared" si="12"/>
        <v>3.5619699975204554E-2</v>
      </c>
      <c r="F161" s="115">
        <f t="shared" si="13"/>
        <v>6.5632826483332476E-2</v>
      </c>
      <c r="G161" s="115">
        <f t="shared" si="14"/>
        <v>0.10779679923357789</v>
      </c>
      <c r="H161" s="115">
        <f t="shared" si="15"/>
        <v>0.13780992574170581</v>
      </c>
      <c r="I161" s="115" t="str">
        <f>IFERROR(VLOOKUP(B161,CDS!$B$8:$D$97,3,FALSE),"NA")</f>
        <v>NA</v>
      </c>
      <c r="J161" s="115" t="str">
        <f t="shared" si="17"/>
        <v>NA</v>
      </c>
      <c r="K161" s="115" t="str">
        <f t="shared" si="16"/>
        <v>NA</v>
      </c>
    </row>
    <row r="162" spans="1:15" x14ac:dyDescent="0.25">
      <c r="B162" s="5" t="s">
        <v>152</v>
      </c>
      <c r="C162" s="5" t="str">
        <f>VLOOKUP(B162,RegionLookup!$B$3:$C$184,2,FALSE)</f>
        <v>Central and South America</v>
      </c>
      <c r="D162" s="44" t="str">
        <f>VLOOKUP(B162,'Ratings&amp;PRS'!$B$4:$C$160,2,FALSE)</f>
        <v>C</v>
      </c>
      <c r="E162" s="115">
        <f t="shared" si="12"/>
        <v>0.17499999999999999</v>
      </c>
      <c r="F162" s="115">
        <f t="shared" si="13"/>
        <v>0.20501312650812792</v>
      </c>
      <c r="G162" s="115">
        <f t="shared" si="14"/>
        <v>0.52960692759927708</v>
      </c>
      <c r="H162" s="115">
        <f>$E$3+G162</f>
        <v>0.55962005410740501</v>
      </c>
      <c r="I162" s="115" t="str">
        <f>IFERROR(VLOOKUP(B162,CDS!$B$8:$D$97,3,FALSE),"NA")</f>
        <v>NA</v>
      </c>
      <c r="J162" s="115" t="str">
        <f t="shared" si="17"/>
        <v>NA</v>
      </c>
      <c r="K162" s="115" t="str">
        <f t="shared" si="16"/>
        <v>NA</v>
      </c>
    </row>
    <row r="163" spans="1:15" x14ac:dyDescent="0.25">
      <c r="B163" s="5" t="s">
        <v>176</v>
      </c>
      <c r="C163" s="5" t="str">
        <f>VLOOKUP(B163,RegionLookup!$B$3:$C$184,2,FALSE)</f>
        <v>Asia</v>
      </c>
      <c r="D163" s="44" t="str">
        <f>VLOOKUP(B163,'Ratings&amp;PRS'!$B$4:$C$160,2,FALSE)</f>
        <v>Ba2</v>
      </c>
      <c r="E163" s="115">
        <f t="shared" si="12"/>
        <v>2.9799487560955448E-2</v>
      </c>
      <c r="F163" s="115">
        <f t="shared" si="13"/>
        <v>5.9812614069083364E-2</v>
      </c>
      <c r="G163" s="115">
        <f t="shared" si="14"/>
        <v>9.0182943149659939E-2</v>
      </c>
      <c r="H163" s="115">
        <f t="shared" si="15"/>
        <v>0.12019606965778785</v>
      </c>
      <c r="I163" s="115">
        <f>IFERROR(VLOOKUP(B163,CDS!$B$8:$D$97,3,FALSE),"NA")</f>
        <v>1.3999999999999999E-2</v>
      </c>
      <c r="J163" s="115">
        <f t="shared" si="17"/>
        <v>4.2368554207942159E-2</v>
      </c>
      <c r="K163" s="115">
        <f t="shared" si="16"/>
        <v>7.2381680716070082E-2</v>
      </c>
    </row>
    <row r="164" spans="1:15" x14ac:dyDescent="0.25">
      <c r="B164" s="5" t="s">
        <v>196</v>
      </c>
      <c r="C164" s="5" t="str">
        <f>VLOOKUP(B164,RegionLookup!$B$3:$C$184,2,FALSE)</f>
        <v>Africa</v>
      </c>
      <c r="D164" s="44" t="str">
        <f>VLOOKUP(B164,'Ratings&amp;PRS'!$B$4:$C$160,2,FALSE)</f>
        <v>Caa2</v>
      </c>
      <c r="E164" s="115">
        <f t="shared" si="12"/>
        <v>8.9165654186296364E-2</v>
      </c>
      <c r="F164" s="115">
        <f t="shared" si="13"/>
        <v>0.11917878069442428</v>
      </c>
      <c r="G164" s="115">
        <f t="shared" si="14"/>
        <v>0.26984427520562304</v>
      </c>
      <c r="H164" s="115">
        <f t="shared" si="15"/>
        <v>0.29985740171375097</v>
      </c>
      <c r="I164" s="115" t="str">
        <f>IFERROR(VLOOKUP(B164,CDS!$B$8:$D$97,3,FALSE),"NA")</f>
        <v>NA</v>
      </c>
      <c r="J164" s="115" t="str">
        <f t="shared" si="17"/>
        <v>NA</v>
      </c>
      <c r="K164" s="115" t="str">
        <f t="shared" si="16"/>
        <v>NA</v>
      </c>
    </row>
    <row r="166" spans="1:15" x14ac:dyDescent="0.25">
      <c r="A166" t="s">
        <v>7</v>
      </c>
      <c r="B166" s="47" t="s">
        <v>220</v>
      </c>
      <c r="C166" s="48"/>
      <c r="D166" s="48"/>
      <c r="E166" s="48"/>
      <c r="F166" s="48"/>
      <c r="G166" s="48"/>
      <c r="H166" s="48"/>
      <c r="I166" s="48"/>
      <c r="J166" s="48"/>
      <c r="K166" s="49" t="s">
        <v>221</v>
      </c>
      <c r="L166" s="48"/>
      <c r="M166" s="48"/>
      <c r="N166" s="48"/>
      <c r="O166" s="48"/>
    </row>
    <row r="167" spans="1:15" ht="3.95" customHeight="1" x14ac:dyDescent="0.25">
      <c r="K167" s="124"/>
      <c r="L167" s="124"/>
      <c r="M167" s="124"/>
      <c r="O167" s="50"/>
    </row>
    <row r="168" spans="1:15" x14ac:dyDescent="0.25">
      <c r="B168" s="41" t="s">
        <v>199</v>
      </c>
      <c r="C168" s="41" t="s">
        <v>213</v>
      </c>
      <c r="D168" s="51" t="s">
        <v>205</v>
      </c>
      <c r="E168" s="51" t="s">
        <v>222</v>
      </c>
      <c r="F168" s="51" t="s">
        <v>223</v>
      </c>
      <c r="G168" s="51" t="s">
        <v>216</v>
      </c>
      <c r="H168" s="51" t="s">
        <v>224</v>
      </c>
      <c r="I168" s="51" t="s">
        <v>217</v>
      </c>
      <c r="K168" s="52" t="s">
        <v>225</v>
      </c>
      <c r="L168" s="122" t="s">
        <v>226</v>
      </c>
      <c r="M168" s="122" t="s">
        <v>222</v>
      </c>
      <c r="N168" s="122" t="s">
        <v>3</v>
      </c>
      <c r="O168" s="122" t="s">
        <v>2</v>
      </c>
    </row>
    <row r="169" spans="1:15" x14ac:dyDescent="0.25">
      <c r="B169" s="5" t="s">
        <v>19</v>
      </c>
      <c r="C169" s="5" t="str">
        <f>VLOOKUP(B169,RegionLookup!$B$3:$C$184,2,FALSE)</f>
        <v>Africa</v>
      </c>
      <c r="D169" s="53">
        <f>VLOOKUP(B169,'Ratings&amp;PRS'!$G$4:$H$144,2,FALSE)</f>
        <v>69.25</v>
      </c>
      <c r="E169" s="44">
        <f t="shared" ref="E169:E189" si="18">VLOOKUP(D169,$K$169:$O$184,5)</f>
        <v>0.11333127992329625</v>
      </c>
      <c r="F169" s="119">
        <f t="shared" ref="F169:F189" si="19">VLOOKUP(D169,$K$169:$O$184,4)</f>
        <v>2.9799487560955448E-2</v>
      </c>
      <c r="G169" s="120">
        <f>$E$3+F169</f>
        <v>5.9812614069083364E-2</v>
      </c>
      <c r="H169" s="119">
        <f>F169*$E$4</f>
        <v>9.0182943149659939E-2</v>
      </c>
      <c r="I169" s="120">
        <f>$E$3+H169</f>
        <v>0.12019606965778785</v>
      </c>
      <c r="J169" s="55"/>
      <c r="K169" s="125">
        <v>0</v>
      </c>
      <c r="L169" s="126">
        <v>50</v>
      </c>
      <c r="M169" s="127" t="s">
        <v>1615</v>
      </c>
      <c r="N169" s="123">
        <v>0.17499999999999999</v>
      </c>
      <c r="O169" s="123">
        <v>0.46187346471885055</v>
      </c>
    </row>
    <row r="170" spans="1:15" x14ac:dyDescent="0.25">
      <c r="B170" s="5" t="s">
        <v>26</v>
      </c>
      <c r="C170" s="5" t="str">
        <f>VLOOKUP(B170,RegionLookup!$B$3:$C$184,2,FALSE)</f>
        <v>Asia</v>
      </c>
      <c r="D170" s="53">
        <f>VLOOKUP(B170,'Ratings&amp;PRS'!$G$4:$H$144,2,FALSE)</f>
        <v>81.75</v>
      </c>
      <c r="E170" s="44">
        <f t="shared" si="18"/>
        <v>5.6050372172219171E-2</v>
      </c>
      <c r="F170" s="119">
        <f t="shared" si="19"/>
        <v>5.9366166625340932E-3</v>
      </c>
      <c r="G170" s="120">
        <f t="shared" ref="G170:G189" si="20">$E$3+F170</f>
        <v>3.5949743170662012E-2</v>
      </c>
      <c r="H170" s="119">
        <f t="shared" ref="H170:H189" si="21">F170*$E$4</f>
        <v>1.7966133205596316E-2</v>
      </c>
      <c r="I170" s="120">
        <f t="shared" ref="I170:I189" si="22">$E$3+H170</f>
        <v>4.7979259713724236E-2</v>
      </c>
      <c r="J170" s="55"/>
      <c r="K170" s="125">
        <v>50.000999999999998</v>
      </c>
      <c r="L170" s="126">
        <v>55</v>
      </c>
      <c r="M170" s="127" t="s">
        <v>1616</v>
      </c>
      <c r="N170" s="123">
        <v>0.11884873749896685</v>
      </c>
      <c r="O170" s="123">
        <v>0.32708686250658392</v>
      </c>
    </row>
    <row r="171" spans="1:15" x14ac:dyDescent="0.25">
      <c r="B171" s="5" t="s">
        <v>122</v>
      </c>
      <c r="C171" s="5" t="str">
        <f>VLOOKUP(B171,RegionLookup!$B$3:$C$184,2,FALSE)</f>
        <v>Africa</v>
      </c>
      <c r="D171" s="53">
        <f>VLOOKUP(B171,'Ratings&amp;PRS'!$G$4:$H$144,2,FALSE)</f>
        <v>67.5</v>
      </c>
      <c r="E171" s="44">
        <f t="shared" si="18"/>
        <v>0.14881750082274398</v>
      </c>
      <c r="F171" s="119">
        <f t="shared" si="19"/>
        <v>4.4582827093148182E-2</v>
      </c>
      <c r="G171" s="120">
        <f t="shared" si="20"/>
        <v>7.4595953601276105E-2</v>
      </c>
      <c r="H171" s="119">
        <f t="shared" si="21"/>
        <v>0.13492213760281152</v>
      </c>
      <c r="I171" s="120">
        <f t="shared" si="22"/>
        <v>0.16493526411093945</v>
      </c>
      <c r="J171" s="55"/>
      <c r="K171" s="125">
        <v>55.000999999999998</v>
      </c>
      <c r="L171" s="126">
        <v>57</v>
      </c>
      <c r="M171" s="127" t="s">
        <v>1545</v>
      </c>
      <c r="N171" s="123">
        <v>9.9060015290519873E-2</v>
      </c>
      <c r="O171" s="123">
        <v>0.27958562193251996</v>
      </c>
    </row>
    <row r="172" spans="1:15" x14ac:dyDescent="0.25">
      <c r="B172" s="5" t="s">
        <v>134</v>
      </c>
      <c r="C172" s="5" t="str">
        <f>VLOOKUP(B172,RegionLookup!$B$3:$C$184,2,FALSE)</f>
        <v>Africa</v>
      </c>
      <c r="D172" s="53">
        <f>VLOOKUP(B172,'Ratings&amp;PRS'!$G$4:$H$144,2,FALSE)</f>
        <v>57.75</v>
      </c>
      <c r="E172" s="44">
        <f t="shared" si="18"/>
        <v>0.25583500164548795</v>
      </c>
      <c r="F172" s="119">
        <f t="shared" si="19"/>
        <v>8.9165654186296364E-2</v>
      </c>
      <c r="G172" s="120">
        <f t="shared" si="20"/>
        <v>0.11917878069442428</v>
      </c>
      <c r="H172" s="119">
        <f t="shared" si="21"/>
        <v>0.26984427520562304</v>
      </c>
      <c r="I172" s="120">
        <f t="shared" si="22"/>
        <v>0.29985740171375097</v>
      </c>
      <c r="J172" s="55"/>
      <c r="K172" s="125">
        <v>57.000999999999998</v>
      </c>
      <c r="L172" s="126">
        <v>60</v>
      </c>
      <c r="M172" s="127" t="s">
        <v>1502</v>
      </c>
      <c r="N172" s="123">
        <v>8.9165654186296364E-2</v>
      </c>
      <c r="O172" s="123">
        <v>0.25583500164548795</v>
      </c>
    </row>
    <row r="173" spans="1:15" x14ac:dyDescent="0.25">
      <c r="B173" s="5" t="s">
        <v>139</v>
      </c>
      <c r="C173" s="5" t="str">
        <f>VLOOKUP(B173,RegionLookup!$B$3:$C$184,2,FALSE)</f>
        <v>Africa</v>
      </c>
      <c r="D173" s="53">
        <f>VLOOKUP(B173,'Ratings&amp;PRS'!$G$4:$H$144,2,FALSE)</f>
        <v>63.25</v>
      </c>
      <c r="E173" s="44">
        <f t="shared" si="18"/>
        <v>0.19631874139680788</v>
      </c>
      <c r="F173" s="119">
        <f t="shared" si="19"/>
        <v>6.4371549301595152E-2</v>
      </c>
      <c r="G173" s="120">
        <f t="shared" si="20"/>
        <v>9.4384675809723068E-2</v>
      </c>
      <c r="H173" s="119">
        <f t="shared" si="21"/>
        <v>0.19480924828813256</v>
      </c>
      <c r="I173" s="120">
        <f t="shared" si="22"/>
        <v>0.22482237479626049</v>
      </c>
      <c r="J173" s="55"/>
      <c r="K173" s="125">
        <v>60.000999999999998</v>
      </c>
      <c r="L173" s="126">
        <v>62</v>
      </c>
      <c r="M173" s="127" t="s">
        <v>1528</v>
      </c>
      <c r="N173" s="123">
        <v>7.4265910405818647E-2</v>
      </c>
      <c r="O173" s="123">
        <v>0.22006936168383986</v>
      </c>
    </row>
    <row r="174" spans="1:15" x14ac:dyDescent="0.25">
      <c r="B174" s="5" t="s">
        <v>98</v>
      </c>
      <c r="C174" s="5" t="str">
        <f>VLOOKUP(B174,RegionLookup!$B$3:$C$184,2,FALSE)</f>
        <v>Central and South America</v>
      </c>
      <c r="D174" s="53">
        <f>VLOOKUP(B174,'Ratings&amp;PRS'!$G$4:$H$144,2,FALSE)</f>
        <v>75.75</v>
      </c>
      <c r="E174" s="44">
        <f t="shared" si="18"/>
        <v>9.4051364631470319E-2</v>
      </c>
      <c r="F174" s="119">
        <f t="shared" si="19"/>
        <v>2.1767594429291676E-2</v>
      </c>
      <c r="G174" s="120">
        <f t="shared" si="20"/>
        <v>5.1780720937419596E-2</v>
      </c>
      <c r="H174" s="119">
        <f t="shared" si="21"/>
        <v>6.5875821753853162E-2</v>
      </c>
      <c r="I174" s="120">
        <f t="shared" si="22"/>
        <v>9.5888948261981077E-2</v>
      </c>
      <c r="J174" s="55"/>
      <c r="K174" s="125">
        <v>62.000999999999998</v>
      </c>
      <c r="L174" s="126">
        <v>64</v>
      </c>
      <c r="M174" s="127" t="s">
        <v>1520</v>
      </c>
      <c r="N174" s="123">
        <v>6.4371549301595152E-2</v>
      </c>
      <c r="O174" s="123">
        <v>0.19631874139680788</v>
      </c>
    </row>
    <row r="175" spans="1:15" x14ac:dyDescent="0.25">
      <c r="B175" s="5" t="s">
        <v>83</v>
      </c>
      <c r="C175" s="5" t="str">
        <f>VLOOKUP(B175,RegionLookup!$B$3:$C$184,2,FALSE)</f>
        <v>Caribbean</v>
      </c>
      <c r="D175" s="53">
        <f>VLOOKUP(B175,'Ratings&amp;PRS'!$G$4:$H$144,2,FALSE)</f>
        <v>54.75</v>
      </c>
      <c r="E175" s="44">
        <f t="shared" si="18"/>
        <v>0.32708686250658392</v>
      </c>
      <c r="F175" s="119">
        <f t="shared" si="19"/>
        <v>0.11884873749896685</v>
      </c>
      <c r="G175" s="120">
        <f t="shared" si="20"/>
        <v>0.14886186400709478</v>
      </c>
      <c r="H175" s="119">
        <f t="shared" si="21"/>
        <v>0.35967494123360472</v>
      </c>
      <c r="I175" s="120">
        <f t="shared" si="22"/>
        <v>0.38968806774173265</v>
      </c>
      <c r="J175" s="55"/>
      <c r="K175" s="125">
        <v>64.001000000000005</v>
      </c>
      <c r="L175" s="126">
        <v>66</v>
      </c>
      <c r="M175" s="127" t="s">
        <v>1527</v>
      </c>
      <c r="N175" s="123">
        <v>5.4477188197371677E-2</v>
      </c>
      <c r="O175" s="123">
        <v>0.17256812110977596</v>
      </c>
    </row>
    <row r="176" spans="1:15" x14ac:dyDescent="0.25">
      <c r="B176" s="5" t="s">
        <v>36</v>
      </c>
      <c r="C176" s="5" t="str">
        <f>VLOOKUP(B176,RegionLookup!$B$3:$C$184,2,FALSE)</f>
        <v>Middle East</v>
      </c>
      <c r="D176" s="53">
        <f>VLOOKUP(B176,'Ratings&amp;PRS'!$G$4:$H$144,2,FALSE)</f>
        <v>63.75</v>
      </c>
      <c r="E176" s="44">
        <f t="shared" si="18"/>
        <v>0.19631874139680788</v>
      </c>
      <c r="F176" s="119">
        <f t="shared" si="19"/>
        <v>6.4371549301595152E-2</v>
      </c>
      <c r="G176" s="120">
        <f t="shared" si="20"/>
        <v>9.4384675809723068E-2</v>
      </c>
      <c r="H176" s="119">
        <f t="shared" si="21"/>
        <v>0.19480924828813256</v>
      </c>
      <c r="I176" s="120">
        <f t="shared" si="22"/>
        <v>0.22482237479626049</v>
      </c>
      <c r="J176" s="55"/>
      <c r="K176" s="125">
        <v>66.001000000000005</v>
      </c>
      <c r="L176" s="126">
        <v>68</v>
      </c>
      <c r="M176" s="127" t="s">
        <v>1522</v>
      </c>
      <c r="N176" s="123">
        <v>4.4582827093148182E-2</v>
      </c>
      <c r="O176" s="123">
        <v>0.14881750082274398</v>
      </c>
    </row>
    <row r="177" spans="2:15" x14ac:dyDescent="0.25">
      <c r="B177" s="5" t="s">
        <v>92</v>
      </c>
      <c r="C177" s="5" t="str">
        <f>VLOOKUP(B177,RegionLookup!$B$3:$C$184,2,FALSE)</f>
        <v>Asia</v>
      </c>
      <c r="D177" s="53">
        <f>VLOOKUP(B177,'Ratings&amp;PRS'!$G$4:$H$144,2,FALSE)</f>
        <v>51</v>
      </c>
      <c r="E177" s="44">
        <f t="shared" si="18"/>
        <v>0.32708686250658392</v>
      </c>
      <c r="F177" s="119">
        <f t="shared" si="19"/>
        <v>0.11884873749896685</v>
      </c>
      <c r="G177" s="120">
        <f t="shared" si="20"/>
        <v>0.14886186400709478</v>
      </c>
      <c r="H177" s="119">
        <f t="shared" si="21"/>
        <v>0.35967494123360472</v>
      </c>
      <c r="I177" s="120">
        <f t="shared" si="22"/>
        <v>0.38968806774173265</v>
      </c>
      <c r="J177" s="55"/>
      <c r="K177" s="125">
        <v>68.001000000000005</v>
      </c>
      <c r="L177" s="126">
        <v>69</v>
      </c>
      <c r="M177" s="127" t="s">
        <v>1507</v>
      </c>
      <c r="N177" s="123">
        <v>3.5619699975204554E-2</v>
      </c>
      <c r="O177" s="123">
        <v>0.12730223303331503</v>
      </c>
    </row>
    <row r="178" spans="2:15" x14ac:dyDescent="0.25">
      <c r="B178" s="5" t="s">
        <v>149</v>
      </c>
      <c r="C178" s="5" t="str">
        <f>VLOOKUP(B178,RegionLookup!$B$3:$C$184,2,FALSE)</f>
        <v>Africa</v>
      </c>
      <c r="D178" s="53">
        <f>VLOOKUP(B178,'Ratings&amp;PRS'!$G$4:$H$144,2,FALSE)</f>
        <v>58.25</v>
      </c>
      <c r="E178" s="44">
        <f t="shared" si="18"/>
        <v>0.25583500164548795</v>
      </c>
      <c r="F178" s="119">
        <f t="shared" si="19"/>
        <v>8.9165654186296364E-2</v>
      </c>
      <c r="G178" s="120">
        <f t="shared" si="20"/>
        <v>0.11917878069442428</v>
      </c>
      <c r="H178" s="119">
        <f t="shared" si="21"/>
        <v>0.26984427520562304</v>
      </c>
      <c r="I178" s="120">
        <f t="shared" si="22"/>
        <v>0.29985740171375097</v>
      </c>
      <c r="J178" s="55"/>
      <c r="K178" s="125">
        <v>69.001000000000005</v>
      </c>
      <c r="L178" s="126">
        <v>72</v>
      </c>
      <c r="M178" s="127" t="s">
        <v>1504</v>
      </c>
      <c r="N178" s="123">
        <v>2.9799487560955448E-2</v>
      </c>
      <c r="O178" s="123">
        <v>0.11333127992329625</v>
      </c>
    </row>
    <row r="179" spans="2:15" x14ac:dyDescent="0.25">
      <c r="B179" s="5" t="s">
        <v>154</v>
      </c>
      <c r="C179" s="5" t="str">
        <f>VLOOKUP(B179,RegionLookup!$B$3:$C$184,2,FALSE)</f>
        <v>Africa</v>
      </c>
      <c r="D179" s="53">
        <f>VLOOKUP(B179,'Ratings&amp;PRS'!$G$4:$H$144,2,FALSE)</f>
        <v>74.5</v>
      </c>
      <c r="E179" s="44">
        <f t="shared" si="18"/>
        <v>9.4051364631470319E-2</v>
      </c>
      <c r="F179" s="119">
        <f t="shared" si="19"/>
        <v>2.1767594429291676E-2</v>
      </c>
      <c r="G179" s="120">
        <f t="shared" si="20"/>
        <v>5.1780720937419596E-2</v>
      </c>
      <c r="H179" s="119">
        <f t="shared" si="21"/>
        <v>6.5875821753853162E-2</v>
      </c>
      <c r="I179" s="120">
        <f t="shared" si="22"/>
        <v>9.5888948261981077E-2</v>
      </c>
      <c r="J179" s="55"/>
      <c r="K179" s="125">
        <v>72.001000000000005</v>
      </c>
      <c r="L179" s="126">
        <v>74</v>
      </c>
      <c r="M179" s="127" t="s">
        <v>1543</v>
      </c>
      <c r="N179" s="123">
        <v>2.4794104884701216E-2</v>
      </c>
      <c r="O179" s="123">
        <v>0.1013162602486801</v>
      </c>
    </row>
    <row r="180" spans="2:15" x14ac:dyDescent="0.25">
      <c r="B180" s="5" t="s">
        <v>158</v>
      </c>
      <c r="C180" s="5" t="str">
        <f>VLOOKUP(B180,RegionLookup!$B$3:$C$184,2,FALSE)</f>
        <v>Africa</v>
      </c>
      <c r="D180" s="53">
        <f>VLOOKUP(B180,'Ratings&amp;PRS'!$G$4:$H$144,2,FALSE)</f>
        <v>64.5</v>
      </c>
      <c r="E180" s="44">
        <f t="shared" si="18"/>
        <v>0.17256812110977596</v>
      </c>
      <c r="F180" s="119">
        <f t="shared" si="19"/>
        <v>5.4477188197371677E-2</v>
      </c>
      <c r="G180" s="120">
        <f t="shared" si="20"/>
        <v>8.44903147054996E-2</v>
      </c>
      <c r="H180" s="119">
        <f t="shared" si="21"/>
        <v>0.16486569294547207</v>
      </c>
      <c r="I180" s="120">
        <f t="shared" si="22"/>
        <v>0.1948788194536</v>
      </c>
      <c r="J180" s="55"/>
      <c r="K180" s="125">
        <v>74.001000000000005</v>
      </c>
      <c r="L180" s="126">
        <v>76</v>
      </c>
      <c r="M180" s="127" t="s">
        <v>1510</v>
      </c>
      <c r="N180" s="123">
        <v>2.1767594429291676E-2</v>
      </c>
      <c r="O180" s="123">
        <v>9.4051364631470319E-2</v>
      </c>
    </row>
    <row r="181" spans="2:15" x14ac:dyDescent="0.25">
      <c r="B181" s="5" t="s">
        <v>161</v>
      </c>
      <c r="C181" s="5" t="str">
        <f>VLOOKUP(B181,RegionLookup!$B$3:$C$184,2,FALSE)</f>
        <v>Africa</v>
      </c>
      <c r="D181" s="53">
        <f>VLOOKUP(B181,'Ratings&amp;PRS'!$G$4:$H$144,2,FALSE)</f>
        <v>57.75</v>
      </c>
      <c r="E181" s="44">
        <f t="shared" si="18"/>
        <v>0.25583500164548795</v>
      </c>
      <c r="F181" s="119">
        <f t="shared" si="19"/>
        <v>8.9165654186296364E-2</v>
      </c>
      <c r="G181" s="120">
        <f t="shared" si="20"/>
        <v>0.11917878069442428</v>
      </c>
      <c r="H181" s="119">
        <f t="shared" si="21"/>
        <v>0.26984427520562304</v>
      </c>
      <c r="I181" s="120">
        <f t="shared" si="22"/>
        <v>0.29985740171375097</v>
      </c>
      <c r="J181" s="55"/>
      <c r="K181" s="125">
        <v>76.001000000000005</v>
      </c>
      <c r="L181" s="126">
        <v>80</v>
      </c>
      <c r="M181" s="127" t="s">
        <v>1541</v>
      </c>
      <c r="N181" s="123">
        <v>1.885748822216712E-2</v>
      </c>
      <c r="O181" s="123">
        <v>8.7065888076460901E-2</v>
      </c>
    </row>
    <row r="182" spans="2:15" x14ac:dyDescent="0.25">
      <c r="B182" s="5" t="s">
        <v>133</v>
      </c>
      <c r="C182" s="5" t="str">
        <f>VLOOKUP(B182,RegionLookup!$B$3:$C$184,2,FALSE)</f>
        <v>Asia</v>
      </c>
      <c r="D182" s="53">
        <f>VLOOKUP(B182,'Ratings&amp;PRS'!$G$4:$H$144,2,FALSE)</f>
        <v>56</v>
      </c>
      <c r="E182" s="44">
        <f t="shared" si="18"/>
        <v>0.27958562193251996</v>
      </c>
      <c r="F182" s="119">
        <f t="shared" si="19"/>
        <v>9.9060015290519873E-2</v>
      </c>
      <c r="G182" s="120">
        <f t="shared" si="20"/>
        <v>0.12907314179864779</v>
      </c>
      <c r="H182" s="119">
        <f t="shared" si="21"/>
        <v>0.29978783054828367</v>
      </c>
      <c r="I182" s="120">
        <f t="shared" si="22"/>
        <v>0.3298009570564116</v>
      </c>
      <c r="J182" s="55"/>
      <c r="K182" s="125">
        <v>80.001000000000005</v>
      </c>
      <c r="L182" s="126">
        <v>82.5</v>
      </c>
      <c r="M182" s="127" t="s">
        <v>1515</v>
      </c>
      <c r="N182" s="123">
        <v>5.9366166625340932E-3</v>
      </c>
      <c r="O182" s="123">
        <v>5.6050372172219171E-2</v>
      </c>
    </row>
    <row r="183" spans="2:15" x14ac:dyDescent="0.25">
      <c r="B183" s="5" t="s">
        <v>155</v>
      </c>
      <c r="C183" s="5" t="str">
        <f>VLOOKUP(B183,RegionLookup!$B$3:$C$184,2,FALSE)</f>
        <v>Eastern Europe &amp; Russia</v>
      </c>
      <c r="D183" s="53">
        <f>VLOOKUP(B183,'Ratings&amp;PRS'!$G$4:$H$144,2,FALSE)</f>
        <v>69.25</v>
      </c>
      <c r="E183" s="44">
        <f t="shared" si="18"/>
        <v>0.11333127992329625</v>
      </c>
      <c r="F183" s="119">
        <f t="shared" si="19"/>
        <v>2.9799487560955448E-2</v>
      </c>
      <c r="G183" s="120">
        <f t="shared" si="20"/>
        <v>5.9812614069083364E-2</v>
      </c>
      <c r="H183" s="119">
        <f t="shared" si="21"/>
        <v>9.0182943149659939E-2</v>
      </c>
      <c r="I183" s="120">
        <f t="shared" si="22"/>
        <v>0.12019606965778785</v>
      </c>
      <c r="J183" s="55"/>
      <c r="K183" s="125">
        <v>82.501000000000005</v>
      </c>
      <c r="L183" s="126">
        <v>85</v>
      </c>
      <c r="M183" s="127" t="s">
        <v>1557</v>
      </c>
      <c r="N183" s="123">
        <v>3.9577444416893943E-3</v>
      </c>
      <c r="O183" s="123">
        <v>5.1300248114812777E-2</v>
      </c>
    </row>
    <row r="184" spans="2:15" x14ac:dyDescent="0.25">
      <c r="B184" s="5" t="s">
        <v>187</v>
      </c>
      <c r="C184" s="5" t="str">
        <f>VLOOKUP(B184,RegionLookup!$B$3:$C$184,2,FALSE)</f>
        <v>Africa</v>
      </c>
      <c r="D184" s="53">
        <f>VLOOKUP(B184,'Ratings&amp;PRS'!$G$4:$H$144,2,FALSE)</f>
        <v>59.5</v>
      </c>
      <c r="E184" s="44">
        <f t="shared" si="18"/>
        <v>0.25583500164548795</v>
      </c>
      <c r="F184" s="119">
        <f t="shared" si="19"/>
        <v>8.9165654186296364E-2</v>
      </c>
      <c r="G184" s="120">
        <f t="shared" si="20"/>
        <v>0.11917878069442428</v>
      </c>
      <c r="H184" s="119">
        <f t="shared" si="21"/>
        <v>0.26984427520562304</v>
      </c>
      <c r="I184" s="120">
        <f t="shared" si="22"/>
        <v>0.29985740171375097</v>
      </c>
      <c r="J184" s="55"/>
      <c r="K184" s="125">
        <v>85.001000000000005</v>
      </c>
      <c r="L184" s="126">
        <v>90.000100000000003</v>
      </c>
      <c r="M184" s="127" t="s">
        <v>1512</v>
      </c>
      <c r="N184" s="123">
        <v>0</v>
      </c>
      <c r="O184" s="123">
        <v>4.1799999999999997E-2</v>
      </c>
    </row>
    <row r="185" spans="2:15" x14ac:dyDescent="0.25">
      <c r="B185" s="5" t="s">
        <v>188</v>
      </c>
      <c r="C185" s="5" t="str">
        <f>VLOOKUP(B185,RegionLookup!$B$3:$C$184,2,FALSE)</f>
        <v>Africa</v>
      </c>
      <c r="D185" s="53">
        <f>VLOOKUP(B185,'Ratings&amp;PRS'!$G$4:$H$144,2,FALSE)</f>
        <v>55.5</v>
      </c>
      <c r="E185" s="44">
        <f t="shared" si="18"/>
        <v>0.27958562193251996</v>
      </c>
      <c r="F185" s="119">
        <f t="shared" si="19"/>
        <v>9.9060015290519873E-2</v>
      </c>
      <c r="G185" s="120">
        <f t="shared" si="20"/>
        <v>0.12907314179864779</v>
      </c>
      <c r="H185" s="119">
        <f t="shared" si="21"/>
        <v>0.29978783054828367</v>
      </c>
      <c r="I185" s="120">
        <f t="shared" si="22"/>
        <v>0.3298009570564116</v>
      </c>
      <c r="J185" s="55"/>
    </row>
    <row r="186" spans="2:15" x14ac:dyDescent="0.25">
      <c r="B186" s="5" t="s">
        <v>190</v>
      </c>
      <c r="C186" s="5" t="str">
        <f>VLOOKUP(B186,RegionLookup!$B$3:$C$184,2,FALSE)</f>
        <v>Africa</v>
      </c>
      <c r="D186" s="53">
        <f>VLOOKUP(B186,'Ratings&amp;PRS'!$G$4:$H$144,2,FALSE)</f>
        <v>43.5</v>
      </c>
      <c r="E186" s="44">
        <f t="shared" si="18"/>
        <v>0.46187346471885055</v>
      </c>
      <c r="F186" s="119">
        <f t="shared" si="19"/>
        <v>0.17499999999999999</v>
      </c>
      <c r="G186" s="120">
        <f t="shared" si="20"/>
        <v>0.20501312650812792</v>
      </c>
      <c r="H186" s="119">
        <f t="shared" si="21"/>
        <v>0.52960692759927708</v>
      </c>
      <c r="I186" s="120">
        <f t="shared" si="22"/>
        <v>0.55962005410740501</v>
      </c>
      <c r="J186" s="55"/>
    </row>
    <row r="187" spans="2:15" x14ac:dyDescent="0.25">
      <c r="B187" s="5" t="s">
        <v>114</v>
      </c>
      <c r="C187" s="5" t="str">
        <f>VLOOKUP(B187,RegionLookup!$B$3:$C$184,2,FALSE)</f>
        <v>Middle East</v>
      </c>
      <c r="D187" s="53">
        <f>VLOOKUP(B187,'Ratings&amp;PRS'!$G$4:$H$144,2,FALSE)</f>
        <v>46.5</v>
      </c>
      <c r="E187" s="44">
        <f t="shared" si="18"/>
        <v>0.46187346471885055</v>
      </c>
      <c r="F187" s="119">
        <f t="shared" si="19"/>
        <v>0.17499999999999999</v>
      </c>
      <c r="G187" s="120">
        <f t="shared" si="20"/>
        <v>0.20501312650812792</v>
      </c>
      <c r="H187" s="119">
        <f t="shared" si="21"/>
        <v>0.52960692759927708</v>
      </c>
      <c r="I187" s="120">
        <f t="shared" si="22"/>
        <v>0.55962005410740501</v>
      </c>
      <c r="J187" s="55"/>
    </row>
    <row r="188" spans="2:15" x14ac:dyDescent="0.25">
      <c r="B188" s="5" t="s">
        <v>128</v>
      </c>
      <c r="C188" s="5" t="str">
        <f>VLOOKUP(B188,RegionLookup!$B$3:$C$184,2,FALSE)</f>
        <v>Middle East</v>
      </c>
      <c r="D188" s="53">
        <f>VLOOKUP(B188,'Ratings&amp;PRS'!$G$4:$H$144,2,FALSE)</f>
        <v>51.5</v>
      </c>
      <c r="E188" s="44">
        <f t="shared" si="18"/>
        <v>0.32708686250658392</v>
      </c>
      <c r="F188" s="119">
        <f t="shared" si="19"/>
        <v>0.11884873749896685</v>
      </c>
      <c r="G188" s="120">
        <f t="shared" si="20"/>
        <v>0.14886186400709478</v>
      </c>
      <c r="H188" s="119">
        <f t="shared" si="21"/>
        <v>0.35967494123360472</v>
      </c>
      <c r="I188" s="120">
        <f t="shared" si="22"/>
        <v>0.38968806774173265</v>
      </c>
      <c r="J188" s="55"/>
    </row>
    <row r="189" spans="2:15" x14ac:dyDescent="0.25">
      <c r="B189" s="5" t="s">
        <v>197</v>
      </c>
      <c r="C189" s="5" t="str">
        <f>VLOOKUP(B189,RegionLookup!$B$3:$C$184,2,FALSE)</f>
        <v>Africa</v>
      </c>
      <c r="D189" s="53">
        <f>VLOOKUP(B189,'Ratings&amp;PRS'!$G$4:$H$144,2,FALSE)</f>
        <v>57.75</v>
      </c>
      <c r="E189" s="44">
        <f t="shared" si="18"/>
        <v>0.25583500164548795</v>
      </c>
      <c r="F189" s="119">
        <f t="shared" si="19"/>
        <v>8.9165654186296364E-2</v>
      </c>
      <c r="G189" s="120">
        <f t="shared" si="20"/>
        <v>0.11917878069442428</v>
      </c>
      <c r="H189" s="119">
        <f t="shared" si="21"/>
        <v>0.26984427520562304</v>
      </c>
      <c r="I189" s="120">
        <f t="shared" si="22"/>
        <v>0.29985740171375097</v>
      </c>
      <c r="J189" s="55"/>
    </row>
  </sheetData>
  <autoFilter ref="B7:K164" xr:uid="{CD6F61F3-F1D6-4A4F-8DD3-A37A1CF96561}">
    <sortState xmlns:xlrd2="http://schemas.microsoft.com/office/spreadsheetml/2017/richdata2" ref="B8:K164">
      <sortCondition ref="B7"/>
    </sortState>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347F-D4E5-4D97-8C9E-3CE1B88B90FB}">
  <dimension ref="A3:L197"/>
  <sheetViews>
    <sheetView showGridLines="0" zoomScale="75" workbookViewId="0">
      <selection activeCell="I2" sqref="A2:XFD2"/>
    </sheetView>
  </sheetViews>
  <sheetFormatPr defaultColWidth="21.7109375" defaultRowHeight="15" x14ac:dyDescent="0.25"/>
  <cols>
    <col min="1" max="1" width="2.7109375" customWidth="1"/>
    <col min="2" max="2" width="29.42578125" bestFit="1" customWidth="1"/>
    <col min="3" max="3" width="29.42578125" customWidth="1"/>
    <col min="8" max="8" width="7.7109375" customWidth="1"/>
  </cols>
  <sheetData>
    <row r="3" spans="2:12" ht="15.75" x14ac:dyDescent="0.25">
      <c r="B3" s="92" t="s">
        <v>8</v>
      </c>
      <c r="C3" s="91"/>
      <c r="D3" s="91" t="s">
        <v>1592</v>
      </c>
      <c r="E3" s="91" t="s">
        <v>1593</v>
      </c>
      <c r="F3" s="91" t="s">
        <v>1591</v>
      </c>
      <c r="G3" s="91" t="s">
        <v>1594</v>
      </c>
      <c r="H3" s="93"/>
      <c r="I3" s="91" t="s">
        <v>1595</v>
      </c>
      <c r="J3" s="91" t="s">
        <v>1596</v>
      </c>
      <c r="K3" s="91" t="s">
        <v>1597</v>
      </c>
      <c r="L3" s="91" t="s">
        <v>1598</v>
      </c>
    </row>
    <row r="4" spans="2:12" x14ac:dyDescent="0.25">
      <c r="B4" s="5" t="s">
        <v>17</v>
      </c>
      <c r="C4" s="6"/>
      <c r="D4" s="100" t="str">
        <f>IFERROR(VLOOKUP(B4,'ERPsCRPs&amp;Spreads'!$B$8:$K$164,10,FALSE),"NA")</f>
        <v>NA</v>
      </c>
      <c r="E4" s="100">
        <f>IFERROR(VLOOKUP(B4,'ERPsCRPs&amp;Spreads'!$B$8:$H$164,7,FALSE),"NA")</f>
        <v>0.1948788194536</v>
      </c>
      <c r="F4" s="100" t="str">
        <f>IFERROR(VLOOKUP(B4,'ERPsCRPs&amp;Spreads'!$B$169:$I$189,8,FALSE),"NA")</f>
        <v>NA</v>
      </c>
      <c r="G4" s="100">
        <f>IF(D4&lt;&gt;"NA",D4,IF(E4&lt;&gt;"NA",E4,F4))</f>
        <v>0.1948788194536</v>
      </c>
      <c r="H4" s="117"/>
      <c r="I4" s="100" t="str">
        <f>IFERROR(VLOOKUP(B4,'ERPsCRPs&amp;Spreads'!$B$8:$K$164,9,FALSE),"NA")</f>
        <v>NA</v>
      </c>
      <c r="J4" s="100">
        <f>IFERROR(VLOOKUP(B4,'ERPsCRPs&amp;Spreads'!$B$8:$K$164,6,FALSE),"NA")</f>
        <v>0.16486569294547207</v>
      </c>
      <c r="K4" s="100" t="str">
        <f>IFERROR(VLOOKUP('CtryERP&amp;CRP'!B4,'ERPsCRPs&amp;Spreads'!$B$169:$I$189,7,FALSE),"NA")</f>
        <v>NA</v>
      </c>
      <c r="L4" s="100">
        <f>IF(I4&lt;&gt;"NA",I4,IF(J4&lt;&gt;"NA",J4,K4))</f>
        <v>0.16486569294547207</v>
      </c>
    </row>
    <row r="5" spans="2:12" x14ac:dyDescent="0.25">
      <c r="B5" s="5" t="s">
        <v>26</v>
      </c>
      <c r="C5" s="6"/>
      <c r="D5" s="100" t="str">
        <f>IFERROR(VLOOKUP(B5,'ERPsCRPs&amp;Spreads'!$B$8:$K$164,10,FALSE),"NA")</f>
        <v>NA</v>
      </c>
      <c r="E5" s="100" t="str">
        <f>IFERROR(VLOOKUP(B5,'ERPsCRPs&amp;Spreads'!$B$8:$H$164,7,FALSE),"NA")</f>
        <v>NA</v>
      </c>
      <c r="F5" s="100">
        <f>IFERROR(VLOOKUP(B5,'ERPsCRPs&amp;Spreads'!$B$169:$I$189,8,FALSE),"NA")</f>
        <v>4.7979259713724236E-2</v>
      </c>
      <c r="G5" s="100">
        <f>IF(D5&lt;&gt;"NA",D5,IF(E5&lt;&gt;"NA",E5,F5))</f>
        <v>4.7979259713724236E-2</v>
      </c>
      <c r="H5" s="117"/>
      <c r="I5" s="100" t="str">
        <f>IFERROR(VLOOKUP(B5,'ERPsCRPs&amp;Spreads'!$B$8:$K$164,9,FALSE),"NA")</f>
        <v>NA</v>
      </c>
      <c r="J5" s="100" t="str">
        <f>IFERROR(VLOOKUP(B5,'ERPsCRPs&amp;Spreads'!$B$8:$K$164,6,FALSE),"NA")</f>
        <v>NA</v>
      </c>
      <c r="K5" s="100">
        <f>IFERROR(VLOOKUP('CtryERP&amp;CRP'!B5,'ERPsCRPs&amp;Spreads'!$B$169:$I$189,7,FALSE),"NA")</f>
        <v>1.7966133205596316E-2</v>
      </c>
      <c r="L5" s="100">
        <f>IF(I5&lt;&gt;"NA",I5,IF(J5&lt;&gt;"NA",J5,K5))</f>
        <v>1.7966133205596316E-2</v>
      </c>
    </row>
    <row r="6" spans="2:12" x14ac:dyDescent="0.25">
      <c r="B6" s="5" t="s">
        <v>35</v>
      </c>
      <c r="C6" s="6"/>
      <c r="D6" s="100" t="str">
        <f>IFERROR(VLOOKUP(B6,'ERPsCRPs&amp;Spreads'!$B$8:$K$164,10,FALSE),"NA")</f>
        <v>NA</v>
      </c>
      <c r="E6" s="100">
        <f>IFERROR(VLOOKUP(B6,'ERPsCRPs&amp;Spreads'!$B$8:$H$164,7,FALSE),"NA")</f>
        <v>0.1948788194536</v>
      </c>
      <c r="F6" s="100" t="str">
        <f>IFERROR(VLOOKUP(B6,'ERPsCRPs&amp;Spreads'!$B$169:$I$189,8,FALSE),"NA")</f>
        <v>NA</v>
      </c>
      <c r="G6" s="100">
        <f>IF(D6&lt;&gt;"NA",D6,IF(E6&lt;&gt;"NA",E6,F6))</f>
        <v>0.1948788194536</v>
      </c>
      <c r="H6" s="117"/>
      <c r="I6" s="100" t="str">
        <f>IFERROR(VLOOKUP(B6,'ERPsCRPs&amp;Spreads'!$B$8:$K$164,9,FALSE),"NA")</f>
        <v>NA</v>
      </c>
      <c r="J6" s="100">
        <f>IFERROR(VLOOKUP(B6,'ERPsCRPs&amp;Spreads'!$B$8:$K$164,6,FALSE),"NA")</f>
        <v>0.16486569294547207</v>
      </c>
      <c r="K6" s="100" t="str">
        <f>IFERROR(VLOOKUP('CtryERP&amp;CRP'!B6,'ERPsCRPs&amp;Spreads'!$B$169:$I$189,7,FALSE),"NA")</f>
        <v>NA</v>
      </c>
      <c r="L6" s="100">
        <f>IF(I6&lt;&gt;"NA",I6,IF(J6&lt;&gt;"NA",J6,K6))</f>
        <v>0.16486569294547207</v>
      </c>
    </row>
    <row r="7" spans="2:12" x14ac:dyDescent="0.25">
      <c r="B7" s="5" t="s">
        <v>43</v>
      </c>
      <c r="C7" s="6"/>
      <c r="D7" s="100">
        <f>IFERROR(VLOOKUP(B7,'ERPsCRPs&amp;Spreads'!$B$8:$K$164,10,FALSE),"NA")</f>
        <v>4.7565813251418246E-2</v>
      </c>
      <c r="E7" s="100">
        <f>IFERROR(VLOOKUP(B7,'ERPsCRPs&amp;Spreads'!$B$8:$H$164,7,FALSE),"NA")</f>
        <v>5.1149753808829468E-2</v>
      </c>
      <c r="F7" s="100" t="str">
        <f>IFERROR(VLOOKUP(B7,'ERPsCRPs&amp;Spreads'!$B$169:$I$189,8,FALSE),"NA")</f>
        <v>NA</v>
      </c>
      <c r="G7" s="100">
        <f>IF(D7&lt;&gt;"NA",D7,IF(E7&lt;&gt;"NA",E7,F7))</f>
        <v>4.7565813251418246E-2</v>
      </c>
      <c r="H7" s="117"/>
      <c r="I7" s="100">
        <f>IFERROR(VLOOKUP(B7,'ERPsCRPs&amp;Spreads'!$B$8:$K$164,9,FALSE),"NA")</f>
        <v>1.7552686743290326E-2</v>
      </c>
      <c r="J7" s="100">
        <f>IFERROR(VLOOKUP(B7,'ERPsCRPs&amp;Spreads'!$B$8:$K$164,6,FALSE),"NA")</f>
        <v>2.1136627300701552E-2</v>
      </c>
      <c r="K7" s="100" t="str">
        <f>IFERROR(VLOOKUP('CtryERP&amp;CRP'!B7,'ERPsCRPs&amp;Spreads'!$B$169:$I$189,7,FALSE),"NA")</f>
        <v>NA</v>
      </c>
      <c r="L7" s="100">
        <f t="shared" ref="L7:L30" si="0">IF(I7&lt;&gt;"NA",I7,IF(J7&lt;&gt;"NA",J7,K7))</f>
        <v>1.7552686743290326E-2</v>
      </c>
    </row>
    <row r="8" spans="2:12" x14ac:dyDescent="0.25">
      <c r="B8" s="5" t="s">
        <v>50</v>
      </c>
      <c r="C8" s="6"/>
      <c r="D8" s="100" t="str">
        <f>IFERROR(VLOOKUP(B8,'ERPsCRPs&amp;Spreads'!$B$8:$K$164,10,FALSE),"NA")</f>
        <v>NA</v>
      </c>
      <c r="E8" s="100">
        <f>IFERROR(VLOOKUP(B8,'ERPsCRPs&amp;Spreads'!$B$8:$H$164,7,FALSE),"NA")</f>
        <v>0.16493526411093945</v>
      </c>
      <c r="F8" s="100" t="str">
        <f>IFERROR(VLOOKUP(B8,'ERPsCRPs&amp;Spreads'!$B$169:$I$189,8,FALSE),"NA")</f>
        <v>NA</v>
      </c>
      <c r="G8" s="100">
        <f t="shared" ref="G8:G30" si="1">IF(D8&lt;&gt;"NA",D8,IF(E8&lt;&gt;"NA",E8,F8))</f>
        <v>0.16493526411093945</v>
      </c>
      <c r="H8" s="117"/>
      <c r="I8" s="100" t="str">
        <f>IFERROR(VLOOKUP(B8,'ERPsCRPs&amp;Spreads'!$B$8:$K$164,9,FALSE),"NA")</f>
        <v>NA</v>
      </c>
      <c r="J8" s="100">
        <f>IFERROR(VLOOKUP(B8,'ERPsCRPs&amp;Spreads'!$B$8:$K$164,6,FALSE),"NA")</f>
        <v>0.13492213760281152</v>
      </c>
      <c r="K8" s="100" t="str">
        <f>IFERROR(VLOOKUP('CtryERP&amp;CRP'!B8,'ERPsCRPs&amp;Spreads'!$B$169:$I$189,7,FALSE),"NA")</f>
        <v>NA</v>
      </c>
      <c r="L8" s="100">
        <f t="shared" si="0"/>
        <v>0.13492213760281152</v>
      </c>
    </row>
    <row r="9" spans="2:12" x14ac:dyDescent="0.25">
      <c r="B9" s="5" t="s">
        <v>57</v>
      </c>
      <c r="C9" s="6"/>
      <c r="D9" s="100">
        <f>IFERROR(VLOOKUP(B9,'ERPsCRPs&amp;Spreads'!$B$8:$K$164,10,FALSE),"NA")</f>
        <v>4.2723692770510566E-2</v>
      </c>
      <c r="E9" s="100">
        <f>IFERROR(VLOOKUP(B9,'ERPsCRPs&amp;Spreads'!$B$8:$H$164,7,FALSE),"NA")</f>
        <v>4.7979259713724236E-2</v>
      </c>
      <c r="F9" s="100" t="str">
        <f>IFERROR(VLOOKUP(B9,'ERPsCRPs&amp;Spreads'!$B$169:$I$189,8,FALSE),"NA")</f>
        <v>NA</v>
      </c>
      <c r="G9" s="100">
        <f t="shared" si="1"/>
        <v>4.2723692770510566E-2</v>
      </c>
      <c r="H9" s="117"/>
      <c r="I9" s="100">
        <f>IFERROR(VLOOKUP(B9,'ERPsCRPs&amp;Spreads'!$B$8:$K$164,9,FALSE),"NA")</f>
        <v>1.271056626238265E-2</v>
      </c>
      <c r="J9" s="100">
        <f>IFERROR(VLOOKUP(B9,'ERPsCRPs&amp;Spreads'!$B$8:$K$164,6,FALSE),"NA")</f>
        <v>1.7966133205596316E-2</v>
      </c>
      <c r="K9" s="100" t="str">
        <f>IFERROR(VLOOKUP('CtryERP&amp;CRP'!B9,'ERPsCRPs&amp;Spreads'!$B$169:$I$189,7,FALSE),"NA")</f>
        <v>NA</v>
      </c>
      <c r="L9" s="100">
        <f t="shared" si="0"/>
        <v>1.271056626238265E-2</v>
      </c>
    </row>
    <row r="10" spans="2:12" x14ac:dyDescent="0.25">
      <c r="B10" s="5" t="s">
        <v>64</v>
      </c>
      <c r="C10" s="6"/>
      <c r="D10" s="100">
        <f>IFERROR(VLOOKUP(B10,'ERPsCRPs&amp;Spreads'!$B$8:$K$164,10,FALSE),"NA")</f>
        <v>5.0289506021928811E-2</v>
      </c>
      <c r="E10" s="100">
        <f>IFERROR(VLOOKUP(B10,'ERPsCRPs&amp;Spreads'!$B$8:$H$164,7,FALSE),"NA")</f>
        <v>9.5888948261981077E-2</v>
      </c>
      <c r="F10" s="100" t="str">
        <f>IFERROR(VLOOKUP(B10,'ERPsCRPs&amp;Spreads'!$B$169:$I$189,8,FALSE),"NA")</f>
        <v>NA</v>
      </c>
      <c r="G10" s="100">
        <f t="shared" si="1"/>
        <v>5.0289506021928811E-2</v>
      </c>
      <c r="H10" s="117"/>
      <c r="I10" s="100">
        <f>IFERROR(VLOOKUP(B10,'ERPsCRPs&amp;Spreads'!$B$8:$K$164,9,FALSE),"NA")</f>
        <v>2.0276379513800891E-2</v>
      </c>
      <c r="J10" s="100">
        <f>IFERROR(VLOOKUP(B10,'ERPsCRPs&amp;Spreads'!$B$8:$K$164,6,FALSE),"NA")</f>
        <v>6.5875821753853162E-2</v>
      </c>
      <c r="K10" s="100" t="str">
        <f>IFERROR(VLOOKUP('CtryERP&amp;CRP'!B10,'ERPsCRPs&amp;Spreads'!$B$169:$I$189,7,FALSE),"NA")</f>
        <v>NA</v>
      </c>
      <c r="L10" s="100">
        <f t="shared" si="0"/>
        <v>2.0276379513800891E-2</v>
      </c>
    </row>
    <row r="11" spans="2:12" x14ac:dyDescent="0.25">
      <c r="B11" s="5" t="s">
        <v>71</v>
      </c>
      <c r="C11" s="6"/>
      <c r="D11" s="100">
        <f>IFERROR(VLOOKUP(B11,'ERPsCRPs&amp;Spreads'!$B$8:$K$164,10,FALSE),"NA")</f>
        <v>6.5421132524765307E-2</v>
      </c>
      <c r="E11" s="100">
        <f>IFERROR(VLOOKUP(B11,'ERPsCRPs&amp;Spreads'!$B$8:$H$164,7,FALSE),"NA")</f>
        <v>8.7082020220022108E-2</v>
      </c>
      <c r="F11" s="100" t="str">
        <f>IFERROR(VLOOKUP(B11,'ERPsCRPs&amp;Spreads'!$B$169:$I$189,8,FALSE),"NA")</f>
        <v>NA</v>
      </c>
      <c r="G11" s="100">
        <f t="shared" si="1"/>
        <v>6.5421132524765307E-2</v>
      </c>
      <c r="H11" s="117"/>
      <c r="I11" s="100">
        <f>IFERROR(VLOOKUP(B11,'ERPsCRPs&amp;Spreads'!$B$8:$K$164,9,FALSE),"NA")</f>
        <v>3.5408006016637385E-2</v>
      </c>
      <c r="J11" s="100">
        <f>IFERROR(VLOOKUP(B11,'ERPsCRPs&amp;Spreads'!$B$8:$K$164,6,FALSE),"NA")</f>
        <v>5.7068893711894185E-2</v>
      </c>
      <c r="K11" s="100" t="str">
        <f>IFERROR(VLOOKUP('CtryERP&amp;CRP'!B11,'ERPsCRPs&amp;Spreads'!$B$169:$I$189,7,FALSE),"NA")</f>
        <v>NA</v>
      </c>
      <c r="L11" s="100">
        <f t="shared" si="0"/>
        <v>3.5408006016637385E-2</v>
      </c>
    </row>
    <row r="12" spans="2:12" x14ac:dyDescent="0.25">
      <c r="B12" s="5" t="s">
        <v>78</v>
      </c>
      <c r="C12" s="6"/>
      <c r="D12" s="100">
        <f>IFERROR(VLOOKUP(B12,'ERPsCRPs&amp;Spreads'!$B$8:$K$164,10,FALSE),"NA")</f>
        <v>3.5763144579205784E-2</v>
      </c>
      <c r="E12" s="100">
        <f>IFERROR(VLOOKUP(B12,'ERPsCRPs&amp;Spreads'!$B$8:$H$164,7,FALSE),"NA")</f>
        <v>5.1149753808829468E-2</v>
      </c>
      <c r="F12" s="100" t="str">
        <f>IFERROR(VLOOKUP(B12,'ERPsCRPs&amp;Spreads'!$B$169:$I$189,8,FALSE),"NA")</f>
        <v>NA</v>
      </c>
      <c r="G12" s="100">
        <f t="shared" si="1"/>
        <v>3.5763144579205784E-2</v>
      </c>
      <c r="H12" s="117"/>
      <c r="I12" s="100">
        <f>IFERROR(VLOOKUP(B12,'ERPsCRPs&amp;Spreads'!$B$8:$K$164,9,FALSE),"NA")</f>
        <v>5.7500180710778658E-3</v>
      </c>
      <c r="J12" s="100">
        <f>IFERROR(VLOOKUP(B12,'ERPsCRPs&amp;Spreads'!$B$8:$K$164,6,FALSE),"NA")</f>
        <v>2.1136627300701552E-2</v>
      </c>
      <c r="K12" s="100" t="str">
        <f>IFERROR(VLOOKUP('CtryERP&amp;CRP'!B12,'ERPsCRPs&amp;Spreads'!$B$169:$I$189,7,FALSE),"NA")</f>
        <v>NA</v>
      </c>
      <c r="L12" s="100">
        <f t="shared" si="0"/>
        <v>5.7500180710778658E-3</v>
      </c>
    </row>
    <row r="13" spans="2:12" x14ac:dyDescent="0.25">
      <c r="B13" s="5" t="s">
        <v>85</v>
      </c>
      <c r="C13" s="6"/>
      <c r="D13" s="100">
        <f>IFERROR(VLOOKUP(B13,'ERPsCRPs&amp;Spreads'!$B$8:$K$164,10,FALSE),"NA")</f>
        <v>3.6065777109262516E-2</v>
      </c>
      <c r="E13" s="100">
        <f>IFERROR(VLOOKUP(B13,'ERPsCRPs&amp;Spreads'!$B$8:$H$164,7,FALSE),"NA")</f>
        <v>4.4808765618619004E-2</v>
      </c>
      <c r="F13" s="100" t="str">
        <f>IFERROR(VLOOKUP(B13,'ERPsCRPs&amp;Spreads'!$B$169:$I$189,8,FALSE),"NA")</f>
        <v>NA</v>
      </c>
      <c r="G13" s="100">
        <f t="shared" si="1"/>
        <v>3.6065777109262516E-2</v>
      </c>
      <c r="H13" s="117"/>
      <c r="I13" s="100">
        <f>IFERROR(VLOOKUP(B13,'ERPsCRPs&amp;Spreads'!$B$8:$K$164,9,FALSE),"NA")</f>
        <v>6.0526506011345958E-3</v>
      </c>
      <c r="J13" s="100">
        <f>IFERROR(VLOOKUP(B13,'ERPsCRPs&amp;Spreads'!$B$8:$K$164,6,FALSE),"NA")</f>
        <v>1.4795639110491083E-2</v>
      </c>
      <c r="K13" s="100" t="str">
        <f>IFERROR(VLOOKUP('CtryERP&amp;CRP'!B13,'ERPsCRPs&amp;Spreads'!$B$169:$I$189,7,FALSE),"NA")</f>
        <v>NA</v>
      </c>
      <c r="L13" s="100">
        <f t="shared" si="0"/>
        <v>6.0526506011345958E-3</v>
      </c>
    </row>
    <row r="14" spans="2:12" x14ac:dyDescent="0.25">
      <c r="B14" s="5" t="s">
        <v>92</v>
      </c>
      <c r="C14" s="6"/>
      <c r="D14" s="100" t="str">
        <f>IFERROR(VLOOKUP(B14,'ERPsCRPs&amp;Spreads'!$B$8:$K$164,10,FALSE),"NA")</f>
        <v>NA</v>
      </c>
      <c r="E14" s="100" t="str">
        <f>IFERROR(VLOOKUP(B14,'ERPsCRPs&amp;Spreads'!$B$8:$H$164,7,FALSE),"NA")</f>
        <v>NA</v>
      </c>
      <c r="F14" s="100">
        <f>IFERROR(VLOOKUP(B14,'ERPsCRPs&amp;Spreads'!$B$169:$I$189,8,FALSE),"NA")</f>
        <v>0.38968806774173265</v>
      </c>
      <c r="G14" s="100">
        <f t="shared" si="1"/>
        <v>0.38968806774173265</v>
      </c>
      <c r="H14" s="117"/>
      <c r="I14" s="100" t="str">
        <f>IFERROR(VLOOKUP(B14,'ERPsCRPs&amp;Spreads'!$B$8:$K$164,9,FALSE),"NA")</f>
        <v>NA</v>
      </c>
      <c r="J14" s="100" t="str">
        <f>IFERROR(VLOOKUP(B14,'ERPsCRPs&amp;Spreads'!$B$8:$K$164,6,FALSE),"NA")</f>
        <v>NA</v>
      </c>
      <c r="K14" s="100">
        <f>IFERROR(VLOOKUP('CtryERP&amp;CRP'!B14,'ERPsCRPs&amp;Spreads'!$B$169:$I$189,7,FALSE),"NA")</f>
        <v>0.35967494123360472</v>
      </c>
      <c r="L14" s="100">
        <f t="shared" si="0"/>
        <v>0.35967494123360472</v>
      </c>
    </row>
    <row r="15" spans="2:12" x14ac:dyDescent="0.25">
      <c r="B15" s="5" t="s">
        <v>99</v>
      </c>
      <c r="C15" s="6"/>
      <c r="D15" s="100" t="str">
        <f>IFERROR(VLOOKUP(B15,'ERPsCRPs&amp;Spreads'!$B$8:$K$164,10,FALSE),"NA")</f>
        <v>NA</v>
      </c>
      <c r="E15" s="100">
        <f>IFERROR(VLOOKUP(B15,'ERPsCRPs&amp;Spreads'!$B$8:$H$164,7,FALSE),"NA")</f>
        <v>0.3298009570564116</v>
      </c>
      <c r="F15" s="100" t="str">
        <f>IFERROR(VLOOKUP(B15,'ERPsCRPs&amp;Spreads'!$B$169:$I$189,8,FALSE),"NA")</f>
        <v>NA</v>
      </c>
      <c r="G15" s="100">
        <f t="shared" si="1"/>
        <v>0.3298009570564116</v>
      </c>
      <c r="H15" s="117"/>
      <c r="I15" s="100" t="str">
        <f>IFERROR(VLOOKUP(B15,'ERPsCRPs&amp;Spreads'!$B$8:$K$164,9,FALSE),"NA")</f>
        <v>NA</v>
      </c>
      <c r="J15" s="100">
        <f>IFERROR(VLOOKUP(B15,'ERPsCRPs&amp;Spreads'!$B$8:$K$164,6,FALSE),"NA")</f>
        <v>0.29978783054828367</v>
      </c>
      <c r="K15" s="100" t="str">
        <f>IFERROR(VLOOKUP('CtryERP&amp;CRP'!B15,'ERPsCRPs&amp;Spreads'!$B$169:$I$189,7,FALSE),"NA")</f>
        <v>NA</v>
      </c>
      <c r="L15" s="100">
        <f t="shared" si="0"/>
        <v>0.29978783054828367</v>
      </c>
    </row>
    <row r="16" spans="2:12" x14ac:dyDescent="0.25">
      <c r="B16" s="5" t="s">
        <v>106</v>
      </c>
      <c r="C16" s="6"/>
      <c r="D16" s="100" t="str">
        <f>IFERROR(VLOOKUP(B16,'ERPsCRPs&amp;Spreads'!$B$8:$K$164,10,FALSE),"NA")</f>
        <v>NA</v>
      </c>
      <c r="E16" s="100">
        <f>IFERROR(VLOOKUP(B16,'ERPsCRPs&amp;Spreads'!$B$8:$H$164,7,FALSE),"NA")</f>
        <v>4.7979259713724236E-2</v>
      </c>
      <c r="F16" s="100" t="str">
        <f>IFERROR(VLOOKUP(B16,'ERPsCRPs&amp;Spreads'!$B$169:$I$189,8,FALSE),"NA")</f>
        <v>NA</v>
      </c>
      <c r="G16" s="100">
        <f t="shared" si="1"/>
        <v>4.7979259713724236E-2</v>
      </c>
      <c r="H16" s="117"/>
      <c r="I16" s="100" t="str">
        <f>IFERROR(VLOOKUP(B16,'ERPsCRPs&amp;Spreads'!$B$8:$K$164,9,FALSE),"NA")</f>
        <v>NA</v>
      </c>
      <c r="J16" s="100">
        <f>IFERROR(VLOOKUP(B16,'ERPsCRPs&amp;Spreads'!$B$8:$K$164,6,FALSE),"NA")</f>
        <v>1.7966133205596316E-2</v>
      </c>
      <c r="K16" s="100" t="str">
        <f>IFERROR(VLOOKUP('CtryERP&amp;CRP'!B16,'ERPsCRPs&amp;Spreads'!$B$169:$I$189,7,FALSE),"NA")</f>
        <v>NA</v>
      </c>
      <c r="L16" s="100">
        <f t="shared" si="0"/>
        <v>1.7966133205596316E-2</v>
      </c>
    </row>
    <row r="17" spans="2:12" x14ac:dyDescent="0.25">
      <c r="B17" s="5" t="s">
        <v>113</v>
      </c>
      <c r="C17" s="6"/>
      <c r="D17" s="100">
        <f>IFERROR(VLOOKUP(B17,'ERPsCRPs&amp;Spreads'!$B$8:$K$164,10,FALSE),"NA")</f>
        <v>4.9381608431758622E-2</v>
      </c>
      <c r="E17" s="100">
        <f>IFERROR(VLOOKUP(B17,'ERPsCRPs&amp;Spreads'!$B$8:$H$164,7,FALSE),"NA")</f>
        <v>6.5945392919320556E-2</v>
      </c>
      <c r="F17" s="100" t="str">
        <f>IFERROR(VLOOKUP(B17,'ERPsCRPs&amp;Spreads'!$B$169:$I$189,8,FALSE),"NA")</f>
        <v>NA</v>
      </c>
      <c r="G17" s="100">
        <f t="shared" si="1"/>
        <v>4.9381608431758622E-2</v>
      </c>
      <c r="H17" s="117"/>
      <c r="I17" s="100">
        <f>IFERROR(VLOOKUP(B17,'ERPsCRPs&amp;Spreads'!$B$8:$K$164,9,FALSE),"NA")</f>
        <v>1.9368481923630703E-2</v>
      </c>
      <c r="J17" s="100">
        <f>IFERROR(VLOOKUP(B17,'ERPsCRPs&amp;Spreads'!$B$8:$K$164,6,FALSE),"NA")</f>
        <v>3.5932266411192633E-2</v>
      </c>
      <c r="K17" s="100" t="str">
        <f>IFERROR(VLOOKUP('CtryERP&amp;CRP'!B17,'ERPsCRPs&amp;Spreads'!$B$169:$I$189,7,FALSE),"NA")</f>
        <v>NA</v>
      </c>
      <c r="L17" s="100">
        <f t="shared" si="0"/>
        <v>1.9368481923630703E-2</v>
      </c>
    </row>
    <row r="18" spans="2:12" x14ac:dyDescent="0.25">
      <c r="B18" s="5" t="s">
        <v>120</v>
      </c>
      <c r="C18" s="6"/>
      <c r="D18" s="100" t="str">
        <f>IFERROR(VLOOKUP(B18,'ERPsCRPs&amp;Spreads'!$B$8:$K$164,10,FALSE),"NA")</f>
        <v>NA</v>
      </c>
      <c r="E18" s="100">
        <f>IFERROR(VLOOKUP(B18,'ERPsCRPs&amp;Spreads'!$B$8:$H$164,7,FALSE),"NA")</f>
        <v>0.29985740171375097</v>
      </c>
      <c r="F18" s="100" t="str">
        <f>IFERROR(VLOOKUP(B18,'ERPsCRPs&amp;Spreads'!$B$169:$I$189,8,FALSE),"NA")</f>
        <v>NA</v>
      </c>
      <c r="G18" s="100">
        <f t="shared" si="1"/>
        <v>0.29985740171375097</v>
      </c>
      <c r="H18" s="117"/>
      <c r="I18" s="100" t="str">
        <f>IFERROR(VLOOKUP(B18,'ERPsCRPs&amp;Spreads'!$B$8:$K$164,9,FALSE),"NA")</f>
        <v>NA</v>
      </c>
      <c r="J18" s="100">
        <f>IFERROR(VLOOKUP(B18,'ERPsCRPs&amp;Spreads'!$B$8:$K$164,6,FALSE),"NA")</f>
        <v>0.26984427520562304</v>
      </c>
      <c r="K18" s="100" t="str">
        <f>IFERROR(VLOOKUP('CtryERP&amp;CRP'!B18,'ERPsCRPs&amp;Spreads'!$B$169:$I$189,7,FALSE),"NA")</f>
        <v>NA</v>
      </c>
      <c r="L18" s="100">
        <f t="shared" si="0"/>
        <v>0.26984427520562304</v>
      </c>
    </row>
    <row r="19" spans="2:12" x14ac:dyDescent="0.25">
      <c r="B19" s="5" t="s">
        <v>127</v>
      </c>
      <c r="C19" s="6"/>
      <c r="D19" s="100">
        <f>IFERROR(VLOOKUP(B19,'ERPsCRPs&amp;Spreads'!$B$8:$K$164,10,FALSE),"NA")</f>
        <v>0.15742142166201115</v>
      </c>
      <c r="E19" s="100">
        <f>IFERROR(VLOOKUP(B19,'ERPsCRPs&amp;Spreads'!$B$8:$H$164,7,FALSE),"NA")</f>
        <v>0.1948788194536</v>
      </c>
      <c r="F19" s="100" t="str">
        <f>IFERROR(VLOOKUP(B19,'ERPsCRPs&amp;Spreads'!$B$169:$I$189,8,FALSE),"NA")</f>
        <v>NA</v>
      </c>
      <c r="G19" s="100">
        <f t="shared" si="1"/>
        <v>0.15742142166201115</v>
      </c>
      <c r="H19" s="117"/>
      <c r="I19" s="100">
        <f>IFERROR(VLOOKUP(B19,'ERPsCRPs&amp;Spreads'!$B$8:$K$164,9,FALSE),"NA")</f>
        <v>0.12740829515388322</v>
      </c>
      <c r="J19" s="100">
        <f>IFERROR(VLOOKUP(B19,'ERPsCRPs&amp;Spreads'!$B$8:$K$164,6,FALSE),"NA")</f>
        <v>0.16486569294547207</v>
      </c>
      <c r="K19" s="100" t="str">
        <f>IFERROR(VLOOKUP('CtryERP&amp;CRP'!B19,'ERPsCRPs&amp;Spreads'!$B$169:$I$189,7,FALSE),"NA")</f>
        <v>NA</v>
      </c>
      <c r="L19" s="100">
        <f t="shared" si="0"/>
        <v>0.12740829515388322</v>
      </c>
    </row>
    <row r="20" spans="2:12" x14ac:dyDescent="0.25">
      <c r="B20" s="5" t="s">
        <v>133</v>
      </c>
      <c r="C20" s="6"/>
      <c r="D20" s="100" t="str">
        <f>IFERROR(VLOOKUP(B20,'ERPsCRPs&amp;Spreads'!$B$8:$K$164,10,FALSE),"NA")</f>
        <v>NA</v>
      </c>
      <c r="E20" s="100" t="str">
        <f>IFERROR(VLOOKUP(B20,'ERPsCRPs&amp;Spreads'!$B$8:$H$164,7,FALSE),"NA")</f>
        <v>NA</v>
      </c>
      <c r="F20" s="100">
        <f>IFERROR(VLOOKUP(B20,'ERPsCRPs&amp;Spreads'!$B$169:$I$189,8,FALSE),"NA")</f>
        <v>0.3298009570564116</v>
      </c>
      <c r="G20" s="100">
        <f t="shared" si="1"/>
        <v>0.3298009570564116</v>
      </c>
      <c r="H20" s="117"/>
      <c r="I20" s="100" t="str">
        <f>IFERROR(VLOOKUP(B20,'ERPsCRPs&amp;Spreads'!$B$8:$K$164,9,FALSE),"NA")</f>
        <v>NA</v>
      </c>
      <c r="J20" s="100" t="str">
        <f>IFERROR(VLOOKUP(B20,'ERPsCRPs&amp;Spreads'!$B$8:$K$164,6,FALSE),"NA")</f>
        <v>NA</v>
      </c>
      <c r="K20" s="100">
        <f>IFERROR(VLOOKUP('CtryERP&amp;CRP'!B20,'ERPsCRPs&amp;Spreads'!$B$169:$I$189,7,FALSE),"NA")</f>
        <v>0.29978783054828367</v>
      </c>
      <c r="L20" s="100">
        <f t="shared" si="0"/>
        <v>0.29978783054828367</v>
      </c>
    </row>
    <row r="21" spans="2:12" x14ac:dyDescent="0.25">
      <c r="B21" s="5" t="s">
        <v>138</v>
      </c>
      <c r="C21" s="6"/>
      <c r="D21" s="100" t="str">
        <f>IFERROR(VLOOKUP(B21,'ERPsCRPs&amp;Spreads'!$B$8:$K$164,10,FALSE),"NA")</f>
        <v>NA</v>
      </c>
      <c r="E21" s="100">
        <f>IFERROR(VLOOKUP(B21,'ERPsCRPs&amp;Spreads'!$B$8:$H$164,7,FALSE),"NA")</f>
        <v>0.13780992574170581</v>
      </c>
      <c r="F21" s="100" t="str">
        <f>IFERROR(VLOOKUP(B21,'ERPsCRPs&amp;Spreads'!$B$169:$I$189,8,FALSE),"NA")</f>
        <v>NA</v>
      </c>
      <c r="G21" s="100">
        <f t="shared" si="1"/>
        <v>0.13780992574170581</v>
      </c>
      <c r="H21" s="117"/>
      <c r="I21" s="100" t="str">
        <f>IFERROR(VLOOKUP(B21,'ERPsCRPs&amp;Spreads'!$B$8:$K$164,9,FALSE),"NA")</f>
        <v>NA</v>
      </c>
      <c r="J21" s="100">
        <f>IFERROR(VLOOKUP(B21,'ERPsCRPs&amp;Spreads'!$B$8:$K$164,6,FALSE),"NA")</f>
        <v>0.10779679923357789</v>
      </c>
      <c r="K21" s="100" t="str">
        <f>IFERROR(VLOOKUP('CtryERP&amp;CRP'!B21,'ERPsCRPs&amp;Spreads'!$B$169:$I$189,7,FALSE),"NA")</f>
        <v>NA</v>
      </c>
      <c r="L21" s="100">
        <f t="shared" si="0"/>
        <v>0.10779679923357789</v>
      </c>
    </row>
    <row r="22" spans="2:12" x14ac:dyDescent="0.25">
      <c r="B22" s="5" t="s">
        <v>143</v>
      </c>
      <c r="C22" s="6"/>
      <c r="D22" s="100">
        <f>IFERROR(VLOOKUP(B22,'ERPsCRPs&amp;Spreads'!$B$8:$K$164,10,FALSE),"NA")</f>
        <v>0.25607962646050508</v>
      </c>
      <c r="E22" s="100">
        <f>IFERROR(VLOOKUP(B22,'ERPsCRPs&amp;Spreads'!$B$8:$H$164,7,FALSE),"NA")</f>
        <v>0.29985740171375097</v>
      </c>
      <c r="F22" s="100" t="str">
        <f>IFERROR(VLOOKUP(B22,'ERPsCRPs&amp;Spreads'!$B$169:$I$189,8,FALSE),"NA")</f>
        <v>NA</v>
      </c>
      <c r="G22" s="100">
        <f t="shared" si="1"/>
        <v>0.25607962646050508</v>
      </c>
      <c r="H22" s="117"/>
      <c r="I22" s="100">
        <f>IFERROR(VLOOKUP(B22,'ERPsCRPs&amp;Spreads'!$B$8:$K$164,9,FALSE),"NA")</f>
        <v>0.22606649995237715</v>
      </c>
      <c r="J22" s="100">
        <f>IFERROR(VLOOKUP(B22,'ERPsCRPs&amp;Spreads'!$B$8:$K$164,6,FALSE),"NA")</f>
        <v>0.26984427520562304</v>
      </c>
      <c r="K22" s="100" t="str">
        <f>IFERROR(VLOOKUP('CtryERP&amp;CRP'!B22,'ERPsCRPs&amp;Spreads'!$B$169:$I$189,7,FALSE),"NA")</f>
        <v>NA</v>
      </c>
      <c r="L22" s="100">
        <f t="shared" si="0"/>
        <v>0.22606649995237715</v>
      </c>
    </row>
    <row r="23" spans="2:12" x14ac:dyDescent="0.25">
      <c r="B23" s="5" t="s">
        <v>148</v>
      </c>
      <c r="C23" s="6"/>
      <c r="D23" s="100" t="str">
        <f>IFERROR(VLOOKUP(B23,'ERPsCRPs&amp;Spreads'!$B$8:$K$164,10,FALSE),"NA")</f>
        <v>NA</v>
      </c>
      <c r="E23" s="100">
        <f>IFERROR(VLOOKUP(B23,'ERPsCRPs&amp;Spreads'!$B$8:$H$164,7,FALSE),"NA")</f>
        <v>0.1948788194536</v>
      </c>
      <c r="F23" s="100" t="str">
        <f>IFERROR(VLOOKUP(B23,'ERPsCRPs&amp;Spreads'!$B$169:$I$189,8,FALSE),"NA")</f>
        <v>NA</v>
      </c>
      <c r="G23" s="100">
        <f t="shared" si="1"/>
        <v>0.1948788194536</v>
      </c>
      <c r="H23" s="117"/>
      <c r="I23" s="100" t="str">
        <f>IFERROR(VLOOKUP(B23,'ERPsCRPs&amp;Spreads'!$B$8:$K$164,9,FALSE),"NA")</f>
        <v>NA</v>
      </c>
      <c r="J23" s="100">
        <f>IFERROR(VLOOKUP(B23,'ERPsCRPs&amp;Spreads'!$B$8:$K$164,6,FALSE),"NA")</f>
        <v>0.16486569294547207</v>
      </c>
      <c r="K23" s="100" t="str">
        <f>IFERROR(VLOOKUP('CtryERP&amp;CRP'!B23,'ERPsCRPs&amp;Spreads'!$B$169:$I$189,7,FALSE),"NA")</f>
        <v>NA</v>
      </c>
      <c r="L23" s="100">
        <f t="shared" si="0"/>
        <v>0.16486569294547207</v>
      </c>
    </row>
    <row r="24" spans="2:12" x14ac:dyDescent="0.25">
      <c r="B24" s="5" t="s">
        <v>153</v>
      </c>
      <c r="C24" s="6"/>
      <c r="D24" s="100">
        <f>IFERROR(VLOOKUP(B24,'ERPsCRPs&amp;Spreads'!$B$8:$K$164,10,FALSE),"NA")</f>
        <v>5.9671114453687432E-2</v>
      </c>
      <c r="E24" s="100">
        <f>IFERROR(VLOOKUP(B24,'ERPsCRPs&amp;Spreads'!$B$8:$H$164,7,FALSE),"NA")</f>
        <v>8.7082020220022108E-2</v>
      </c>
      <c r="F24" s="100" t="str">
        <f>IFERROR(VLOOKUP(B24,'ERPsCRPs&amp;Spreads'!$B$169:$I$189,8,FALSE),"NA")</f>
        <v>NA</v>
      </c>
      <c r="G24" s="100">
        <f t="shared" si="1"/>
        <v>5.9671114453687432E-2</v>
      </c>
      <c r="H24" s="117"/>
      <c r="I24" s="100">
        <f>IFERROR(VLOOKUP(B24,'ERPsCRPs&amp;Spreads'!$B$8:$K$164,9,FALSE),"NA")</f>
        <v>2.9657987945559516E-2</v>
      </c>
      <c r="J24" s="100">
        <f>IFERROR(VLOOKUP(B24,'ERPsCRPs&amp;Spreads'!$B$8:$K$164,6,FALSE),"NA")</f>
        <v>5.7068893711894185E-2</v>
      </c>
      <c r="K24" s="100" t="str">
        <f>IFERROR(VLOOKUP('CtryERP&amp;CRP'!B24,'ERPsCRPs&amp;Spreads'!$B$169:$I$189,7,FALSE),"NA")</f>
        <v>NA</v>
      </c>
      <c r="L24" s="100">
        <f t="shared" si="0"/>
        <v>2.9657987945559516E-2</v>
      </c>
    </row>
    <row r="25" spans="2:12" x14ac:dyDescent="0.25">
      <c r="B25" s="5" t="s">
        <v>157</v>
      </c>
      <c r="C25" s="6"/>
      <c r="D25" s="100" t="str">
        <f>IFERROR(VLOOKUP(B25,'ERPsCRPs&amp;Spreads'!$B$8:$K$164,10,FALSE),"NA")</f>
        <v>NA</v>
      </c>
      <c r="E25" s="100">
        <f>IFERROR(VLOOKUP(B25,'ERPsCRPs&amp;Spreads'!$B$8:$H$164,7,FALSE),"NA")</f>
        <v>3.0013126508127919E-2</v>
      </c>
      <c r="F25" s="100" t="str">
        <f>IFERROR(VLOOKUP(B25,'ERPsCRPs&amp;Spreads'!$B$169:$I$189,8,FALSE),"NA")</f>
        <v>NA</v>
      </c>
      <c r="G25" s="100">
        <f t="shared" si="1"/>
        <v>3.0013126508127919E-2</v>
      </c>
      <c r="H25" s="117"/>
      <c r="I25" s="100" t="str">
        <f>IFERROR(VLOOKUP(B25,'ERPsCRPs&amp;Spreads'!$B$8:$K$164,9,FALSE),"NA")</f>
        <v>NA</v>
      </c>
      <c r="J25" s="100">
        <f>IFERROR(VLOOKUP(B25,'ERPsCRPs&amp;Spreads'!$B$8:$K$164,6,FALSE),"NA")</f>
        <v>0</v>
      </c>
      <c r="K25" s="100" t="str">
        <f>IFERROR(VLOOKUP('CtryERP&amp;CRP'!B25,'ERPsCRPs&amp;Spreads'!$B$169:$I$189,7,FALSE),"NA")</f>
        <v>NA</v>
      </c>
      <c r="L25" s="100">
        <f t="shared" si="0"/>
        <v>0</v>
      </c>
    </row>
    <row r="26" spans="2:12" x14ac:dyDescent="0.25">
      <c r="B26" s="5" t="s">
        <v>160</v>
      </c>
      <c r="C26" s="6"/>
      <c r="D26" s="100" t="str">
        <f>IFERROR(VLOOKUP(B26,'ERPsCRPs&amp;Spreads'!$B$8:$K$164,10,FALSE),"NA")</f>
        <v>NA</v>
      </c>
      <c r="E26" s="100">
        <f>IFERROR(VLOOKUP(B26,'ERPsCRPs&amp;Spreads'!$B$8:$H$164,7,FALSE),"NA")</f>
        <v>0.25476593013892102</v>
      </c>
      <c r="F26" s="100" t="str">
        <f>IFERROR(VLOOKUP(B26,'ERPsCRPs&amp;Spreads'!$B$169:$I$189,8,FALSE),"NA")</f>
        <v>NA</v>
      </c>
      <c r="G26" s="100">
        <f t="shared" si="1"/>
        <v>0.25476593013892102</v>
      </c>
      <c r="H26" s="117"/>
      <c r="I26" s="100" t="str">
        <f>IFERROR(VLOOKUP(B26,'ERPsCRPs&amp;Spreads'!$B$8:$K$164,9,FALSE),"NA")</f>
        <v>NA</v>
      </c>
      <c r="J26" s="100">
        <f>IFERROR(VLOOKUP(B26,'ERPsCRPs&amp;Spreads'!$B$8:$K$164,6,FALSE),"NA")</f>
        <v>0.22475280363079311</v>
      </c>
      <c r="K26" s="100" t="str">
        <f>IFERROR(VLOOKUP('CtryERP&amp;CRP'!B26,'ERPsCRPs&amp;Spreads'!$B$169:$I$189,7,FALSE),"NA")</f>
        <v>NA</v>
      </c>
      <c r="L26" s="100">
        <f t="shared" si="0"/>
        <v>0.22475280363079311</v>
      </c>
    </row>
    <row r="27" spans="2:12" x14ac:dyDescent="0.25">
      <c r="B27" s="5" t="s">
        <v>164</v>
      </c>
      <c r="C27" s="6"/>
      <c r="D27" s="100">
        <f>IFERROR(VLOOKUP(B27,'ERPsCRPs&amp;Spreads'!$B$8:$K$164,10,FALSE),"NA")</f>
        <v>0.17194778310473419</v>
      </c>
      <c r="E27" s="100">
        <f>IFERROR(VLOOKUP(B27,'ERPsCRPs&amp;Spreads'!$B$8:$H$164,7,FALSE),"NA")</f>
        <v>0.38968806774173265</v>
      </c>
      <c r="F27" s="100" t="str">
        <f>IFERROR(VLOOKUP(B27,'ERPsCRPs&amp;Spreads'!$B$169:$I$189,8,FALSE),"NA")</f>
        <v>NA</v>
      </c>
      <c r="G27" s="100">
        <f t="shared" si="1"/>
        <v>0.17194778310473419</v>
      </c>
      <c r="H27" s="117"/>
      <c r="I27" s="100">
        <f>IFERROR(VLOOKUP(B27,'ERPsCRPs&amp;Spreads'!$B$8:$K$164,9,FALSE),"NA")</f>
        <v>0.14193465659660626</v>
      </c>
      <c r="J27" s="100">
        <f>IFERROR(VLOOKUP(B27,'ERPsCRPs&amp;Spreads'!$B$8:$K$164,6,FALSE),"NA")</f>
        <v>0.35967494123360472</v>
      </c>
      <c r="K27" s="100" t="str">
        <f>IFERROR(VLOOKUP('CtryERP&amp;CRP'!B27,'ERPsCRPs&amp;Spreads'!$B$169:$I$189,7,FALSE),"NA")</f>
        <v>NA</v>
      </c>
      <c r="L27" s="100">
        <f t="shared" si="0"/>
        <v>0.14193465659660626</v>
      </c>
    </row>
    <row r="28" spans="2:12" x14ac:dyDescent="0.25">
      <c r="B28" s="5" t="s">
        <v>168</v>
      </c>
      <c r="C28" s="6"/>
      <c r="D28" s="100" t="str">
        <f>IFERROR(VLOOKUP(B28,'ERPsCRPs&amp;Spreads'!$B$8:$K$164,10,FALSE),"NA")</f>
        <v>NA</v>
      </c>
      <c r="E28" s="100">
        <f>IFERROR(VLOOKUP(B28,'ERPsCRPs&amp;Spreads'!$B$8:$H$164,7,FALSE),"NA")</f>
        <v>4.7979259713724236E-2</v>
      </c>
      <c r="F28" s="100" t="str">
        <f>IFERROR(VLOOKUP(B28,'ERPsCRPs&amp;Spreads'!$B$169:$I$189,8,FALSE),"NA")</f>
        <v>NA</v>
      </c>
      <c r="G28" s="100">
        <f t="shared" si="1"/>
        <v>4.7979259713724236E-2</v>
      </c>
      <c r="H28" s="117"/>
      <c r="I28" s="100" t="str">
        <f>IFERROR(VLOOKUP(B28,'ERPsCRPs&amp;Spreads'!$B$8:$K$164,9,FALSE),"NA")</f>
        <v>NA</v>
      </c>
      <c r="J28" s="100">
        <f>IFERROR(VLOOKUP(B28,'ERPsCRPs&amp;Spreads'!$B$8:$K$164,6,FALSE),"NA")</f>
        <v>1.7966133205596316E-2</v>
      </c>
      <c r="K28" s="100" t="str">
        <f>IFERROR(VLOOKUP('CtryERP&amp;CRP'!B28,'ERPsCRPs&amp;Spreads'!$B$169:$I$189,7,FALSE),"NA")</f>
        <v>NA</v>
      </c>
      <c r="L28" s="100">
        <f t="shared" si="0"/>
        <v>1.7966133205596316E-2</v>
      </c>
    </row>
    <row r="29" spans="2:12" x14ac:dyDescent="0.25">
      <c r="B29" s="5" t="s">
        <v>172</v>
      </c>
      <c r="C29" s="6"/>
      <c r="D29" s="100">
        <f>IFERROR(VLOOKUP(B29,'ERPsCRPs&amp;Spreads'!$B$8:$K$164,10,FALSE),"NA")</f>
        <v>4.6657915661248051E-2</v>
      </c>
      <c r="E29" s="100">
        <f>IFERROR(VLOOKUP(B29,'ERPsCRPs&amp;Spreads'!$B$8:$H$164,7,FALSE),"NA")</f>
        <v>7.792281505638475E-2</v>
      </c>
      <c r="F29" s="100" t="str">
        <f>IFERROR(VLOOKUP(B29,'ERPsCRPs&amp;Spreads'!$B$169:$I$189,8,FALSE),"NA")</f>
        <v>NA</v>
      </c>
      <c r="G29" s="100">
        <f t="shared" si="1"/>
        <v>4.6657915661248051E-2</v>
      </c>
      <c r="H29" s="117"/>
      <c r="I29" s="100">
        <f>IFERROR(VLOOKUP(B29,'ERPsCRPs&amp;Spreads'!$B$8:$K$164,9,FALSE),"NA")</f>
        <v>1.6644789153120135E-2</v>
      </c>
      <c r="J29" s="100">
        <f>IFERROR(VLOOKUP(B29,'ERPsCRPs&amp;Spreads'!$B$8:$K$164,6,FALSE),"NA")</f>
        <v>4.7909688548256828E-2</v>
      </c>
      <c r="K29" s="100" t="str">
        <f>IFERROR(VLOOKUP('CtryERP&amp;CRP'!B29,'ERPsCRPs&amp;Spreads'!$B$169:$I$189,7,FALSE),"NA")</f>
        <v>NA</v>
      </c>
      <c r="L29" s="100">
        <f t="shared" si="0"/>
        <v>1.6644789153120135E-2</v>
      </c>
    </row>
    <row r="30" spans="2:12" x14ac:dyDescent="0.25">
      <c r="B30" s="5" t="s">
        <v>176</v>
      </c>
      <c r="C30" s="6"/>
      <c r="D30" s="100">
        <f>IFERROR(VLOOKUP(B30,'ERPsCRPs&amp;Spreads'!$B$8:$K$164,10,FALSE),"NA")</f>
        <v>7.2381680716070082E-2</v>
      </c>
      <c r="E30" s="100">
        <f>IFERROR(VLOOKUP(B30,'ERPsCRPs&amp;Spreads'!$B$8:$H$164,7,FALSE),"NA")</f>
        <v>0.12019606965778785</v>
      </c>
      <c r="F30" s="100" t="str">
        <f>IFERROR(VLOOKUP(B30,'ERPsCRPs&amp;Spreads'!$B$169:$I$189,8,FALSE),"NA")</f>
        <v>NA</v>
      </c>
      <c r="G30" s="100">
        <f t="shared" si="1"/>
        <v>7.2381680716070082E-2</v>
      </c>
      <c r="H30" s="117"/>
      <c r="I30" s="100">
        <f>IFERROR(VLOOKUP(B30,'ERPsCRPs&amp;Spreads'!$B$8:$K$164,9,FALSE),"NA")</f>
        <v>4.2368554207942159E-2</v>
      </c>
      <c r="J30" s="100">
        <f>IFERROR(VLOOKUP(B30,'ERPsCRPs&amp;Spreads'!$B$8:$K$164,6,FALSE),"NA")</f>
        <v>9.0182943149659939E-2</v>
      </c>
      <c r="K30" s="100" t="str">
        <f>IFERROR(VLOOKUP('CtryERP&amp;CRP'!B30,'ERPsCRPs&amp;Spreads'!$B$169:$I$189,7,FALSE),"NA")</f>
        <v>NA</v>
      </c>
      <c r="L30" s="100">
        <f t="shared" si="0"/>
        <v>4.2368554207942159E-2</v>
      </c>
    </row>
    <row r="32" spans="2:12" ht="15.75" x14ac:dyDescent="0.25">
      <c r="B32" s="92" t="s">
        <v>9</v>
      </c>
      <c r="C32" s="91"/>
      <c r="D32" s="91" t="s">
        <v>1592</v>
      </c>
      <c r="E32" s="91" t="s">
        <v>1593</v>
      </c>
      <c r="F32" s="91" t="s">
        <v>1591</v>
      </c>
      <c r="G32" s="91" t="s">
        <v>1594</v>
      </c>
      <c r="H32" s="93"/>
      <c r="I32" s="91" t="s">
        <v>1595</v>
      </c>
      <c r="J32" s="91" t="s">
        <v>1596</v>
      </c>
      <c r="K32" s="91" t="s">
        <v>1597</v>
      </c>
      <c r="L32" s="91" t="s">
        <v>1598</v>
      </c>
    </row>
    <row r="33" spans="2:12" x14ac:dyDescent="0.25">
      <c r="B33" s="5" t="s">
        <v>18</v>
      </c>
      <c r="C33" s="6"/>
      <c r="D33" s="100">
        <f>IFERROR(VLOOKUP(B33,'ERPsCRPs&amp;Spreads'!$B$8:$K$164,10,FALSE),"NA")</f>
        <v>4.5447385541021137E-2</v>
      </c>
      <c r="E33" s="100">
        <f>IFERROR(VLOOKUP(B33,'ERPsCRPs&amp;Spreads'!$B$8:$H$164,7,FALSE),"NA")</f>
        <v>4.4808765618619004E-2</v>
      </c>
      <c r="F33" s="100" t="str">
        <f>IFERROR(VLOOKUP(B33,'ERPsCRPs&amp;Spreads'!$B$169:$I$189,8,FALSE),"NA")</f>
        <v>NA</v>
      </c>
      <c r="G33" s="100">
        <f>IF(D33&lt;&gt;"NA",D33,IF(E33&lt;&gt;"NA",E33,F33))</f>
        <v>4.5447385541021137E-2</v>
      </c>
      <c r="H33" s="24"/>
      <c r="I33" s="100">
        <f>IFERROR(VLOOKUP(B33,'ERPsCRPs&amp;Spreads'!$B$8:$K$164,9,FALSE),"NA")</f>
        <v>1.5434259032893216E-2</v>
      </c>
      <c r="J33" s="100">
        <f>IFERROR(VLOOKUP(B33,'ERPsCRPs&amp;Spreads'!$B$8:$K$164,6,FALSE),"NA")</f>
        <v>1.4795639110491083E-2</v>
      </c>
      <c r="K33" s="100" t="str">
        <f>IFERROR(VLOOKUP('CtryERP&amp;CRP'!B33,'ERPsCRPs&amp;Spreads'!$B$169:$I$189,7,FALSE),"NA")</f>
        <v>NA</v>
      </c>
      <c r="L33" s="100">
        <f>IF(I33&lt;&gt;"NA",I33,IF(J33&lt;&gt;"NA",J33,K33))</f>
        <v>1.5434259032893216E-2</v>
      </c>
    </row>
    <row r="34" spans="2:12" x14ac:dyDescent="0.25">
      <c r="B34" s="5" t="s">
        <v>27</v>
      </c>
      <c r="C34" s="6"/>
      <c r="D34" s="100">
        <f>IFERROR(VLOOKUP(B34,'ERPsCRPs&amp;Spreads'!$B$8:$K$164,10,FALSE),"NA")</f>
        <v>0.10930284938299112</v>
      </c>
      <c r="E34" s="100">
        <f>IFERROR(VLOOKUP(B34,'ERPsCRPs&amp;Spreads'!$B$8:$H$164,7,FALSE),"NA")</f>
        <v>0.1948788194536</v>
      </c>
      <c r="F34" s="100" t="str">
        <f>IFERROR(VLOOKUP(B34,'ERPsCRPs&amp;Spreads'!$B$169:$I$189,8,FALSE),"NA")</f>
        <v>NA</v>
      </c>
      <c r="G34" s="100">
        <f t="shared" ref="G34:G48" si="2">IF(D34&lt;&gt;"NA",D34,IF(E34&lt;&gt;"NA",E34,F34))</f>
        <v>0.10930284938299112</v>
      </c>
      <c r="H34" s="24"/>
      <c r="I34" s="100">
        <f>IFERROR(VLOOKUP(B34,'ERPsCRPs&amp;Spreads'!$B$8:$K$164,9,FALSE),"NA")</f>
        <v>7.9289722874863203E-2</v>
      </c>
      <c r="J34" s="100">
        <f>IFERROR(VLOOKUP(B34,'ERPsCRPs&amp;Spreads'!$B$8:$K$164,6,FALSE),"NA")</f>
        <v>0.16486569294547207</v>
      </c>
      <c r="K34" s="100" t="str">
        <f>IFERROR(VLOOKUP('CtryERP&amp;CRP'!B34,'ERPsCRPs&amp;Spreads'!$B$169:$I$189,7,FALSE),"NA")</f>
        <v>NA</v>
      </c>
      <c r="L34" s="100">
        <f t="shared" ref="L34:L48" si="3">IF(I34&lt;&gt;"NA",I34,IF(J34&lt;&gt;"NA",J34,K34))</f>
        <v>7.9289722874863203E-2</v>
      </c>
    </row>
    <row r="35" spans="2:12" x14ac:dyDescent="0.25">
      <c r="B35" s="5" t="s">
        <v>36</v>
      </c>
      <c r="C35" s="6"/>
      <c r="D35" s="100" t="str">
        <f>IFERROR(VLOOKUP(B35,'ERPsCRPs&amp;Spreads'!$B$8:$K$164,10,FALSE),"NA")</f>
        <v>NA</v>
      </c>
      <c r="E35" s="100" t="str">
        <f>IFERROR(VLOOKUP(B35,'ERPsCRPs&amp;Spreads'!$B$8:$H$164,7,FALSE),"NA")</f>
        <v>NA</v>
      </c>
      <c r="F35" s="100">
        <f>IFERROR(VLOOKUP(B35,'ERPsCRPs&amp;Spreads'!$B$169:$I$189,8,FALSE),"NA")</f>
        <v>0.22482237479626049</v>
      </c>
      <c r="G35" s="100">
        <f t="shared" si="2"/>
        <v>0.22482237479626049</v>
      </c>
      <c r="H35" s="24"/>
      <c r="I35" s="100" t="str">
        <f>IFERROR(VLOOKUP(B35,'ERPsCRPs&amp;Spreads'!$B$8:$K$164,9,FALSE),"NA")</f>
        <v>NA</v>
      </c>
      <c r="J35" s="100" t="str">
        <f>IFERROR(VLOOKUP(B35,'ERPsCRPs&amp;Spreads'!$B$8:$K$164,6,FALSE),"NA")</f>
        <v>NA</v>
      </c>
      <c r="K35" s="100">
        <f>IFERROR(VLOOKUP('CtryERP&amp;CRP'!B35,'ERPsCRPs&amp;Spreads'!$B$169:$I$189,7,FALSE),"NA")</f>
        <v>0.19480924828813256</v>
      </c>
      <c r="L35" s="100">
        <f t="shared" si="3"/>
        <v>0.19480924828813256</v>
      </c>
    </row>
    <row r="36" spans="2:12" x14ac:dyDescent="0.25">
      <c r="B36" s="5" t="s">
        <v>44</v>
      </c>
      <c r="C36" s="6"/>
      <c r="D36" s="100">
        <f>IFERROR(VLOOKUP(B36,'ERPsCRPs&amp;Spreads'!$B$8:$K$164,10,FALSE),"NA")</f>
        <v>0.14743454817013907</v>
      </c>
      <c r="E36" s="100">
        <f>IFERROR(VLOOKUP(B36,'ERPsCRPs&amp;Spreads'!$B$8:$H$164,7,FALSE),"NA")</f>
        <v>0.25476593013892102</v>
      </c>
      <c r="F36" s="100" t="str">
        <f>IFERROR(VLOOKUP(B36,'ERPsCRPs&amp;Spreads'!$B$169:$I$189,8,FALSE),"NA")</f>
        <v>NA</v>
      </c>
      <c r="G36" s="100">
        <f t="shared" si="2"/>
        <v>0.14743454817013907</v>
      </c>
      <c r="H36" s="24"/>
      <c r="I36" s="100">
        <f>IFERROR(VLOOKUP(B36,'ERPsCRPs&amp;Spreads'!$B$8:$K$164,9,FALSE),"NA")</f>
        <v>0.11742142166201115</v>
      </c>
      <c r="J36" s="100">
        <f>IFERROR(VLOOKUP(B36,'ERPsCRPs&amp;Spreads'!$B$8:$K$164,6,FALSE),"NA")</f>
        <v>0.22475280363079311</v>
      </c>
      <c r="K36" s="100" t="str">
        <f>IFERROR(VLOOKUP('CtryERP&amp;CRP'!B36,'ERPsCRPs&amp;Spreads'!$B$169:$I$189,7,FALSE),"NA")</f>
        <v>NA</v>
      </c>
      <c r="L36" s="100">
        <f t="shared" si="3"/>
        <v>0.11742142166201115</v>
      </c>
    </row>
    <row r="37" spans="2:12" x14ac:dyDescent="0.25">
      <c r="B37" s="5" t="s">
        <v>51</v>
      </c>
      <c r="C37" s="6"/>
      <c r="D37" s="100">
        <f>IFERROR(VLOOKUP(B37,'ERPsCRPs&amp;Spreads'!$B$8:$K$164,10,FALSE),"NA")</f>
        <v>6.6934295175048952E-2</v>
      </c>
      <c r="E37" s="100">
        <f>IFERROR(VLOOKUP(B37,'ERPsCRPs&amp;Spreads'!$B$8:$H$164,7,FALSE),"NA")</f>
        <v>7.792281505638475E-2</v>
      </c>
      <c r="F37" s="100" t="str">
        <f>IFERROR(VLOOKUP(B37,'ERPsCRPs&amp;Spreads'!$B$169:$I$189,8,FALSE),"NA")</f>
        <v>NA</v>
      </c>
      <c r="G37" s="100">
        <f t="shared" si="2"/>
        <v>6.6934295175048952E-2</v>
      </c>
      <c r="H37" s="24"/>
      <c r="I37" s="100">
        <f>IFERROR(VLOOKUP(B37,'ERPsCRPs&amp;Spreads'!$B$8:$K$164,9,FALSE),"NA")</f>
        <v>3.692116866692103E-2</v>
      </c>
      <c r="J37" s="100">
        <f>IFERROR(VLOOKUP(B37,'ERPsCRPs&amp;Spreads'!$B$8:$K$164,6,FALSE),"NA")</f>
        <v>4.7909688548256828E-2</v>
      </c>
      <c r="K37" s="100" t="str">
        <f>IFERROR(VLOOKUP('CtryERP&amp;CRP'!B37,'ERPsCRPs&amp;Spreads'!$B$169:$I$189,7,FALSE),"NA")</f>
        <v>NA</v>
      </c>
      <c r="L37" s="100">
        <f t="shared" si="3"/>
        <v>3.692116866692103E-2</v>
      </c>
    </row>
    <row r="38" spans="2:12" x14ac:dyDescent="0.25">
      <c r="B38" s="5" t="s">
        <v>58</v>
      </c>
      <c r="C38" s="6"/>
      <c r="D38" s="100" t="str">
        <f>IFERROR(VLOOKUP(B38,'ERPsCRPs&amp;Spreads'!$B$8:$K$164,10,FALSE),"NA")</f>
        <v>NA</v>
      </c>
      <c r="E38" s="100">
        <f>IFERROR(VLOOKUP(B38,'ERPsCRPs&amp;Spreads'!$B$8:$H$164,7,FALSE),"NA")</f>
        <v>0.13780992574170581</v>
      </c>
      <c r="F38" s="100" t="str">
        <f>IFERROR(VLOOKUP(B38,'ERPsCRPs&amp;Spreads'!$B$169:$I$189,8,FALSE),"NA")</f>
        <v>NA</v>
      </c>
      <c r="G38" s="100">
        <f t="shared" si="2"/>
        <v>0.13780992574170581</v>
      </c>
      <c r="H38" s="24"/>
      <c r="I38" s="100" t="str">
        <f>IFERROR(VLOOKUP(B38,'ERPsCRPs&amp;Spreads'!$B$8:$K$164,9,FALSE),"NA")</f>
        <v>NA</v>
      </c>
      <c r="J38" s="100">
        <f>IFERROR(VLOOKUP(B38,'ERPsCRPs&amp;Spreads'!$B$8:$K$164,6,FALSE),"NA")</f>
        <v>0.10779679923357789</v>
      </c>
      <c r="K38" s="100" t="str">
        <f>IFERROR(VLOOKUP('CtryERP&amp;CRP'!B38,'ERPsCRPs&amp;Spreads'!$B$169:$I$189,7,FALSE),"NA")</f>
        <v>NA</v>
      </c>
      <c r="L38" s="100">
        <f t="shared" si="3"/>
        <v>0.10779679923357789</v>
      </c>
    </row>
    <row r="39" spans="2:12" x14ac:dyDescent="0.25">
      <c r="B39" s="5" t="s">
        <v>65</v>
      </c>
      <c r="C39" s="6"/>
      <c r="D39" s="100">
        <f>IFERROR(VLOOKUP(B39,'ERPsCRPs&amp;Spreads'!$B$8:$K$164,10,FALSE),"NA")</f>
        <v>5.1197403612098999E-2</v>
      </c>
      <c r="E39" s="100">
        <f>IFERROR(VLOOKUP(B39,'ERPsCRPs&amp;Spreads'!$B$8:$H$164,7,FALSE),"NA")</f>
        <v>5.1149753808829468E-2</v>
      </c>
      <c r="F39" s="100" t="str">
        <f>IFERROR(VLOOKUP(B39,'ERPsCRPs&amp;Spreads'!$B$169:$I$189,8,FALSE),"NA")</f>
        <v>NA</v>
      </c>
      <c r="G39" s="100">
        <f t="shared" si="2"/>
        <v>5.1197403612098999E-2</v>
      </c>
      <c r="H39" s="24"/>
      <c r="I39" s="100">
        <f>IFERROR(VLOOKUP(B39,'ERPsCRPs&amp;Spreads'!$B$8:$K$164,9,FALSE),"NA")</f>
        <v>2.118427710397108E-2</v>
      </c>
      <c r="J39" s="100">
        <f>IFERROR(VLOOKUP(B39,'ERPsCRPs&amp;Spreads'!$B$8:$K$164,6,FALSE),"NA")</f>
        <v>2.1136627300701552E-2</v>
      </c>
      <c r="K39" s="100" t="str">
        <f>IFERROR(VLOOKUP('CtryERP&amp;CRP'!B39,'ERPsCRPs&amp;Spreads'!$B$169:$I$189,7,FALSE),"NA")</f>
        <v>NA</v>
      </c>
      <c r="L39" s="100">
        <f t="shared" si="3"/>
        <v>2.118427710397108E-2</v>
      </c>
    </row>
    <row r="40" spans="2:12" x14ac:dyDescent="0.25">
      <c r="B40" s="5" t="s">
        <v>72</v>
      </c>
      <c r="C40" s="6"/>
      <c r="D40" s="100" t="str">
        <f>IFERROR(VLOOKUP(B40,'ERPsCRPs&amp;Spreads'!$B$8:$K$164,10,FALSE),"NA")</f>
        <v>NA</v>
      </c>
      <c r="E40" s="100">
        <f>IFERROR(VLOOKUP(B40,'ERPsCRPs&amp;Spreads'!$B$8:$H$164,7,FALSE),"NA")</f>
        <v>0.55962005410740501</v>
      </c>
      <c r="F40" s="100" t="str">
        <f>IFERROR(VLOOKUP(B40,'ERPsCRPs&amp;Spreads'!$B$169:$I$189,8,FALSE),"NA")</f>
        <v>NA</v>
      </c>
      <c r="G40" s="100">
        <f t="shared" si="2"/>
        <v>0.55962005410740501</v>
      </c>
      <c r="H40" s="24"/>
      <c r="I40" s="100" t="str">
        <f>IFERROR(VLOOKUP(B40,'ERPsCRPs&amp;Spreads'!$B$8:$K$164,9,FALSE),"NA")</f>
        <v>NA</v>
      </c>
      <c r="J40" s="100">
        <f>IFERROR(VLOOKUP(B40,'ERPsCRPs&amp;Spreads'!$B$8:$K$164,6,FALSE),"NA")</f>
        <v>0.52960692759927708</v>
      </c>
      <c r="K40" s="100" t="str">
        <f>IFERROR(VLOOKUP('CtryERP&amp;CRP'!B40,'ERPsCRPs&amp;Spreads'!$B$169:$I$189,7,FALSE),"NA")</f>
        <v>NA</v>
      </c>
      <c r="L40" s="100">
        <f t="shared" si="3"/>
        <v>0.52960692759927708</v>
      </c>
    </row>
    <row r="41" spans="2:12" x14ac:dyDescent="0.25">
      <c r="B41" s="5" t="s">
        <v>79</v>
      </c>
      <c r="C41" s="6"/>
      <c r="D41" s="100">
        <f>IFERROR(VLOOKUP(B41,'ERPsCRPs&amp;Spreads'!$B$8:$K$164,10,FALSE),"NA")</f>
        <v>7.5105373486580654E-2</v>
      </c>
      <c r="E41" s="100">
        <f>IFERROR(VLOOKUP(B41,'ERPsCRPs&amp;Spreads'!$B$8:$H$164,7,FALSE),"NA")</f>
        <v>0.10504815342561842</v>
      </c>
      <c r="F41" s="100" t="str">
        <f>IFERROR(VLOOKUP(B41,'ERPsCRPs&amp;Spreads'!$B$169:$I$189,8,FALSE),"NA")</f>
        <v>NA</v>
      </c>
      <c r="G41" s="100">
        <f t="shared" si="2"/>
        <v>7.5105373486580654E-2</v>
      </c>
      <c r="H41" s="24"/>
      <c r="I41" s="100">
        <f>IFERROR(VLOOKUP(B41,'ERPsCRPs&amp;Spreads'!$B$8:$K$164,9,FALSE),"NA")</f>
        <v>4.5092246978452738E-2</v>
      </c>
      <c r="J41" s="100">
        <f>IFERROR(VLOOKUP(B41,'ERPsCRPs&amp;Spreads'!$B$8:$K$164,6,FALSE),"NA")</f>
        <v>7.5035026917490505E-2</v>
      </c>
      <c r="K41" s="100" t="str">
        <f>IFERROR(VLOOKUP('CtryERP&amp;CRP'!B41,'ERPsCRPs&amp;Spreads'!$B$169:$I$189,7,FALSE),"NA")</f>
        <v>NA</v>
      </c>
      <c r="L41" s="100">
        <f t="shared" si="3"/>
        <v>4.5092246978452738E-2</v>
      </c>
    </row>
    <row r="42" spans="2:12" x14ac:dyDescent="0.25">
      <c r="B42" s="5" t="s">
        <v>86</v>
      </c>
      <c r="C42" s="6"/>
      <c r="D42" s="100">
        <f>IFERROR(VLOOKUP(B42,'ERPsCRPs&amp;Spreads'!$B$8:$K$164,10,FALSE),"NA")</f>
        <v>4.5447385541021137E-2</v>
      </c>
      <c r="E42" s="100">
        <f>IFERROR(VLOOKUP(B42,'ERPsCRPs&amp;Spreads'!$B$8:$H$164,7,FALSE),"NA")</f>
        <v>4.4808765618619004E-2</v>
      </c>
      <c r="F42" s="100" t="str">
        <f>IFERROR(VLOOKUP(B42,'ERPsCRPs&amp;Spreads'!$B$169:$I$189,8,FALSE),"NA")</f>
        <v>NA</v>
      </c>
      <c r="G42" s="100">
        <f t="shared" si="2"/>
        <v>4.5447385541021137E-2</v>
      </c>
      <c r="H42" s="24"/>
      <c r="I42" s="100">
        <f>IFERROR(VLOOKUP(B42,'ERPsCRPs&amp;Spreads'!$B$8:$K$164,9,FALSE),"NA")</f>
        <v>1.5434259032893216E-2</v>
      </c>
      <c r="J42" s="100">
        <f>IFERROR(VLOOKUP(B42,'ERPsCRPs&amp;Spreads'!$B$8:$K$164,6,FALSE),"NA")</f>
        <v>1.4795639110491083E-2</v>
      </c>
      <c r="K42" s="100" t="str">
        <f>IFERROR(VLOOKUP('CtryERP&amp;CRP'!B42,'ERPsCRPs&amp;Spreads'!$B$169:$I$189,7,FALSE),"NA")</f>
        <v>NA</v>
      </c>
      <c r="L42" s="100">
        <f t="shared" si="3"/>
        <v>1.5434259032893216E-2</v>
      </c>
    </row>
    <row r="43" spans="2:12" x14ac:dyDescent="0.25">
      <c r="B43" s="5" t="s">
        <v>93</v>
      </c>
      <c r="C43" s="6"/>
      <c r="D43" s="100" t="str">
        <f>IFERROR(VLOOKUP(B43,'ERPsCRPs&amp;Spreads'!$B$8:$K$164,10,FALSE),"NA")</f>
        <v>NA</v>
      </c>
      <c r="E43" s="100">
        <f>IFERROR(VLOOKUP(B43,'ERPsCRPs&amp;Spreads'!$B$8:$H$164,7,FALSE),"NA")</f>
        <v>6.5945392919320556E-2</v>
      </c>
      <c r="F43" s="100" t="str">
        <f>IFERROR(VLOOKUP(B43,'ERPsCRPs&amp;Spreads'!$B$169:$I$189,8,FALSE),"NA")</f>
        <v>NA</v>
      </c>
      <c r="G43" s="100">
        <f t="shared" si="2"/>
        <v>6.5945392919320556E-2</v>
      </c>
      <c r="H43" s="24"/>
      <c r="I43" s="100" t="str">
        <f>IFERROR(VLOOKUP(B43,'ERPsCRPs&amp;Spreads'!$B$8:$K$164,9,FALSE),"NA")</f>
        <v>NA</v>
      </c>
      <c r="J43" s="100">
        <f>IFERROR(VLOOKUP(B43,'ERPsCRPs&amp;Spreads'!$B$8:$K$164,6,FALSE),"NA")</f>
        <v>3.5932266411192633E-2</v>
      </c>
      <c r="K43" s="100" t="str">
        <f>IFERROR(VLOOKUP('CtryERP&amp;CRP'!B43,'ERPsCRPs&amp;Spreads'!$B$169:$I$189,7,FALSE),"NA")</f>
        <v>NA</v>
      </c>
      <c r="L43" s="100">
        <f t="shared" si="3"/>
        <v>3.5932266411192633E-2</v>
      </c>
    </row>
    <row r="44" spans="2:12" x14ac:dyDescent="0.25">
      <c r="B44" s="5" t="s">
        <v>100</v>
      </c>
      <c r="C44" s="6"/>
      <c r="D44" s="100">
        <f>IFERROR(VLOOKUP(B44,'ERPsCRPs&amp;Spreads'!$B$8:$K$164,10,FALSE),"NA")</f>
        <v>5.8763216863517251E-2</v>
      </c>
      <c r="E44" s="100">
        <f>IFERROR(VLOOKUP(B44,'ERPsCRPs&amp;Spreads'!$B$8:$H$164,7,FALSE),"NA")</f>
        <v>4.7979259713724236E-2</v>
      </c>
      <c r="F44" s="100" t="str">
        <f>IFERROR(VLOOKUP(B44,'ERPsCRPs&amp;Spreads'!$B$169:$I$189,8,FALSE),"NA")</f>
        <v>NA</v>
      </c>
      <c r="G44" s="100">
        <f t="shared" si="2"/>
        <v>5.8763216863517251E-2</v>
      </c>
      <c r="H44" s="24"/>
      <c r="I44" s="100">
        <f>IFERROR(VLOOKUP(B44,'ERPsCRPs&amp;Spreads'!$B$8:$K$164,9,FALSE),"NA")</f>
        <v>2.8750090355389328E-2</v>
      </c>
      <c r="J44" s="100">
        <f>IFERROR(VLOOKUP(B44,'ERPsCRPs&amp;Spreads'!$B$8:$K$164,6,FALSE),"NA")</f>
        <v>1.7966133205596316E-2</v>
      </c>
      <c r="K44" s="100" t="str">
        <f>IFERROR(VLOOKUP('CtryERP&amp;CRP'!B44,'ERPsCRPs&amp;Spreads'!$B$169:$I$189,7,FALSE),"NA")</f>
        <v>NA</v>
      </c>
      <c r="L44" s="100">
        <f t="shared" si="3"/>
        <v>2.8750090355389328E-2</v>
      </c>
    </row>
    <row r="45" spans="2:12" x14ac:dyDescent="0.25">
      <c r="B45" s="5" t="s">
        <v>107</v>
      </c>
      <c r="C45" s="6"/>
      <c r="D45" s="100" t="str">
        <f>IFERROR(VLOOKUP(B45,'ERPsCRPs&amp;Spreads'!$B$8:$K$164,10,FALSE),"NA")</f>
        <v>NA</v>
      </c>
      <c r="E45" s="100">
        <f>IFERROR(VLOOKUP(B45,'ERPsCRPs&amp;Spreads'!$B$8:$H$164,7,FALSE),"NA")</f>
        <v>0.10504815342561842</v>
      </c>
      <c r="F45" s="100" t="str">
        <f>IFERROR(VLOOKUP(B45,'ERPsCRPs&amp;Spreads'!$B$169:$I$189,8,FALSE),"NA")</f>
        <v>NA</v>
      </c>
      <c r="G45" s="100">
        <f t="shared" si="2"/>
        <v>0.10504815342561842</v>
      </c>
      <c r="H45" s="24"/>
      <c r="I45" s="100" t="str">
        <f>IFERROR(VLOOKUP(B45,'ERPsCRPs&amp;Spreads'!$B$8:$K$164,9,FALSE),"NA")</f>
        <v>NA</v>
      </c>
      <c r="J45" s="100">
        <f>IFERROR(VLOOKUP(B45,'ERPsCRPs&amp;Spreads'!$B$8:$K$164,6,FALSE),"NA")</f>
        <v>7.5035026917490505E-2</v>
      </c>
      <c r="K45" s="100" t="str">
        <f>IFERROR(VLOOKUP('CtryERP&amp;CRP'!B45,'ERPsCRPs&amp;Spreads'!$B$169:$I$189,7,FALSE),"NA")</f>
        <v>NA</v>
      </c>
      <c r="L45" s="100">
        <f t="shared" si="3"/>
        <v>7.5035026917490505E-2</v>
      </c>
    </row>
    <row r="46" spans="2:12" x14ac:dyDescent="0.25">
      <c r="B46" s="5" t="s">
        <v>114</v>
      </c>
      <c r="C46" s="6"/>
      <c r="D46" s="100" t="str">
        <f>IFERROR(VLOOKUP(B46,'ERPsCRPs&amp;Spreads'!$B$8:$K$164,10,FALSE),"NA")</f>
        <v>NA</v>
      </c>
      <c r="E46" s="100" t="str">
        <f>IFERROR(VLOOKUP(B46,'ERPsCRPs&amp;Spreads'!$B$8:$H$164,7,FALSE),"NA")</f>
        <v>NA</v>
      </c>
      <c r="F46" s="100">
        <f>IFERROR(VLOOKUP(B46,'ERPsCRPs&amp;Spreads'!$B$169:$I$189,8,FALSE),"NA")</f>
        <v>0.55962005410740501</v>
      </c>
      <c r="G46" s="100">
        <f t="shared" si="2"/>
        <v>0.55962005410740501</v>
      </c>
      <c r="H46" s="24"/>
      <c r="I46" s="100" t="str">
        <f>IFERROR(VLOOKUP(B46,'ERPsCRPs&amp;Spreads'!$B$8:$K$164,9,FALSE),"NA")</f>
        <v>NA</v>
      </c>
      <c r="J46" s="100" t="str">
        <f>IFERROR(VLOOKUP(B46,'ERPsCRPs&amp;Spreads'!$B$8:$K$164,6,FALSE),"NA")</f>
        <v>NA</v>
      </c>
      <c r="K46" s="100">
        <f>IFERROR(VLOOKUP('CtryERP&amp;CRP'!B46,'ERPsCRPs&amp;Spreads'!$B$169:$I$189,7,FALSE),"NA")</f>
        <v>0.52960692759927708</v>
      </c>
      <c r="L46" s="100">
        <f t="shared" si="3"/>
        <v>0.52960692759927708</v>
      </c>
    </row>
    <row r="47" spans="2:12" x14ac:dyDescent="0.25">
      <c r="B47" s="5" t="s">
        <v>121</v>
      </c>
      <c r="C47" s="6"/>
      <c r="D47" s="100" t="str">
        <f>IFERROR(VLOOKUP(B47,'ERPsCRPs&amp;Spreads'!$B$8:$K$164,10,FALSE),"NA")</f>
        <v>NA</v>
      </c>
      <c r="E47" s="100">
        <f>IFERROR(VLOOKUP(B47,'ERPsCRPs&amp;Spreads'!$B$8:$H$164,7,FALSE),"NA")</f>
        <v>4.4808765618619004E-2</v>
      </c>
      <c r="F47" s="100" t="str">
        <f>IFERROR(VLOOKUP(B47,'ERPsCRPs&amp;Spreads'!$B$169:$I$189,8,FALSE),"NA")</f>
        <v>NA</v>
      </c>
      <c r="G47" s="100">
        <f t="shared" si="2"/>
        <v>4.4808765618619004E-2</v>
      </c>
      <c r="H47" s="24"/>
      <c r="I47" s="100" t="str">
        <f>IFERROR(VLOOKUP(B47,'ERPsCRPs&amp;Spreads'!$B$8:$K$164,9,FALSE),"NA")</f>
        <v>NA</v>
      </c>
      <c r="J47" s="100">
        <f>IFERROR(VLOOKUP(B47,'ERPsCRPs&amp;Spreads'!$B$8:$K$164,6,FALSE),"NA")</f>
        <v>1.4795639110491083E-2</v>
      </c>
      <c r="K47" s="100" t="str">
        <f>IFERROR(VLOOKUP('CtryERP&amp;CRP'!B47,'ERPsCRPs&amp;Spreads'!$B$169:$I$189,7,FALSE),"NA")</f>
        <v>NA</v>
      </c>
      <c r="L47" s="100">
        <f t="shared" si="3"/>
        <v>1.4795639110491083E-2</v>
      </c>
    </row>
    <row r="48" spans="2:12" x14ac:dyDescent="0.25">
      <c r="B48" s="5" t="s">
        <v>128</v>
      </c>
      <c r="C48" s="6"/>
      <c r="D48" s="100" t="str">
        <f>IFERROR(VLOOKUP(B48,'ERPsCRPs&amp;Spreads'!$B$8:$K$164,10,FALSE),"NA")</f>
        <v>NA</v>
      </c>
      <c r="E48" s="100" t="str">
        <f>IFERROR(VLOOKUP(B48,'ERPsCRPs&amp;Spreads'!$B$8:$H$164,7,FALSE),"NA")</f>
        <v>NA</v>
      </c>
      <c r="F48" s="100">
        <f>IFERROR(VLOOKUP(B48,'ERPsCRPs&amp;Spreads'!$B$169:$I$189,8,FALSE),"NA")</f>
        <v>0.38968806774173265</v>
      </c>
      <c r="G48" s="100">
        <f t="shared" si="2"/>
        <v>0.38968806774173265</v>
      </c>
      <c r="H48" s="24"/>
      <c r="I48" s="100" t="str">
        <f>IFERROR(VLOOKUP(B48,'ERPsCRPs&amp;Spreads'!$B$8:$K$164,9,FALSE),"NA")</f>
        <v>NA</v>
      </c>
      <c r="J48" s="100" t="str">
        <f>IFERROR(VLOOKUP(B48,'ERPsCRPs&amp;Spreads'!$B$8:$K$164,6,FALSE),"NA")</f>
        <v>NA</v>
      </c>
      <c r="K48" s="100">
        <f>IFERROR(VLOOKUP('CtryERP&amp;CRP'!B48,'ERPsCRPs&amp;Spreads'!$B$169:$I$189,7,FALSE),"NA")</f>
        <v>0.35967494123360472</v>
      </c>
      <c r="L48" s="100">
        <f t="shared" si="3"/>
        <v>0.35967494123360472</v>
      </c>
    </row>
    <row r="50" spans="2:12" ht="15.75" x14ac:dyDescent="0.25">
      <c r="B50" s="92" t="s">
        <v>10</v>
      </c>
      <c r="C50" s="91"/>
      <c r="D50" s="91" t="s">
        <v>1592</v>
      </c>
      <c r="E50" s="91" t="s">
        <v>1593</v>
      </c>
      <c r="F50" s="91" t="s">
        <v>1591</v>
      </c>
      <c r="G50" s="91" t="s">
        <v>1594</v>
      </c>
      <c r="H50" s="93"/>
      <c r="I50" s="91" t="s">
        <v>1595</v>
      </c>
      <c r="J50" s="91" t="s">
        <v>1596</v>
      </c>
      <c r="K50" s="91" t="s">
        <v>1597</v>
      </c>
      <c r="L50" s="91" t="s">
        <v>1598</v>
      </c>
    </row>
    <row r="51" spans="2:12" x14ac:dyDescent="0.25">
      <c r="B51" s="5" t="s">
        <v>19</v>
      </c>
      <c r="C51" s="6"/>
      <c r="D51" s="100" t="str">
        <f>IFERROR(VLOOKUP(B51,'ERPsCRPs&amp;Spreads'!$B$8:$K$164,10,FALSE),"NA")</f>
        <v>NA</v>
      </c>
      <c r="E51" s="100" t="str">
        <f>IFERROR(VLOOKUP(B51,'ERPsCRPs&amp;Spreads'!$B$8:$H$164,7,FALSE),"NA")</f>
        <v>NA</v>
      </c>
      <c r="F51" s="100">
        <f>IFERROR(VLOOKUP(B51,'ERPsCRPs&amp;Spreads'!$B$169:$I$189,8,FALSE),"NA")</f>
        <v>0.12019606965778785</v>
      </c>
      <c r="G51" s="100">
        <f>IF(D51&lt;&gt;"NA",D51,IF(E51&lt;&gt;"NA",E51,F51))</f>
        <v>0.12019606965778785</v>
      </c>
      <c r="H51" s="24"/>
      <c r="I51" s="100" t="str">
        <f>IFERROR(VLOOKUP(B51,'ERPsCRPs&amp;Spreads'!$B$8:$K$164,9,FALSE),"NA")</f>
        <v>NA</v>
      </c>
      <c r="J51" s="100" t="str">
        <f>IFERROR(VLOOKUP(B51,'ERPsCRPs&amp;Spreads'!$B$8:$K$164,6,FALSE),"NA")</f>
        <v>NA</v>
      </c>
      <c r="K51" s="100">
        <f>IFERROR(VLOOKUP('CtryERP&amp;CRP'!B51,'ERPsCRPs&amp;Spreads'!$B$169:$I$189,7,FALSE),"NA")</f>
        <v>9.0182943149659939E-2</v>
      </c>
      <c r="L51" s="100">
        <f t="shared" ref="L51" si="4">IF(I51&lt;&gt;"NA",I51,IF(J51&lt;&gt;"NA",J51,K51))</f>
        <v>9.0182943149659939E-2</v>
      </c>
    </row>
    <row r="52" spans="2:12" x14ac:dyDescent="0.25">
      <c r="B52" s="5" t="s">
        <v>28</v>
      </c>
      <c r="C52" s="6"/>
      <c r="D52" s="100">
        <f>IFERROR(VLOOKUP(B52,'ERPsCRPs&amp;Spreads'!$B$8:$K$164,10,FALSE),"NA")</f>
        <v>0.24155326501778204</v>
      </c>
      <c r="E52" s="100">
        <f>IFERROR(VLOOKUP(B52,'ERPsCRPs&amp;Spreads'!$B$8:$H$164,7,FALSE),"NA")</f>
        <v>0.22482237479626049</v>
      </c>
      <c r="F52" s="100" t="str">
        <f>IFERROR(VLOOKUP(B52,'ERPsCRPs&amp;Spreads'!$B$169:$I$189,8,FALSE),"NA")</f>
        <v>NA</v>
      </c>
      <c r="G52" s="100">
        <f>IF(D52&lt;&gt;"NA",D52,IF(E52&lt;&gt;"NA",E52,F52))</f>
        <v>0.24155326501778204</v>
      </c>
      <c r="H52" s="24"/>
      <c r="I52" s="100">
        <f>IFERROR(VLOOKUP(B52,'ERPsCRPs&amp;Spreads'!$B$8:$K$164,9,FALSE),"NA")</f>
        <v>0.21154013850965411</v>
      </c>
      <c r="J52" s="100">
        <f>IFERROR(VLOOKUP(B52,'ERPsCRPs&amp;Spreads'!$B$8:$K$164,6,FALSE),"NA")</f>
        <v>0.19480924828813256</v>
      </c>
      <c r="K52" s="100" t="str">
        <f>IFERROR(VLOOKUP('CtryERP&amp;CRP'!B52,'ERPsCRPs&amp;Spreads'!$B$169:$I$189,7,FALSE),"NA")</f>
        <v>NA</v>
      </c>
      <c r="L52" s="100">
        <f t="shared" ref="L52:L92" si="5">IF(I52&lt;&gt;"NA",I52,IF(J52&lt;&gt;"NA",J52,K52))</f>
        <v>0.21154013850965411</v>
      </c>
    </row>
    <row r="53" spans="2:12" x14ac:dyDescent="0.25">
      <c r="B53" s="5" t="s">
        <v>37</v>
      </c>
      <c r="C53" s="6"/>
      <c r="D53" s="100" t="str">
        <f>IFERROR(VLOOKUP(B53,'ERPsCRPs&amp;Spreads'!$B$8:$K$164,10,FALSE),"NA")</f>
        <v>NA</v>
      </c>
      <c r="E53" s="100">
        <f>IFERROR(VLOOKUP(B53,'ERPsCRPs&amp;Spreads'!$B$8:$H$164,7,FALSE),"NA")</f>
        <v>0.16493526411093945</v>
      </c>
      <c r="F53" s="100" t="str">
        <f>IFERROR(VLOOKUP(B53,'ERPsCRPs&amp;Spreads'!$B$169:$I$189,8,FALSE),"NA")</f>
        <v>NA</v>
      </c>
      <c r="G53" s="100">
        <f t="shared" ref="G53:G92" si="6">IF(D53&lt;&gt;"NA",D53,IF(E53&lt;&gt;"NA",E53,F53))</f>
        <v>0.16493526411093945</v>
      </c>
      <c r="H53" s="24"/>
      <c r="I53" s="100" t="str">
        <f>IFERROR(VLOOKUP(B53,'ERPsCRPs&amp;Spreads'!$B$8:$K$164,9,FALSE),"NA")</f>
        <v>NA</v>
      </c>
      <c r="J53" s="100">
        <f>IFERROR(VLOOKUP(B53,'ERPsCRPs&amp;Spreads'!$B$8:$K$164,6,FALSE),"NA")</f>
        <v>0.13492213760281152</v>
      </c>
      <c r="K53" s="100" t="str">
        <f>IFERROR(VLOOKUP('CtryERP&amp;CRP'!B53,'ERPsCRPs&amp;Spreads'!$B$169:$I$189,7,FALSE),"NA")</f>
        <v>NA</v>
      </c>
      <c r="L53" s="100">
        <f t="shared" si="5"/>
        <v>0.13492213760281152</v>
      </c>
    </row>
    <row r="54" spans="2:12" x14ac:dyDescent="0.25">
      <c r="B54" s="5" t="s">
        <v>45</v>
      </c>
      <c r="C54" s="6"/>
      <c r="D54" s="100" t="str">
        <f>IFERROR(VLOOKUP(B54,'ERPsCRPs&amp;Spreads'!$B$8:$K$164,10,FALSE),"NA")</f>
        <v>NA</v>
      </c>
      <c r="E54" s="100">
        <f>IFERROR(VLOOKUP(B54,'ERPsCRPs&amp;Spreads'!$B$8:$H$164,7,FALSE),"NA")</f>
        <v>6.5945392919320556E-2</v>
      </c>
      <c r="F54" s="100" t="str">
        <f>IFERROR(VLOOKUP(B54,'ERPsCRPs&amp;Spreads'!$B$169:$I$189,8,FALSE),"NA")</f>
        <v>NA</v>
      </c>
      <c r="G54" s="100">
        <f t="shared" si="6"/>
        <v>6.5945392919320556E-2</v>
      </c>
      <c r="H54" s="24"/>
      <c r="I54" s="100" t="str">
        <f>IFERROR(VLOOKUP(B54,'ERPsCRPs&amp;Spreads'!$B$8:$K$164,9,FALSE),"NA")</f>
        <v>NA</v>
      </c>
      <c r="J54" s="100">
        <f>IFERROR(VLOOKUP(B54,'ERPsCRPs&amp;Spreads'!$B$8:$K$164,6,FALSE),"NA")</f>
        <v>3.5932266411192633E-2</v>
      </c>
      <c r="K54" s="100" t="str">
        <f>IFERROR(VLOOKUP('CtryERP&amp;CRP'!B54,'ERPsCRPs&amp;Spreads'!$B$169:$I$189,7,FALSE),"NA")</f>
        <v>NA</v>
      </c>
      <c r="L54" s="100">
        <f t="shared" si="5"/>
        <v>3.5932266411192633E-2</v>
      </c>
    </row>
    <row r="55" spans="2:12" x14ac:dyDescent="0.25">
      <c r="B55" s="5" t="s">
        <v>52</v>
      </c>
      <c r="C55" s="6"/>
      <c r="D55" s="100" t="str">
        <f>IFERROR(VLOOKUP(B55,'ERPsCRPs&amp;Spreads'!$B$8:$K$164,10,FALSE),"NA")</f>
        <v>NA</v>
      </c>
      <c r="E55" s="100">
        <f>IFERROR(VLOOKUP(B55,'ERPsCRPs&amp;Spreads'!$B$8:$H$164,7,FALSE),"NA")</f>
        <v>0.25476593013892102</v>
      </c>
      <c r="F55" s="100" t="str">
        <f>IFERROR(VLOOKUP(B55,'ERPsCRPs&amp;Spreads'!$B$169:$I$189,8,FALSE),"NA")</f>
        <v>NA</v>
      </c>
      <c r="G55" s="100">
        <f t="shared" si="6"/>
        <v>0.25476593013892102</v>
      </c>
      <c r="H55" s="24"/>
      <c r="I55" s="100" t="str">
        <f>IFERROR(VLOOKUP(B55,'ERPsCRPs&amp;Spreads'!$B$8:$K$164,9,FALSE),"NA")</f>
        <v>NA</v>
      </c>
      <c r="J55" s="100">
        <f>IFERROR(VLOOKUP(B55,'ERPsCRPs&amp;Spreads'!$B$8:$K$164,6,FALSE),"NA")</f>
        <v>0.22475280363079311</v>
      </c>
      <c r="K55" s="100" t="str">
        <f>IFERROR(VLOOKUP('CtryERP&amp;CRP'!B55,'ERPsCRPs&amp;Spreads'!$B$169:$I$189,7,FALSE),"NA")</f>
        <v>NA</v>
      </c>
      <c r="L55" s="100">
        <f t="shared" si="5"/>
        <v>0.22475280363079311</v>
      </c>
    </row>
    <row r="56" spans="2:12" x14ac:dyDescent="0.25">
      <c r="B56" s="5" t="s">
        <v>59</v>
      </c>
      <c r="C56" s="6"/>
      <c r="D56" s="100">
        <f>IFERROR(VLOOKUP(B56,'ERPsCRPs&amp;Spreads'!$B$8:$K$164,10,FALSE),"NA")</f>
        <v>0.2678822951327175</v>
      </c>
      <c r="E56" s="100">
        <f>IFERROR(VLOOKUP(B56,'ERPsCRPs&amp;Spreads'!$B$8:$H$164,7,FALSE),"NA")</f>
        <v>0.25476593013892102</v>
      </c>
      <c r="F56" s="100" t="str">
        <f>IFERROR(VLOOKUP(B56,'ERPsCRPs&amp;Spreads'!$B$169:$I$189,8,FALSE),"NA")</f>
        <v>NA</v>
      </c>
      <c r="G56" s="100">
        <f t="shared" si="6"/>
        <v>0.2678822951327175</v>
      </c>
      <c r="H56" s="24"/>
      <c r="I56" s="100">
        <f>IFERROR(VLOOKUP(B56,'ERPsCRPs&amp;Spreads'!$B$8:$K$164,9,FALSE),"NA")</f>
        <v>0.23786916862458959</v>
      </c>
      <c r="J56" s="100">
        <f>IFERROR(VLOOKUP(B56,'ERPsCRPs&amp;Spreads'!$B$8:$K$164,6,FALSE),"NA")</f>
        <v>0.22475280363079311</v>
      </c>
      <c r="K56" s="100" t="str">
        <f>IFERROR(VLOOKUP('CtryERP&amp;CRP'!B56,'ERPsCRPs&amp;Spreads'!$B$169:$I$189,7,FALSE),"NA")</f>
        <v>NA</v>
      </c>
      <c r="L56" s="100">
        <f t="shared" si="5"/>
        <v>0.23786916862458959</v>
      </c>
    </row>
    <row r="57" spans="2:12" x14ac:dyDescent="0.25">
      <c r="B57" s="5" t="s">
        <v>66</v>
      </c>
      <c r="C57" s="6"/>
      <c r="D57" s="100" t="str">
        <f>IFERROR(VLOOKUP(B57,'ERPsCRPs&amp;Spreads'!$B$8:$K$164,10,FALSE),"NA")</f>
        <v>NA</v>
      </c>
      <c r="E57" s="100">
        <f>IFERROR(VLOOKUP(B57,'ERPsCRPs&amp;Spreads'!$B$8:$H$164,7,FALSE),"NA")</f>
        <v>0.1948788194536</v>
      </c>
      <c r="F57" s="100" t="str">
        <f>IFERROR(VLOOKUP(B57,'ERPsCRPs&amp;Spreads'!$B$169:$I$189,8,FALSE),"NA")</f>
        <v>NA</v>
      </c>
      <c r="G57" s="100">
        <f t="shared" si="6"/>
        <v>0.1948788194536</v>
      </c>
      <c r="H57" s="24"/>
      <c r="I57" s="100" t="str">
        <f>IFERROR(VLOOKUP(B57,'ERPsCRPs&amp;Spreads'!$B$8:$K$164,9,FALSE),"NA")</f>
        <v>NA</v>
      </c>
      <c r="J57" s="100">
        <f>IFERROR(VLOOKUP(B57,'ERPsCRPs&amp;Spreads'!$B$8:$K$164,6,FALSE),"NA")</f>
        <v>0.16486569294547207</v>
      </c>
      <c r="K57" s="100" t="str">
        <f>IFERROR(VLOOKUP('CtryERP&amp;CRP'!B57,'ERPsCRPs&amp;Spreads'!$B$169:$I$189,7,FALSE),"NA")</f>
        <v>NA</v>
      </c>
      <c r="L57" s="100">
        <f t="shared" si="5"/>
        <v>0.16486569294547207</v>
      </c>
    </row>
    <row r="58" spans="2:12" x14ac:dyDescent="0.25">
      <c r="B58" s="5" t="s">
        <v>73</v>
      </c>
      <c r="C58" s="6"/>
      <c r="D58" s="100" t="str">
        <f>IFERROR(VLOOKUP(B58,'ERPsCRPs&amp;Spreads'!$B$8:$K$164,10,FALSE),"NA")</f>
        <v>NA</v>
      </c>
      <c r="E58" s="100">
        <f>IFERROR(VLOOKUP(B58,'ERPsCRPs&amp;Spreads'!$B$8:$H$164,7,FALSE),"NA")</f>
        <v>0.22482237479626049</v>
      </c>
      <c r="F58" s="100" t="str">
        <f>IFERROR(VLOOKUP(B58,'ERPsCRPs&amp;Spreads'!$B$169:$I$189,8,FALSE),"NA")</f>
        <v>NA</v>
      </c>
      <c r="G58" s="100">
        <f t="shared" si="6"/>
        <v>0.22482237479626049</v>
      </c>
      <c r="H58" s="24"/>
      <c r="I58" s="100" t="str">
        <f>IFERROR(VLOOKUP(B58,'ERPsCRPs&amp;Spreads'!$B$8:$K$164,9,FALSE),"NA")</f>
        <v>NA</v>
      </c>
      <c r="J58" s="100">
        <f>IFERROR(VLOOKUP(B58,'ERPsCRPs&amp;Spreads'!$B$8:$K$164,6,FALSE),"NA")</f>
        <v>0.19480924828813256</v>
      </c>
      <c r="K58" s="100" t="str">
        <f>IFERROR(VLOOKUP('CtryERP&amp;CRP'!B58,'ERPsCRPs&amp;Spreads'!$B$169:$I$189,7,FALSE),"NA")</f>
        <v>NA</v>
      </c>
      <c r="L58" s="100">
        <f t="shared" si="5"/>
        <v>0.19480924828813256</v>
      </c>
    </row>
    <row r="59" spans="2:12" x14ac:dyDescent="0.25">
      <c r="B59" s="5" t="s">
        <v>80</v>
      </c>
      <c r="C59" s="6"/>
      <c r="D59" s="100" t="str">
        <f>IFERROR(VLOOKUP(B59,'ERPsCRPs&amp;Spreads'!$B$8:$K$164,10,FALSE),"NA")</f>
        <v>NA</v>
      </c>
      <c r="E59" s="100">
        <f>IFERROR(VLOOKUP(B59,'ERPsCRPs&amp;Spreads'!$B$8:$H$164,7,FALSE),"NA")</f>
        <v>0.29985740171375097</v>
      </c>
      <c r="F59" s="100" t="str">
        <f>IFERROR(VLOOKUP(B59,'ERPsCRPs&amp;Spreads'!$B$169:$I$189,8,FALSE),"NA")</f>
        <v>NA</v>
      </c>
      <c r="G59" s="100">
        <f t="shared" si="6"/>
        <v>0.29985740171375097</v>
      </c>
      <c r="H59" s="24"/>
      <c r="I59" s="100" t="str">
        <f>IFERROR(VLOOKUP(B59,'ERPsCRPs&amp;Spreads'!$B$8:$K$164,9,FALSE),"NA")</f>
        <v>NA</v>
      </c>
      <c r="J59" s="100">
        <f>IFERROR(VLOOKUP(B59,'ERPsCRPs&amp;Spreads'!$B$8:$K$164,6,FALSE),"NA")</f>
        <v>0.26984427520562304</v>
      </c>
      <c r="K59" s="100" t="str">
        <f>IFERROR(VLOOKUP('CtryERP&amp;CRP'!B59,'ERPsCRPs&amp;Spreads'!$B$169:$I$189,7,FALSE),"NA")</f>
        <v>NA</v>
      </c>
      <c r="L59" s="100">
        <f t="shared" si="5"/>
        <v>0.26984427520562304</v>
      </c>
    </row>
    <row r="60" spans="2:12" x14ac:dyDescent="0.25">
      <c r="B60" s="5" t="s">
        <v>87</v>
      </c>
      <c r="C60" s="6"/>
      <c r="D60" s="100" t="str">
        <f>IFERROR(VLOOKUP(B60,'ERPsCRPs&amp;Spreads'!$B$8:$K$164,10,FALSE),"NA")</f>
        <v>NA</v>
      </c>
      <c r="E60" s="100">
        <f>IFERROR(VLOOKUP(B60,'ERPsCRPs&amp;Spreads'!$B$8:$H$164,7,FALSE),"NA")</f>
        <v>0.12019606965778785</v>
      </c>
      <c r="F60" s="100" t="str">
        <f>IFERROR(VLOOKUP(B60,'ERPsCRPs&amp;Spreads'!$B$169:$I$189,8,FALSE),"NA")</f>
        <v>NA</v>
      </c>
      <c r="G60" s="100">
        <f t="shared" si="6"/>
        <v>0.12019606965778785</v>
      </c>
      <c r="H60" s="24"/>
      <c r="I60" s="100" t="str">
        <f>IFERROR(VLOOKUP(B60,'ERPsCRPs&amp;Spreads'!$B$8:$K$164,9,FALSE),"NA")</f>
        <v>NA</v>
      </c>
      <c r="J60" s="100">
        <f>IFERROR(VLOOKUP(B60,'ERPsCRPs&amp;Spreads'!$B$8:$K$164,6,FALSE),"NA")</f>
        <v>9.0182943149659939E-2</v>
      </c>
      <c r="K60" s="100" t="str">
        <f>IFERROR(VLOOKUP('CtryERP&amp;CRP'!B60,'ERPsCRPs&amp;Spreads'!$B$169:$I$189,7,FALSE),"NA")</f>
        <v>NA</v>
      </c>
      <c r="L60" s="100">
        <f t="shared" si="5"/>
        <v>9.0182943149659939E-2</v>
      </c>
    </row>
    <row r="61" spans="2:12" x14ac:dyDescent="0.25">
      <c r="B61" s="5" t="s">
        <v>101</v>
      </c>
      <c r="C61" s="6"/>
      <c r="D61" s="100">
        <f>IFERROR(VLOOKUP(B61,'ERPsCRPs&amp;Spreads'!$B$8:$K$164,10,FALSE),"NA")</f>
        <v>0.22490847586466195</v>
      </c>
      <c r="E61" s="100">
        <f>IFERROR(VLOOKUP(B61,'ERPsCRPs&amp;Spreads'!$B$8:$H$164,7,FALSE),"NA")</f>
        <v>0.25476593013892102</v>
      </c>
      <c r="F61" s="100" t="str">
        <f>IFERROR(VLOOKUP(B61,'ERPsCRPs&amp;Spreads'!$B$169:$I$189,8,FALSE),"NA")</f>
        <v>NA</v>
      </c>
      <c r="G61" s="100">
        <f t="shared" si="6"/>
        <v>0.22490847586466195</v>
      </c>
      <c r="H61" s="24"/>
      <c r="I61" s="100">
        <f>IFERROR(VLOOKUP(B61,'ERPsCRPs&amp;Spreads'!$B$8:$K$164,9,FALSE),"NA")</f>
        <v>0.19489534935653402</v>
      </c>
      <c r="J61" s="100">
        <f>IFERROR(VLOOKUP(B61,'ERPsCRPs&amp;Spreads'!$B$8:$K$164,6,FALSE),"NA")</f>
        <v>0.22475280363079311</v>
      </c>
      <c r="K61" s="100" t="str">
        <f>IFERROR(VLOOKUP('CtryERP&amp;CRP'!B61,'ERPsCRPs&amp;Spreads'!$B$169:$I$189,7,FALSE),"NA")</f>
        <v>NA</v>
      </c>
      <c r="L61" s="100">
        <f t="shared" si="5"/>
        <v>0.19489534935653402</v>
      </c>
    </row>
    <row r="62" spans="2:12" x14ac:dyDescent="0.25">
      <c r="B62" s="5" t="s">
        <v>108</v>
      </c>
      <c r="C62" s="6"/>
      <c r="D62" s="100" t="str">
        <f>IFERROR(VLOOKUP(B62,'ERPsCRPs&amp;Spreads'!$B$8:$K$164,10,FALSE),"NA")</f>
        <v>NA</v>
      </c>
      <c r="E62" s="100">
        <f>IFERROR(VLOOKUP(B62,'ERPsCRPs&amp;Spreads'!$B$8:$H$164,7,FALSE),"NA")</f>
        <v>0.29985740171375097</v>
      </c>
      <c r="F62" s="100" t="str">
        <f>IFERROR(VLOOKUP(B62,'ERPsCRPs&amp;Spreads'!$B$169:$I$189,8,FALSE),"NA")</f>
        <v>NA</v>
      </c>
      <c r="G62" s="100">
        <f t="shared" si="6"/>
        <v>0.29985740171375097</v>
      </c>
      <c r="H62" s="24"/>
      <c r="I62" s="100" t="str">
        <f>IFERROR(VLOOKUP(B62,'ERPsCRPs&amp;Spreads'!$B$8:$K$164,9,FALSE),"NA")</f>
        <v>NA</v>
      </c>
      <c r="J62" s="100">
        <f>IFERROR(VLOOKUP(B62,'ERPsCRPs&amp;Spreads'!$B$8:$K$164,6,FALSE),"NA")</f>
        <v>0.26984427520562304</v>
      </c>
      <c r="K62" s="100" t="str">
        <f>IFERROR(VLOOKUP('CtryERP&amp;CRP'!B62,'ERPsCRPs&amp;Spreads'!$B$169:$I$189,7,FALSE),"NA")</f>
        <v>NA</v>
      </c>
      <c r="L62" s="100">
        <f t="shared" si="5"/>
        <v>0.26984427520562304</v>
      </c>
    </row>
    <row r="63" spans="2:12" x14ac:dyDescent="0.25">
      <c r="B63" s="5" t="s">
        <v>115</v>
      </c>
      <c r="C63" s="6"/>
      <c r="D63" s="100">
        <f>IFERROR(VLOOKUP(B63,'ERPsCRPs&amp;Spreads'!$B$8:$K$164,10,FALSE),"NA")</f>
        <v>0.26273754212175315</v>
      </c>
      <c r="E63" s="100">
        <f>IFERROR(VLOOKUP(B63,'ERPsCRPs&amp;Spreads'!$B$8:$H$164,7,FALSE),"NA")</f>
        <v>0.29985740171375097</v>
      </c>
      <c r="F63" s="100" t="str">
        <f>IFERROR(VLOOKUP(B63,'ERPsCRPs&amp;Spreads'!$B$169:$I$189,8,FALSE),"NA")</f>
        <v>NA</v>
      </c>
      <c r="G63" s="100">
        <f t="shared" si="6"/>
        <v>0.26273754212175315</v>
      </c>
      <c r="H63" s="24"/>
      <c r="I63" s="100">
        <f>IFERROR(VLOOKUP(B63,'ERPsCRPs&amp;Spreads'!$B$8:$K$164,9,FALSE),"NA")</f>
        <v>0.23272441561362522</v>
      </c>
      <c r="J63" s="100">
        <f>IFERROR(VLOOKUP(B63,'ERPsCRPs&amp;Spreads'!$B$8:$K$164,6,FALSE),"NA")</f>
        <v>0.26984427520562304</v>
      </c>
      <c r="K63" s="100" t="str">
        <f>IFERROR(VLOOKUP('CtryERP&amp;CRP'!B63,'ERPsCRPs&amp;Spreads'!$B$169:$I$189,7,FALSE),"NA")</f>
        <v>NA</v>
      </c>
      <c r="L63" s="100">
        <f t="shared" si="5"/>
        <v>0.23272441561362522</v>
      </c>
    </row>
    <row r="64" spans="2:12" x14ac:dyDescent="0.25">
      <c r="B64" s="5" t="s">
        <v>122</v>
      </c>
      <c r="C64" s="6"/>
      <c r="D64" s="100" t="str">
        <f>IFERROR(VLOOKUP(B64,'ERPsCRPs&amp;Spreads'!$B$8:$K$164,10,FALSE),"NA")</f>
        <v>NA</v>
      </c>
      <c r="E64" s="100" t="str">
        <f>IFERROR(VLOOKUP(B64,'ERPsCRPs&amp;Spreads'!$B$8:$H$164,7,FALSE),"NA")</f>
        <v>NA</v>
      </c>
      <c r="F64" s="100">
        <f>IFERROR(VLOOKUP(B64,'ERPsCRPs&amp;Spreads'!$B$169:$I$189,8,FALSE),"NA")</f>
        <v>0.16493526411093945</v>
      </c>
      <c r="G64" s="100">
        <f t="shared" si="6"/>
        <v>0.16493526411093945</v>
      </c>
      <c r="H64" s="24"/>
      <c r="I64" s="100" t="str">
        <f>IFERROR(VLOOKUP(B64,'ERPsCRPs&amp;Spreads'!$B$8:$K$164,9,FALSE),"NA")</f>
        <v>NA</v>
      </c>
      <c r="J64" s="100" t="str">
        <f>IFERROR(VLOOKUP(B64,'ERPsCRPs&amp;Spreads'!$B$8:$K$164,6,FALSE),"NA")</f>
        <v>NA</v>
      </c>
      <c r="K64" s="100">
        <f>IFERROR(VLOOKUP('CtryERP&amp;CRP'!B64,'ERPsCRPs&amp;Spreads'!$B$169:$I$189,7,FALSE),"NA")</f>
        <v>0.13492213760281152</v>
      </c>
      <c r="L64" s="100">
        <f t="shared" si="5"/>
        <v>0.13492213760281152</v>
      </c>
    </row>
    <row r="65" spans="2:12" x14ac:dyDescent="0.25">
      <c r="B65" s="5" t="s">
        <v>129</v>
      </c>
      <c r="C65" s="6"/>
      <c r="D65" s="100" t="str">
        <f>IFERROR(VLOOKUP(B65,'ERPsCRPs&amp;Spreads'!$B$8:$K$164,10,FALSE),"NA")</f>
        <v>NA</v>
      </c>
      <c r="E65" s="100">
        <f>IFERROR(VLOOKUP(B65,'ERPsCRPs&amp;Spreads'!$B$8:$H$164,7,FALSE),"NA")</f>
        <v>0.29985740171375097</v>
      </c>
      <c r="F65" s="100" t="str">
        <f>IFERROR(VLOOKUP(B65,'ERPsCRPs&amp;Spreads'!$B$169:$I$189,8,FALSE),"NA")</f>
        <v>NA</v>
      </c>
      <c r="G65" s="100">
        <f t="shared" si="6"/>
        <v>0.29985740171375097</v>
      </c>
      <c r="H65" s="24"/>
      <c r="I65" s="100" t="str">
        <f>IFERROR(VLOOKUP(B65,'ERPsCRPs&amp;Spreads'!$B$8:$K$164,9,FALSE),"NA")</f>
        <v>NA</v>
      </c>
      <c r="J65" s="100">
        <f>IFERROR(VLOOKUP(B65,'ERPsCRPs&amp;Spreads'!$B$8:$K$164,6,FALSE),"NA")</f>
        <v>0.26984427520562304</v>
      </c>
      <c r="K65" s="100" t="str">
        <f>IFERROR(VLOOKUP('CtryERP&amp;CRP'!B65,'ERPsCRPs&amp;Spreads'!$B$169:$I$189,7,FALSE),"NA")</f>
        <v>NA</v>
      </c>
      <c r="L65" s="100">
        <f t="shared" si="5"/>
        <v>0.26984427520562304</v>
      </c>
    </row>
    <row r="66" spans="2:12" x14ac:dyDescent="0.25">
      <c r="B66" s="5" t="s">
        <v>134</v>
      </c>
      <c r="C66" s="6"/>
      <c r="D66" s="100" t="str">
        <f>IFERROR(VLOOKUP(B66,'ERPsCRPs&amp;Spreads'!$B$8:$K$164,10,FALSE),"NA")</f>
        <v>NA</v>
      </c>
      <c r="E66" s="100" t="str">
        <f>IFERROR(VLOOKUP(B66,'ERPsCRPs&amp;Spreads'!$B$8:$H$164,7,FALSE),"NA")</f>
        <v>NA</v>
      </c>
      <c r="F66" s="100">
        <f>IFERROR(VLOOKUP(B66,'ERPsCRPs&amp;Spreads'!$B$169:$I$189,8,FALSE),"NA")</f>
        <v>0.29985740171375097</v>
      </c>
      <c r="G66" s="100">
        <f t="shared" si="6"/>
        <v>0.29985740171375097</v>
      </c>
      <c r="H66" s="24"/>
      <c r="I66" s="100" t="str">
        <f>IFERROR(VLOOKUP(B66,'ERPsCRPs&amp;Spreads'!$B$8:$K$164,9,FALSE),"NA")</f>
        <v>NA</v>
      </c>
      <c r="J66" s="100" t="str">
        <f>IFERROR(VLOOKUP(B66,'ERPsCRPs&amp;Spreads'!$B$8:$K$164,6,FALSE),"NA")</f>
        <v>NA</v>
      </c>
      <c r="K66" s="100">
        <f>IFERROR(VLOOKUP('CtryERP&amp;CRP'!B66,'ERPsCRPs&amp;Spreads'!$B$169:$I$189,7,FALSE),"NA")</f>
        <v>0.26984427520562304</v>
      </c>
      <c r="L66" s="100">
        <f t="shared" si="5"/>
        <v>0.26984427520562304</v>
      </c>
    </row>
    <row r="67" spans="2:12" x14ac:dyDescent="0.25">
      <c r="B67" s="5" t="s">
        <v>139</v>
      </c>
      <c r="C67" s="6"/>
      <c r="D67" s="100" t="str">
        <f>IFERROR(VLOOKUP(B67,'ERPsCRPs&amp;Spreads'!$B$8:$K$164,10,FALSE),"NA")</f>
        <v>NA</v>
      </c>
      <c r="E67" s="100" t="str">
        <f>IFERROR(VLOOKUP(B67,'ERPsCRPs&amp;Spreads'!$B$8:$H$164,7,FALSE),"NA")</f>
        <v>NA</v>
      </c>
      <c r="F67" s="100">
        <f>IFERROR(VLOOKUP(B67,'ERPsCRPs&amp;Spreads'!$B$169:$I$189,8,FALSE),"NA")</f>
        <v>0.22482237479626049</v>
      </c>
      <c r="G67" s="100">
        <f t="shared" si="6"/>
        <v>0.22482237479626049</v>
      </c>
      <c r="H67" s="24"/>
      <c r="I67" s="100" t="str">
        <f>IFERROR(VLOOKUP(B67,'ERPsCRPs&amp;Spreads'!$B$8:$K$164,9,FALSE),"NA")</f>
        <v>NA</v>
      </c>
      <c r="J67" s="100" t="str">
        <f>IFERROR(VLOOKUP(B67,'ERPsCRPs&amp;Spreads'!$B$8:$K$164,6,FALSE),"NA")</f>
        <v>NA</v>
      </c>
      <c r="K67" s="100">
        <f>IFERROR(VLOOKUP('CtryERP&amp;CRP'!B67,'ERPsCRPs&amp;Spreads'!$B$169:$I$189,7,FALSE),"NA")</f>
        <v>0.19480924828813256</v>
      </c>
      <c r="L67" s="100">
        <f t="shared" si="5"/>
        <v>0.19480924828813256</v>
      </c>
    </row>
    <row r="68" spans="2:12" x14ac:dyDescent="0.25">
      <c r="B68" s="5" t="s">
        <v>144</v>
      </c>
      <c r="C68" s="6"/>
      <c r="D68" s="100">
        <f>IFERROR(VLOOKUP(B68,'ERPsCRPs&amp;Spreads'!$B$8:$K$164,10,FALSE),"NA")</f>
        <v>0.21673739755313018</v>
      </c>
      <c r="E68" s="100">
        <f>IFERROR(VLOOKUP(B68,'ERPsCRPs&amp;Spreads'!$B$8:$H$164,7,FALSE),"NA")</f>
        <v>0.25476593013892102</v>
      </c>
      <c r="F68" s="100" t="str">
        <f>IFERROR(VLOOKUP(B68,'ERPsCRPs&amp;Spreads'!$B$169:$I$189,8,FALSE),"NA")</f>
        <v>NA</v>
      </c>
      <c r="G68" s="100">
        <f t="shared" si="6"/>
        <v>0.21673739755313018</v>
      </c>
      <c r="H68" s="24"/>
      <c r="I68" s="100">
        <f>IFERROR(VLOOKUP(B68,'ERPsCRPs&amp;Spreads'!$B$8:$K$164,9,FALSE),"NA")</f>
        <v>0.18672427104500225</v>
      </c>
      <c r="J68" s="100">
        <f>IFERROR(VLOOKUP(B68,'ERPsCRPs&amp;Spreads'!$B$8:$K$164,6,FALSE),"NA")</f>
        <v>0.22475280363079311</v>
      </c>
      <c r="K68" s="100" t="str">
        <f>IFERROR(VLOOKUP('CtryERP&amp;CRP'!B68,'ERPsCRPs&amp;Spreads'!$B$169:$I$189,7,FALSE),"NA")</f>
        <v>NA</v>
      </c>
      <c r="L68" s="100">
        <f t="shared" si="5"/>
        <v>0.18672427104500225</v>
      </c>
    </row>
    <row r="69" spans="2:12" x14ac:dyDescent="0.25">
      <c r="B69" s="5" t="s">
        <v>149</v>
      </c>
      <c r="C69" s="6"/>
      <c r="D69" s="100" t="str">
        <f>IFERROR(VLOOKUP(B69,'ERPsCRPs&amp;Spreads'!$B$8:$K$164,10,FALSE),"NA")</f>
        <v>NA</v>
      </c>
      <c r="E69" s="100" t="str">
        <f>IFERROR(VLOOKUP(B69,'ERPsCRPs&amp;Spreads'!$B$8:$H$164,7,FALSE),"NA")</f>
        <v>NA</v>
      </c>
      <c r="F69" s="100">
        <f>IFERROR(VLOOKUP(B69,'ERPsCRPs&amp;Spreads'!$B$169:$I$189,8,FALSE),"NA")</f>
        <v>0.29985740171375097</v>
      </c>
      <c r="G69" s="100">
        <f t="shared" si="6"/>
        <v>0.29985740171375097</v>
      </c>
      <c r="H69" s="24"/>
      <c r="I69" s="100" t="str">
        <f>IFERROR(VLOOKUP(B69,'ERPsCRPs&amp;Spreads'!$B$8:$K$164,9,FALSE),"NA")</f>
        <v>NA</v>
      </c>
      <c r="J69" s="100" t="str">
        <f>IFERROR(VLOOKUP(B69,'ERPsCRPs&amp;Spreads'!$B$8:$K$164,6,FALSE),"NA")</f>
        <v>NA</v>
      </c>
      <c r="K69" s="100">
        <f>IFERROR(VLOOKUP('CtryERP&amp;CRP'!B69,'ERPsCRPs&amp;Spreads'!$B$169:$I$189,7,FALSE),"NA")</f>
        <v>0.26984427520562304</v>
      </c>
      <c r="L69" s="100">
        <f t="shared" si="5"/>
        <v>0.26984427520562304</v>
      </c>
    </row>
    <row r="70" spans="2:12" x14ac:dyDescent="0.25">
      <c r="B70" s="5" t="s">
        <v>154</v>
      </c>
      <c r="C70" s="6"/>
      <c r="D70" s="100" t="str">
        <f>IFERROR(VLOOKUP(B70,'ERPsCRPs&amp;Spreads'!$B$8:$K$164,10,FALSE),"NA")</f>
        <v>NA</v>
      </c>
      <c r="E70" s="100" t="str">
        <f>IFERROR(VLOOKUP(B70,'ERPsCRPs&amp;Spreads'!$B$8:$H$164,7,FALSE),"NA")</f>
        <v>NA</v>
      </c>
      <c r="F70" s="100">
        <f>IFERROR(VLOOKUP(B70,'ERPsCRPs&amp;Spreads'!$B$169:$I$189,8,FALSE),"NA")</f>
        <v>9.5888948261981077E-2</v>
      </c>
      <c r="G70" s="100">
        <f t="shared" si="6"/>
        <v>9.5888948261981077E-2</v>
      </c>
      <c r="H70" s="24"/>
      <c r="I70" s="100" t="str">
        <f>IFERROR(VLOOKUP(B70,'ERPsCRPs&amp;Spreads'!$B$8:$K$164,9,FALSE),"NA")</f>
        <v>NA</v>
      </c>
      <c r="J70" s="100" t="str">
        <f>IFERROR(VLOOKUP(B70,'ERPsCRPs&amp;Spreads'!$B$8:$K$164,6,FALSE),"NA")</f>
        <v>NA</v>
      </c>
      <c r="K70" s="100">
        <f>IFERROR(VLOOKUP('CtryERP&amp;CRP'!B70,'ERPsCRPs&amp;Spreads'!$B$169:$I$189,7,FALSE),"NA")</f>
        <v>6.5875821753853162E-2</v>
      </c>
      <c r="L70" s="100">
        <f t="shared" si="5"/>
        <v>6.5875821753853162E-2</v>
      </c>
    </row>
    <row r="71" spans="2:12" x14ac:dyDescent="0.25">
      <c r="B71" s="5" t="s">
        <v>158</v>
      </c>
      <c r="C71" s="6"/>
      <c r="D71" s="100" t="str">
        <f>IFERROR(VLOOKUP(B71,'ERPsCRPs&amp;Spreads'!$B$8:$K$164,10,FALSE),"NA")</f>
        <v>NA</v>
      </c>
      <c r="E71" s="100" t="str">
        <f>IFERROR(VLOOKUP(B71,'ERPsCRPs&amp;Spreads'!$B$8:$H$164,7,FALSE),"NA")</f>
        <v>NA</v>
      </c>
      <c r="F71" s="100">
        <f>IFERROR(VLOOKUP(B71,'ERPsCRPs&amp;Spreads'!$B$169:$I$189,8,FALSE),"NA")</f>
        <v>0.1948788194536</v>
      </c>
      <c r="G71" s="100">
        <f t="shared" si="6"/>
        <v>0.1948788194536</v>
      </c>
      <c r="H71" s="24"/>
      <c r="I71" s="100" t="str">
        <f>IFERROR(VLOOKUP(B71,'ERPsCRPs&amp;Spreads'!$B$8:$K$164,9,FALSE),"NA")</f>
        <v>NA</v>
      </c>
      <c r="J71" s="100" t="str">
        <f>IFERROR(VLOOKUP(B71,'ERPsCRPs&amp;Spreads'!$B$8:$K$164,6,FALSE),"NA")</f>
        <v>NA</v>
      </c>
      <c r="K71" s="100">
        <f>IFERROR(VLOOKUP('CtryERP&amp;CRP'!B71,'ERPsCRPs&amp;Spreads'!$B$169:$I$189,7,FALSE),"NA")</f>
        <v>0.16486569294547207</v>
      </c>
      <c r="L71" s="100">
        <f t="shared" si="5"/>
        <v>0.16486569294547207</v>
      </c>
    </row>
    <row r="72" spans="2:12" x14ac:dyDescent="0.25">
      <c r="B72" s="5" t="s">
        <v>161</v>
      </c>
      <c r="C72" s="6"/>
      <c r="D72" s="100" t="str">
        <f>IFERROR(VLOOKUP(B72,'ERPsCRPs&amp;Spreads'!$B$8:$K$164,10,FALSE),"NA")</f>
        <v>NA</v>
      </c>
      <c r="E72" s="100" t="str">
        <f>IFERROR(VLOOKUP(B72,'ERPsCRPs&amp;Spreads'!$B$8:$H$164,7,FALSE),"NA")</f>
        <v>NA</v>
      </c>
      <c r="F72" s="100">
        <f>IFERROR(VLOOKUP(B72,'ERPsCRPs&amp;Spreads'!$B$169:$I$189,8,FALSE),"NA")</f>
        <v>0.29985740171375097</v>
      </c>
      <c r="G72" s="100">
        <f t="shared" si="6"/>
        <v>0.29985740171375097</v>
      </c>
      <c r="H72" s="24"/>
      <c r="I72" s="100" t="str">
        <f>IFERROR(VLOOKUP(B72,'ERPsCRPs&amp;Spreads'!$B$8:$K$164,9,FALSE),"NA")</f>
        <v>NA</v>
      </c>
      <c r="J72" s="100" t="str">
        <f>IFERROR(VLOOKUP(B72,'ERPsCRPs&amp;Spreads'!$B$8:$K$164,6,FALSE),"NA")</f>
        <v>NA</v>
      </c>
      <c r="K72" s="100">
        <f>IFERROR(VLOOKUP('CtryERP&amp;CRP'!B72,'ERPsCRPs&amp;Spreads'!$B$169:$I$189,7,FALSE),"NA")</f>
        <v>0.26984427520562304</v>
      </c>
      <c r="L72" s="100">
        <f t="shared" si="5"/>
        <v>0.26984427520562304</v>
      </c>
    </row>
    <row r="73" spans="2:12" x14ac:dyDescent="0.25">
      <c r="B73" s="5" t="s">
        <v>165</v>
      </c>
      <c r="C73" s="6"/>
      <c r="D73" s="100" t="str">
        <f>IFERROR(VLOOKUP(B73,'ERPsCRPs&amp;Spreads'!$B$8:$K$164,10,FALSE),"NA")</f>
        <v>NA</v>
      </c>
      <c r="E73" s="100">
        <f>IFERROR(VLOOKUP(B73,'ERPsCRPs&amp;Spreads'!$B$8:$H$164,7,FALSE),"NA")</f>
        <v>0.29985740171375097</v>
      </c>
      <c r="F73" s="100" t="str">
        <f>IFERROR(VLOOKUP(B73,'ERPsCRPs&amp;Spreads'!$B$169:$I$189,8,FALSE),"NA")</f>
        <v>NA</v>
      </c>
      <c r="G73" s="100">
        <f t="shared" si="6"/>
        <v>0.29985740171375097</v>
      </c>
      <c r="H73" s="24"/>
      <c r="I73" s="100" t="str">
        <f>IFERROR(VLOOKUP(B73,'ERPsCRPs&amp;Spreads'!$B$8:$K$164,9,FALSE),"NA")</f>
        <v>NA</v>
      </c>
      <c r="J73" s="100">
        <f>IFERROR(VLOOKUP(B73,'ERPsCRPs&amp;Spreads'!$B$8:$K$164,6,FALSE),"NA")</f>
        <v>0.26984427520562304</v>
      </c>
      <c r="K73" s="100" t="str">
        <f>IFERROR(VLOOKUP('CtryERP&amp;CRP'!B73,'ERPsCRPs&amp;Spreads'!$B$169:$I$189,7,FALSE),"NA")</f>
        <v>NA</v>
      </c>
      <c r="L73" s="100">
        <f t="shared" si="5"/>
        <v>0.26984427520562304</v>
      </c>
    </row>
    <row r="74" spans="2:12" x14ac:dyDescent="0.25">
      <c r="B74" s="5" t="s">
        <v>169</v>
      </c>
      <c r="C74" s="6"/>
      <c r="D74" s="100" t="str">
        <f>IFERROR(VLOOKUP(B74,'ERPsCRPs&amp;Spreads'!$B$8:$K$164,10,FALSE),"NA")</f>
        <v>NA</v>
      </c>
      <c r="E74" s="100">
        <f>IFERROR(VLOOKUP(B74,'ERPsCRPs&amp;Spreads'!$B$8:$H$164,7,FALSE),"NA")</f>
        <v>9.5888948261981077E-2</v>
      </c>
      <c r="F74" s="100" t="str">
        <f>IFERROR(VLOOKUP(B74,'ERPsCRPs&amp;Spreads'!$B$169:$I$189,8,FALSE),"NA")</f>
        <v>NA</v>
      </c>
      <c r="G74" s="100">
        <f t="shared" si="6"/>
        <v>9.5888948261981077E-2</v>
      </c>
      <c r="H74" s="24"/>
      <c r="I74" s="100" t="str">
        <f>IFERROR(VLOOKUP(B74,'ERPsCRPs&amp;Spreads'!$B$8:$K$164,9,FALSE),"NA")</f>
        <v>NA</v>
      </c>
      <c r="J74" s="100">
        <f>IFERROR(VLOOKUP(B74,'ERPsCRPs&amp;Spreads'!$B$8:$K$164,6,FALSE),"NA")</f>
        <v>6.5875821753853162E-2</v>
      </c>
      <c r="K74" s="100" t="str">
        <f>IFERROR(VLOOKUP('CtryERP&amp;CRP'!B74,'ERPsCRPs&amp;Spreads'!$B$169:$I$189,7,FALSE),"NA")</f>
        <v>NA</v>
      </c>
      <c r="L74" s="100">
        <f t="shared" si="5"/>
        <v>6.5875821753853162E-2</v>
      </c>
    </row>
    <row r="75" spans="2:12" x14ac:dyDescent="0.25">
      <c r="B75" s="5" t="s">
        <v>173</v>
      </c>
      <c r="C75" s="6"/>
      <c r="D75" s="100">
        <f>IFERROR(VLOOKUP(B75,'ERPsCRPs&amp;Spreads'!$B$8:$K$164,10,FALSE),"NA")</f>
        <v>7.3289578306240277E-2</v>
      </c>
      <c r="E75" s="100">
        <f>IFERROR(VLOOKUP(B75,'ERPsCRPs&amp;Spreads'!$B$8:$H$164,7,FALSE),"NA")</f>
        <v>0.10504815342561842</v>
      </c>
      <c r="F75" s="100" t="str">
        <f>IFERROR(VLOOKUP(B75,'ERPsCRPs&amp;Spreads'!$B$169:$I$189,8,FALSE),"NA")</f>
        <v>NA</v>
      </c>
      <c r="G75" s="100">
        <f t="shared" si="6"/>
        <v>7.3289578306240277E-2</v>
      </c>
      <c r="H75" s="24"/>
      <c r="I75" s="100">
        <f>IFERROR(VLOOKUP(B75,'ERPsCRPs&amp;Spreads'!$B$8:$K$164,9,FALSE),"NA")</f>
        <v>4.3276451798112354E-2</v>
      </c>
      <c r="J75" s="100">
        <f>IFERROR(VLOOKUP(B75,'ERPsCRPs&amp;Spreads'!$B$8:$K$164,6,FALSE),"NA")</f>
        <v>7.5035026917490505E-2</v>
      </c>
      <c r="K75" s="100" t="str">
        <f>IFERROR(VLOOKUP('CtryERP&amp;CRP'!B75,'ERPsCRPs&amp;Spreads'!$B$169:$I$189,7,FALSE),"NA")</f>
        <v>NA</v>
      </c>
      <c r="L75" s="100">
        <f t="shared" si="5"/>
        <v>4.3276451798112354E-2</v>
      </c>
    </row>
    <row r="76" spans="2:12" x14ac:dyDescent="0.25">
      <c r="B76" s="5" t="s">
        <v>177</v>
      </c>
      <c r="C76" s="6"/>
      <c r="D76" s="100" t="str">
        <f>IFERROR(VLOOKUP(B76,'ERPsCRPs&amp;Spreads'!$B$8:$K$164,10,FALSE),"NA")</f>
        <v>NA</v>
      </c>
      <c r="E76" s="100">
        <f>IFERROR(VLOOKUP(B76,'ERPsCRPs&amp;Spreads'!$B$8:$H$164,7,FALSE),"NA")</f>
        <v>0.29985740171375097</v>
      </c>
      <c r="F76" s="100" t="str">
        <f>IFERROR(VLOOKUP(B76,'ERPsCRPs&amp;Spreads'!$B$169:$I$189,8,FALSE),"NA")</f>
        <v>NA</v>
      </c>
      <c r="G76" s="100">
        <f t="shared" si="6"/>
        <v>0.29985740171375097</v>
      </c>
      <c r="H76" s="24"/>
      <c r="I76" s="100" t="str">
        <f>IFERROR(VLOOKUP(B76,'ERPsCRPs&amp;Spreads'!$B$8:$K$164,9,FALSE),"NA")</f>
        <v>NA</v>
      </c>
      <c r="J76" s="100">
        <f>IFERROR(VLOOKUP(B76,'ERPsCRPs&amp;Spreads'!$B$8:$K$164,6,FALSE),"NA")</f>
        <v>0.26984427520562304</v>
      </c>
      <c r="K76" s="100" t="str">
        <f>IFERROR(VLOOKUP('CtryERP&amp;CRP'!B76,'ERPsCRPs&amp;Spreads'!$B$169:$I$189,7,FALSE),"NA")</f>
        <v>NA</v>
      </c>
      <c r="L76" s="100">
        <f t="shared" si="5"/>
        <v>0.26984427520562304</v>
      </c>
    </row>
    <row r="77" spans="2:12" x14ac:dyDescent="0.25">
      <c r="B77" s="5" t="s">
        <v>179</v>
      </c>
      <c r="C77" s="6"/>
      <c r="D77" s="100">
        <f>IFERROR(VLOOKUP(B77,'ERPsCRPs&amp;Spreads'!$B$8:$K$164,10,FALSE),"NA")</f>
        <v>0.13532924696786988</v>
      </c>
      <c r="E77" s="100">
        <f>IFERROR(VLOOKUP(B77,'ERPsCRPs&amp;Spreads'!$B$8:$H$164,7,FALSE),"NA")</f>
        <v>0.16493526411093945</v>
      </c>
      <c r="F77" s="100" t="str">
        <f>IFERROR(VLOOKUP(B77,'ERPsCRPs&amp;Spreads'!$B$169:$I$189,8,FALSE),"NA")</f>
        <v>NA</v>
      </c>
      <c r="G77" s="100">
        <f t="shared" si="6"/>
        <v>0.13532924696786988</v>
      </c>
      <c r="H77" s="24"/>
      <c r="I77" s="100">
        <f>IFERROR(VLOOKUP(B77,'ERPsCRPs&amp;Spreads'!$B$8:$K$164,9,FALSE),"NA")</f>
        <v>0.10531612045974195</v>
      </c>
      <c r="J77" s="100">
        <f>IFERROR(VLOOKUP(B77,'ERPsCRPs&amp;Spreads'!$B$8:$K$164,6,FALSE),"NA")</f>
        <v>0.13492213760281152</v>
      </c>
      <c r="K77" s="100" t="str">
        <f>IFERROR(VLOOKUP('CtryERP&amp;CRP'!B77,'ERPsCRPs&amp;Spreads'!$B$169:$I$189,7,FALSE),"NA")</f>
        <v>NA</v>
      </c>
      <c r="L77" s="100">
        <f t="shared" si="5"/>
        <v>0.10531612045974195</v>
      </c>
    </row>
    <row r="78" spans="2:12" x14ac:dyDescent="0.25">
      <c r="B78" s="5" t="s">
        <v>181</v>
      </c>
      <c r="C78" s="6"/>
      <c r="D78" s="100" t="str">
        <f>IFERROR(VLOOKUP(B78,'ERPsCRPs&amp;Spreads'!$B$8:$K$164,10,FALSE),"NA")</f>
        <v>NA</v>
      </c>
      <c r="E78" s="100">
        <f>IFERROR(VLOOKUP(B78,'ERPsCRPs&amp;Spreads'!$B$8:$H$164,7,FALSE),"NA")</f>
        <v>0.3298009570564116</v>
      </c>
      <c r="F78" s="100" t="str">
        <f>IFERROR(VLOOKUP(B78,'ERPsCRPs&amp;Spreads'!$B$169:$I$189,8,FALSE),"NA")</f>
        <v>NA</v>
      </c>
      <c r="G78" s="100">
        <f t="shared" si="6"/>
        <v>0.3298009570564116</v>
      </c>
      <c r="H78" s="24"/>
      <c r="I78" s="100" t="str">
        <f>IFERROR(VLOOKUP(B78,'ERPsCRPs&amp;Spreads'!$B$8:$K$164,9,FALSE),"NA")</f>
        <v>NA</v>
      </c>
      <c r="J78" s="100">
        <f>IFERROR(VLOOKUP(B78,'ERPsCRPs&amp;Spreads'!$B$8:$K$164,6,FALSE),"NA")</f>
        <v>0.29978783054828367</v>
      </c>
      <c r="K78" s="100" t="str">
        <f>IFERROR(VLOOKUP('CtryERP&amp;CRP'!B78,'ERPsCRPs&amp;Spreads'!$B$169:$I$189,7,FALSE),"NA")</f>
        <v>NA</v>
      </c>
      <c r="L78" s="100">
        <f t="shared" si="5"/>
        <v>0.29978783054828367</v>
      </c>
    </row>
    <row r="79" spans="2:12" x14ac:dyDescent="0.25">
      <c r="B79" s="5" t="s">
        <v>183</v>
      </c>
      <c r="C79" s="6"/>
      <c r="D79" s="100">
        <f>IFERROR(VLOOKUP(B79,'ERPsCRPs&amp;Spreads'!$B$8:$K$164,10,FALSE),"NA")</f>
        <v>0.20796105418148503</v>
      </c>
      <c r="E79" s="100">
        <f>IFERROR(VLOOKUP(B79,'ERPsCRPs&amp;Spreads'!$B$8:$H$164,7,FALSE),"NA")</f>
        <v>0.25476593013892102</v>
      </c>
      <c r="F79" s="100" t="str">
        <f>IFERROR(VLOOKUP(B79,'ERPsCRPs&amp;Spreads'!$B$169:$I$189,8,FALSE),"NA")</f>
        <v>NA</v>
      </c>
      <c r="G79" s="100">
        <f t="shared" si="6"/>
        <v>0.20796105418148503</v>
      </c>
      <c r="H79" s="24"/>
      <c r="I79" s="100">
        <f>IFERROR(VLOOKUP(B79,'ERPsCRPs&amp;Spreads'!$B$8:$K$164,9,FALSE),"NA")</f>
        <v>0.1779479276733571</v>
      </c>
      <c r="J79" s="100">
        <f>IFERROR(VLOOKUP(B79,'ERPsCRPs&amp;Spreads'!$B$8:$K$164,6,FALSE),"NA")</f>
        <v>0.22475280363079311</v>
      </c>
      <c r="K79" s="100" t="str">
        <f>IFERROR(VLOOKUP('CtryERP&amp;CRP'!B79,'ERPsCRPs&amp;Spreads'!$B$169:$I$189,7,FALSE),"NA")</f>
        <v>NA</v>
      </c>
      <c r="L79" s="100">
        <f t="shared" si="5"/>
        <v>0.1779479276733571</v>
      </c>
    </row>
    <row r="80" spans="2:12" x14ac:dyDescent="0.25">
      <c r="B80" s="5" t="s">
        <v>185</v>
      </c>
      <c r="C80" s="6"/>
      <c r="D80" s="100">
        <f>IFERROR(VLOOKUP(B80,'ERPsCRPs&amp;Spreads'!$B$8:$K$164,10,FALSE),"NA")</f>
        <v>0.1891978373179678</v>
      </c>
      <c r="E80" s="100">
        <f>IFERROR(VLOOKUP(B80,'ERPsCRPs&amp;Spreads'!$B$8:$H$164,7,FALSE),"NA")</f>
        <v>0.1948788194536</v>
      </c>
      <c r="F80" s="100" t="str">
        <f>IFERROR(VLOOKUP(B80,'ERPsCRPs&amp;Spreads'!$B$169:$I$189,8,FALSE),"NA")</f>
        <v>NA</v>
      </c>
      <c r="G80" s="100">
        <f t="shared" si="6"/>
        <v>0.1891978373179678</v>
      </c>
      <c r="H80" s="24"/>
      <c r="I80" s="100">
        <f>IFERROR(VLOOKUP(B80,'ERPsCRPs&amp;Spreads'!$B$8:$K$164,9,FALSE),"NA")</f>
        <v>0.15918471080983987</v>
      </c>
      <c r="J80" s="100">
        <f>IFERROR(VLOOKUP(B80,'ERPsCRPs&amp;Spreads'!$B$8:$K$164,6,FALSE),"NA")</f>
        <v>0.16486569294547207</v>
      </c>
      <c r="K80" s="100" t="str">
        <f>IFERROR(VLOOKUP('CtryERP&amp;CRP'!B80,'ERPsCRPs&amp;Spreads'!$B$169:$I$189,7,FALSE),"NA")</f>
        <v>NA</v>
      </c>
      <c r="L80" s="100">
        <f t="shared" si="5"/>
        <v>0.15918471080983987</v>
      </c>
    </row>
    <row r="81" spans="1:12" x14ac:dyDescent="0.25">
      <c r="B81" s="5" t="s">
        <v>186</v>
      </c>
      <c r="C81" s="6"/>
      <c r="D81" s="100">
        <f>IFERROR(VLOOKUP(B81,'ERPsCRPs&amp;Spreads'!$B$8:$K$164,10,FALSE),"NA")</f>
        <v>0.26182964453158292</v>
      </c>
      <c r="E81" s="100">
        <f>IFERROR(VLOOKUP(B81,'ERPsCRPs&amp;Spreads'!$B$8:$H$164,7,FALSE),"NA")</f>
        <v>0.16493526411093945</v>
      </c>
      <c r="F81" s="100" t="str">
        <f>IFERROR(VLOOKUP(B81,'ERPsCRPs&amp;Spreads'!$B$169:$I$189,8,FALSE),"NA")</f>
        <v>NA</v>
      </c>
      <c r="G81" s="100">
        <f t="shared" si="6"/>
        <v>0.26182964453158292</v>
      </c>
      <c r="H81" s="24"/>
      <c r="I81" s="100">
        <f>IFERROR(VLOOKUP(B81,'ERPsCRPs&amp;Spreads'!$B$8:$K$164,9,FALSE),"NA")</f>
        <v>0.23181651802345501</v>
      </c>
      <c r="J81" s="100">
        <f>IFERROR(VLOOKUP(B81,'ERPsCRPs&amp;Spreads'!$B$8:$K$164,6,FALSE),"NA")</f>
        <v>0.13492213760281152</v>
      </c>
      <c r="K81" s="100" t="str">
        <f>IFERROR(VLOOKUP('CtryERP&amp;CRP'!B81,'ERPsCRPs&amp;Spreads'!$B$169:$I$189,7,FALSE),"NA")</f>
        <v>NA</v>
      </c>
      <c r="L81" s="100">
        <f t="shared" si="5"/>
        <v>0.23181651802345501</v>
      </c>
    </row>
    <row r="82" spans="1:12" x14ac:dyDescent="0.25">
      <c r="B82" s="5" t="s">
        <v>187</v>
      </c>
      <c r="C82" s="6"/>
      <c r="D82" s="100" t="str">
        <f>IFERROR(VLOOKUP(B82,'ERPsCRPs&amp;Spreads'!$B$8:$K$164,10,FALSE),"NA")</f>
        <v>NA</v>
      </c>
      <c r="E82" s="100" t="str">
        <f>IFERROR(VLOOKUP(B82,'ERPsCRPs&amp;Spreads'!$B$8:$H$164,7,FALSE),"NA")</f>
        <v>NA</v>
      </c>
      <c r="F82" s="100">
        <f>IFERROR(VLOOKUP(B82,'ERPsCRPs&amp;Spreads'!$B$169:$I$189,8,FALSE),"NA")</f>
        <v>0.29985740171375097</v>
      </c>
      <c r="G82" s="100">
        <f t="shared" si="6"/>
        <v>0.29985740171375097</v>
      </c>
      <c r="H82" s="24"/>
      <c r="I82" s="100" t="str">
        <f>IFERROR(VLOOKUP(B82,'ERPsCRPs&amp;Spreads'!$B$8:$K$164,9,FALSE),"NA")</f>
        <v>NA</v>
      </c>
      <c r="J82" s="100" t="str">
        <f>IFERROR(VLOOKUP(B82,'ERPsCRPs&amp;Spreads'!$B$8:$K$164,6,FALSE),"NA")</f>
        <v>NA</v>
      </c>
      <c r="K82" s="100">
        <f>IFERROR(VLOOKUP('CtryERP&amp;CRP'!B82,'ERPsCRPs&amp;Spreads'!$B$169:$I$189,7,FALSE),"NA")</f>
        <v>0.26984427520562304</v>
      </c>
      <c r="L82" s="100">
        <f t="shared" si="5"/>
        <v>0.26984427520562304</v>
      </c>
    </row>
    <row r="83" spans="1:12" x14ac:dyDescent="0.25">
      <c r="B83" s="5" t="s">
        <v>188</v>
      </c>
      <c r="C83" s="6"/>
      <c r="D83" s="100" t="str">
        <f>IFERROR(VLOOKUP(B83,'ERPsCRPs&amp;Spreads'!$B$8:$K$164,10,FALSE),"NA")</f>
        <v>NA</v>
      </c>
      <c r="E83" s="100" t="str">
        <f>IFERROR(VLOOKUP(B83,'ERPsCRPs&amp;Spreads'!$B$8:$H$164,7,FALSE),"NA")</f>
        <v>NA</v>
      </c>
      <c r="F83" s="100">
        <f>IFERROR(VLOOKUP(B83,'ERPsCRPs&amp;Spreads'!$B$169:$I$189,8,FALSE),"NA")</f>
        <v>0.3298009570564116</v>
      </c>
      <c r="G83" s="100">
        <f t="shared" si="6"/>
        <v>0.3298009570564116</v>
      </c>
      <c r="H83" s="24"/>
      <c r="I83" s="100" t="str">
        <f>IFERROR(VLOOKUP(B83,'ERPsCRPs&amp;Spreads'!$B$8:$K$164,9,FALSE),"NA")</f>
        <v>NA</v>
      </c>
      <c r="J83" s="100" t="str">
        <f>IFERROR(VLOOKUP(B83,'ERPsCRPs&amp;Spreads'!$B$8:$K$164,6,FALSE),"NA")</f>
        <v>NA</v>
      </c>
      <c r="K83" s="100">
        <f>IFERROR(VLOOKUP('CtryERP&amp;CRP'!B83,'ERPsCRPs&amp;Spreads'!$B$169:$I$189,7,FALSE),"NA")</f>
        <v>0.29978783054828367</v>
      </c>
      <c r="L83" s="100">
        <f t="shared" si="5"/>
        <v>0.29978783054828367</v>
      </c>
    </row>
    <row r="84" spans="1:12" x14ac:dyDescent="0.25">
      <c r="B84" s="5" t="s">
        <v>189</v>
      </c>
      <c r="C84" s="6"/>
      <c r="D84" s="100">
        <f>IFERROR(VLOOKUP(B84,'ERPsCRPs&amp;Spreads'!$B$8:$K$164,10,FALSE),"NA")</f>
        <v>0.11596076504423916</v>
      </c>
      <c r="E84" s="100">
        <f>IFERROR(VLOOKUP(B84,'ERPsCRPs&amp;Spreads'!$B$8:$H$164,7,FALSE),"NA")</f>
        <v>0.12019606965778785</v>
      </c>
      <c r="F84" s="100" t="str">
        <f>IFERROR(VLOOKUP(B84,'ERPsCRPs&amp;Spreads'!$B$169:$I$189,8,FALSE),"NA")</f>
        <v>NA</v>
      </c>
      <c r="G84" s="100">
        <f t="shared" si="6"/>
        <v>0.11596076504423916</v>
      </c>
      <c r="H84" s="24"/>
      <c r="I84" s="100">
        <f>IFERROR(VLOOKUP(B84,'ERPsCRPs&amp;Spreads'!$B$8:$K$164,9,FALSE),"NA")</f>
        <v>8.5947638536111245E-2</v>
      </c>
      <c r="J84" s="100">
        <f>IFERROR(VLOOKUP(B84,'ERPsCRPs&amp;Spreads'!$B$8:$K$164,6,FALSE),"NA")</f>
        <v>9.0182943149659939E-2</v>
      </c>
      <c r="K84" s="100" t="str">
        <f>IFERROR(VLOOKUP('CtryERP&amp;CRP'!B84,'ERPsCRPs&amp;Spreads'!$B$169:$I$189,7,FALSE),"NA")</f>
        <v>NA</v>
      </c>
      <c r="L84" s="100">
        <f t="shared" si="5"/>
        <v>8.5947638536111245E-2</v>
      </c>
    </row>
    <row r="85" spans="1:12" x14ac:dyDescent="0.25">
      <c r="B85" s="5" t="s">
        <v>190</v>
      </c>
      <c r="C85" s="6"/>
      <c r="D85" s="100" t="str">
        <f>IFERROR(VLOOKUP(B85,'ERPsCRPs&amp;Spreads'!$B$8:$K$164,10,FALSE),"NA")</f>
        <v>NA</v>
      </c>
      <c r="E85" s="100" t="str">
        <f>IFERROR(VLOOKUP(B85,'ERPsCRPs&amp;Spreads'!$B$8:$H$164,7,FALSE),"NA")</f>
        <v>NA</v>
      </c>
      <c r="F85" s="100">
        <f>IFERROR(VLOOKUP(B85,'ERPsCRPs&amp;Spreads'!$B$169:$I$189,8,FALSE),"NA")</f>
        <v>0.55962005410740501</v>
      </c>
      <c r="G85" s="100">
        <f t="shared" si="6"/>
        <v>0.55962005410740501</v>
      </c>
      <c r="H85" s="24"/>
      <c r="I85" s="100" t="str">
        <f>IFERROR(VLOOKUP(B85,'ERPsCRPs&amp;Spreads'!$B$8:$K$164,9,FALSE),"NA")</f>
        <v>NA</v>
      </c>
      <c r="J85" s="100" t="str">
        <f>IFERROR(VLOOKUP(B85,'ERPsCRPs&amp;Spreads'!$B$8:$K$164,6,FALSE),"NA")</f>
        <v>NA</v>
      </c>
      <c r="K85" s="100">
        <f>IFERROR(VLOOKUP('CtryERP&amp;CRP'!B85,'ERPsCRPs&amp;Spreads'!$B$169:$I$189,7,FALSE),"NA")</f>
        <v>0.52960692759927708</v>
      </c>
      <c r="L85" s="100">
        <f t="shared" si="5"/>
        <v>0.52960692759927708</v>
      </c>
    </row>
    <row r="86" spans="1:12" x14ac:dyDescent="0.25">
      <c r="B86" s="5" t="s">
        <v>191</v>
      </c>
      <c r="C86" s="6"/>
      <c r="D86" s="100" t="str">
        <f>IFERROR(VLOOKUP(B86,'ERPsCRPs&amp;Spreads'!$B$8:$K$164,10,FALSE),"NA")</f>
        <v>NA</v>
      </c>
      <c r="E86" s="100">
        <f>IFERROR(VLOOKUP(B86,'ERPsCRPs&amp;Spreads'!$B$8:$H$164,7,FALSE),"NA")</f>
        <v>0.1948788194536</v>
      </c>
      <c r="F86" s="100" t="str">
        <f>IFERROR(VLOOKUP(B86,'ERPsCRPs&amp;Spreads'!$B$169:$I$189,8,FALSE),"NA")</f>
        <v>NA</v>
      </c>
      <c r="G86" s="100">
        <f t="shared" si="6"/>
        <v>0.1948788194536</v>
      </c>
      <c r="H86" s="24"/>
      <c r="I86" s="100" t="str">
        <f>IFERROR(VLOOKUP(B86,'ERPsCRPs&amp;Spreads'!$B$8:$K$164,9,FALSE),"NA")</f>
        <v>NA</v>
      </c>
      <c r="J86" s="100">
        <f>IFERROR(VLOOKUP(B86,'ERPsCRPs&amp;Spreads'!$B$8:$K$164,6,FALSE),"NA")</f>
        <v>0.16486569294547207</v>
      </c>
      <c r="K86" s="100" t="str">
        <f>IFERROR(VLOOKUP('CtryERP&amp;CRP'!B86,'ERPsCRPs&amp;Spreads'!$B$169:$I$189,7,FALSE),"NA")</f>
        <v>NA</v>
      </c>
      <c r="L86" s="100">
        <f t="shared" si="5"/>
        <v>0.16486569294547207</v>
      </c>
    </row>
    <row r="87" spans="1:12" x14ac:dyDescent="0.25">
      <c r="B87" s="5" t="s">
        <v>192</v>
      </c>
      <c r="C87" s="6"/>
      <c r="D87" s="100" t="str">
        <f>IFERROR(VLOOKUP(B87,'ERPsCRPs&amp;Spreads'!$B$8:$K$164,10,FALSE),"NA")</f>
        <v>NA</v>
      </c>
      <c r="E87" s="100">
        <f>IFERROR(VLOOKUP(B87,'ERPsCRPs&amp;Spreads'!$B$8:$H$164,7,FALSE),"NA")</f>
        <v>0.16493526411093945</v>
      </c>
      <c r="F87" s="100" t="str">
        <f>IFERROR(VLOOKUP(B87,'ERPsCRPs&amp;Spreads'!$B$169:$I$189,8,FALSE),"NA")</f>
        <v>NA</v>
      </c>
      <c r="G87" s="100">
        <f t="shared" si="6"/>
        <v>0.16493526411093945</v>
      </c>
      <c r="H87" s="24"/>
      <c r="I87" s="100" t="str">
        <f>IFERROR(VLOOKUP(B87,'ERPsCRPs&amp;Spreads'!$B$8:$K$164,9,FALSE),"NA")</f>
        <v>NA</v>
      </c>
      <c r="J87" s="100">
        <f>IFERROR(VLOOKUP(B87,'ERPsCRPs&amp;Spreads'!$B$8:$K$164,6,FALSE),"NA")</f>
        <v>0.13492213760281152</v>
      </c>
      <c r="K87" s="100" t="str">
        <f>IFERROR(VLOOKUP('CtryERP&amp;CRP'!B87,'ERPsCRPs&amp;Spreads'!$B$169:$I$189,7,FALSE),"NA")</f>
        <v>NA</v>
      </c>
      <c r="L87" s="100">
        <f t="shared" si="5"/>
        <v>0.13492213760281152</v>
      </c>
    </row>
    <row r="88" spans="1:12" x14ac:dyDescent="0.25">
      <c r="B88" s="5" t="s">
        <v>193</v>
      </c>
      <c r="C88" s="6"/>
      <c r="D88" s="100" t="str">
        <f>IFERROR(VLOOKUP(B88,'ERPsCRPs&amp;Spreads'!$B$8:$K$164,10,FALSE),"NA")</f>
        <v>NA</v>
      </c>
      <c r="E88" s="100">
        <f>IFERROR(VLOOKUP(B88,'ERPsCRPs&amp;Spreads'!$B$8:$H$164,7,FALSE),"NA")</f>
        <v>0.22482237479626049</v>
      </c>
      <c r="F88" s="100" t="str">
        <f>IFERROR(VLOOKUP(B88,'ERPsCRPs&amp;Spreads'!$B$169:$I$189,8,FALSE),"NA")</f>
        <v>NA</v>
      </c>
      <c r="G88" s="100">
        <f t="shared" si="6"/>
        <v>0.22482237479626049</v>
      </c>
      <c r="H88" s="24"/>
      <c r="I88" s="100" t="str">
        <f>IFERROR(VLOOKUP(B88,'ERPsCRPs&amp;Spreads'!$B$8:$K$164,9,FALSE),"NA")</f>
        <v>NA</v>
      </c>
      <c r="J88" s="100">
        <f>IFERROR(VLOOKUP(B88,'ERPsCRPs&amp;Spreads'!$B$8:$K$164,6,FALSE),"NA")</f>
        <v>0.19480924828813256</v>
      </c>
      <c r="K88" s="100" t="str">
        <f>IFERROR(VLOOKUP('CtryERP&amp;CRP'!B88,'ERPsCRPs&amp;Spreads'!$B$169:$I$189,7,FALSE),"NA")</f>
        <v>NA</v>
      </c>
      <c r="L88" s="100">
        <f t="shared" si="5"/>
        <v>0.19480924828813256</v>
      </c>
    </row>
    <row r="89" spans="1:12" x14ac:dyDescent="0.25">
      <c r="B89" s="5" t="s">
        <v>194</v>
      </c>
      <c r="C89" s="6"/>
      <c r="D89" s="100">
        <f>IFERROR(VLOOKUP(B89,'ERPsCRPs&amp;Spreads'!$B$8:$K$164,10,FALSE),"NA")</f>
        <v>0.24942171079925704</v>
      </c>
      <c r="E89" s="100">
        <f>IFERROR(VLOOKUP(B89,'ERPsCRPs&amp;Spreads'!$B$8:$H$164,7,FALSE),"NA")</f>
        <v>0.29985740171375097</v>
      </c>
      <c r="F89" s="100" t="str">
        <f>IFERROR(VLOOKUP(B89,'ERPsCRPs&amp;Spreads'!$B$169:$I$189,8,FALSE),"NA")</f>
        <v>NA</v>
      </c>
      <c r="G89" s="100">
        <f t="shared" si="6"/>
        <v>0.24942171079925704</v>
      </c>
      <c r="H89" s="24"/>
      <c r="I89" s="100">
        <f>IFERROR(VLOOKUP(B89,'ERPsCRPs&amp;Spreads'!$B$8:$K$164,9,FALSE),"NA")</f>
        <v>0.21940858429112911</v>
      </c>
      <c r="J89" s="100">
        <f>IFERROR(VLOOKUP(B89,'ERPsCRPs&amp;Spreads'!$B$8:$K$164,6,FALSE),"NA")</f>
        <v>0.26984427520562304</v>
      </c>
      <c r="K89" s="100" t="str">
        <f>IFERROR(VLOOKUP('CtryERP&amp;CRP'!B89,'ERPsCRPs&amp;Spreads'!$B$169:$I$189,7,FALSE),"NA")</f>
        <v>NA</v>
      </c>
      <c r="L89" s="100">
        <f t="shared" si="5"/>
        <v>0.21940858429112911</v>
      </c>
    </row>
    <row r="90" spans="1:12" x14ac:dyDescent="0.25">
      <c r="B90" s="5" t="s">
        <v>195</v>
      </c>
      <c r="C90" s="6"/>
      <c r="D90" s="100" t="str">
        <f>IFERROR(VLOOKUP(B90,'ERPsCRPs&amp;Spreads'!$B$8:$K$164,10,FALSE),"NA")</f>
        <v>NA</v>
      </c>
      <c r="E90" s="100">
        <f>IFERROR(VLOOKUP(B90,'ERPsCRPs&amp;Spreads'!$B$8:$H$164,7,FALSE),"NA")</f>
        <v>0.22482237479626049</v>
      </c>
      <c r="F90" s="100" t="str">
        <f>IFERROR(VLOOKUP(B90,'ERPsCRPs&amp;Spreads'!$B$169:$I$189,8,FALSE),"NA")</f>
        <v>NA</v>
      </c>
      <c r="G90" s="100">
        <f t="shared" si="6"/>
        <v>0.22482237479626049</v>
      </c>
      <c r="H90" s="24"/>
      <c r="I90" s="100" t="str">
        <f>IFERROR(VLOOKUP(B90,'ERPsCRPs&amp;Spreads'!$B$8:$K$164,9,FALSE),"NA")</f>
        <v>NA</v>
      </c>
      <c r="J90" s="100">
        <f>IFERROR(VLOOKUP(B90,'ERPsCRPs&amp;Spreads'!$B$8:$K$164,6,FALSE),"NA")</f>
        <v>0.19480924828813256</v>
      </c>
      <c r="K90" s="100" t="str">
        <f>IFERROR(VLOOKUP('CtryERP&amp;CRP'!B90,'ERPsCRPs&amp;Spreads'!$B$169:$I$189,7,FALSE),"NA")</f>
        <v>NA</v>
      </c>
      <c r="L90" s="100">
        <f t="shared" si="5"/>
        <v>0.19480924828813256</v>
      </c>
    </row>
    <row r="91" spans="1:12" x14ac:dyDescent="0.25">
      <c r="B91" s="5" t="s">
        <v>196</v>
      </c>
      <c r="C91" s="6"/>
      <c r="D91" s="100" t="str">
        <f>IFERROR(VLOOKUP(B91,'ERPsCRPs&amp;Spreads'!$B$8:$K$164,10,FALSE),"NA")</f>
        <v>NA</v>
      </c>
      <c r="E91" s="100">
        <f>IFERROR(VLOOKUP(B91,'ERPsCRPs&amp;Spreads'!$B$8:$H$164,7,FALSE),"NA")</f>
        <v>0.29985740171375097</v>
      </c>
      <c r="F91" s="100" t="str">
        <f>IFERROR(VLOOKUP(B91,'ERPsCRPs&amp;Spreads'!$B$169:$I$189,8,FALSE),"NA")</f>
        <v>NA</v>
      </c>
      <c r="G91" s="100">
        <f t="shared" si="6"/>
        <v>0.29985740171375097</v>
      </c>
      <c r="H91" s="24"/>
      <c r="I91" s="100" t="str">
        <f>IFERROR(VLOOKUP(B91,'ERPsCRPs&amp;Spreads'!$B$8:$K$164,9,FALSE),"NA")</f>
        <v>NA</v>
      </c>
      <c r="J91" s="100">
        <f>IFERROR(VLOOKUP(B91,'ERPsCRPs&amp;Spreads'!$B$8:$K$164,6,FALSE),"NA")</f>
        <v>0.26984427520562304</v>
      </c>
      <c r="K91" s="100" t="str">
        <f>IFERROR(VLOOKUP('CtryERP&amp;CRP'!B91,'ERPsCRPs&amp;Spreads'!$B$169:$I$189,7,FALSE),"NA")</f>
        <v>NA</v>
      </c>
      <c r="L91" s="100">
        <f t="shared" si="5"/>
        <v>0.26984427520562304</v>
      </c>
    </row>
    <row r="92" spans="1:12" x14ac:dyDescent="0.25">
      <c r="B92" s="19" t="s">
        <v>197</v>
      </c>
      <c r="C92" s="6"/>
      <c r="D92" s="100" t="str">
        <f>IFERROR(VLOOKUP(B92,'ERPsCRPs&amp;Spreads'!$B$8:$K$164,10,FALSE),"NA")</f>
        <v>NA</v>
      </c>
      <c r="E92" s="100" t="str">
        <f>IFERROR(VLOOKUP(B92,'ERPsCRPs&amp;Spreads'!$B$8:$H$164,7,FALSE),"NA")</f>
        <v>NA</v>
      </c>
      <c r="F92" s="100">
        <f>IFERROR(VLOOKUP(B92,'ERPsCRPs&amp;Spreads'!$B$169:$I$189,8,FALSE),"NA")</f>
        <v>0.29985740171375097</v>
      </c>
      <c r="G92" s="100">
        <f t="shared" si="6"/>
        <v>0.29985740171375097</v>
      </c>
      <c r="H92" s="24"/>
      <c r="I92" s="100" t="str">
        <f>IFERROR(VLOOKUP(B92,'ERPsCRPs&amp;Spreads'!$B$8:$K$164,9,FALSE),"NA")</f>
        <v>NA</v>
      </c>
      <c r="J92" s="100" t="str">
        <f>IFERROR(VLOOKUP(B92,'ERPsCRPs&amp;Spreads'!$B$8:$K$164,6,FALSE),"NA")</f>
        <v>NA</v>
      </c>
      <c r="K92" s="100">
        <f>IFERROR(VLOOKUP('CtryERP&amp;CRP'!B92,'ERPsCRPs&amp;Spreads'!$B$169:$I$189,7,FALSE),"NA")</f>
        <v>0.26984427520562304</v>
      </c>
      <c r="L92" s="100">
        <f t="shared" si="5"/>
        <v>0.26984427520562304</v>
      </c>
    </row>
    <row r="93" spans="1:12" x14ac:dyDescent="0.25">
      <c r="A93" s="86"/>
      <c r="B93" s="94"/>
      <c r="C93" s="94"/>
      <c r="D93" s="94"/>
      <c r="E93" s="94"/>
      <c r="F93" s="94"/>
      <c r="G93" s="94"/>
    </row>
    <row r="94" spans="1:12" ht="15.75" x14ac:dyDescent="0.25">
      <c r="B94" s="92" t="s">
        <v>11</v>
      </c>
      <c r="C94" s="91"/>
      <c r="D94" s="91" t="s">
        <v>1592</v>
      </c>
      <c r="E94" s="91" t="s">
        <v>1593</v>
      </c>
      <c r="F94" s="91" t="s">
        <v>1591</v>
      </c>
      <c r="G94" s="91" t="s">
        <v>1594</v>
      </c>
      <c r="H94" s="93"/>
      <c r="I94" s="91" t="s">
        <v>1595</v>
      </c>
      <c r="J94" s="91" t="s">
        <v>1596</v>
      </c>
      <c r="K94" s="91" t="s">
        <v>1597</v>
      </c>
      <c r="L94" s="91" t="s">
        <v>1598</v>
      </c>
    </row>
    <row r="95" spans="1:12" x14ac:dyDescent="0.25">
      <c r="B95" s="5" t="s">
        <v>20</v>
      </c>
      <c r="C95" s="6"/>
      <c r="D95" s="100" t="str">
        <f>IFERROR(VLOOKUP(B95,'ERPsCRPs&amp;Spreads'!$B$8:$K$164,10,FALSE),"NA")</f>
        <v>NA</v>
      </c>
      <c r="E95" s="100">
        <f>IFERROR(VLOOKUP(B95,'ERPsCRPs&amp;Spreads'!$B$8:$H$164,7,FALSE),"NA")</f>
        <v>0.13780992574170581</v>
      </c>
      <c r="F95" s="100" t="str">
        <f>IFERROR(VLOOKUP(B95,'ERPsCRPs&amp;Spreads'!$B$169:$I$189,8,FALSE),"NA")</f>
        <v>NA</v>
      </c>
      <c r="G95" s="100">
        <f t="shared" ref="G95" si="7">IF(D95&lt;&gt;"NA",D95,IF(E95&lt;&gt;"NA",E95,F95))</f>
        <v>0.13780992574170581</v>
      </c>
      <c r="H95" s="24"/>
      <c r="I95" s="100" t="str">
        <f>IFERROR(VLOOKUP(B95,'ERPsCRPs&amp;Spreads'!$B$8:$K$164,9,FALSE),"NA")</f>
        <v>NA</v>
      </c>
      <c r="J95" s="100">
        <f>IFERROR(VLOOKUP(B95,'ERPsCRPs&amp;Spreads'!$B$8:$K$164,6,FALSE),"NA")</f>
        <v>0.10779679923357789</v>
      </c>
      <c r="K95" s="100" t="str">
        <f>IFERROR(VLOOKUP('CtryERP&amp;CRP'!B95,'ERPsCRPs&amp;Spreads'!$B$169:$I$189,7,FALSE),"NA")</f>
        <v>NA</v>
      </c>
      <c r="L95" s="100">
        <f t="shared" ref="L95" si="8">IF(I95&lt;&gt;"NA",I95,IF(J95&lt;&gt;"NA",J95,K95))</f>
        <v>0.10779679923357789</v>
      </c>
    </row>
    <row r="96" spans="1:12" x14ac:dyDescent="0.25">
      <c r="B96" s="5" t="s">
        <v>29</v>
      </c>
      <c r="C96" s="6"/>
      <c r="D96" s="100" t="str">
        <f>IFERROR(VLOOKUP(B96,'ERPsCRPs&amp;Spreads'!$B$8:$K$164,10,FALSE),"NA")</f>
        <v>NA</v>
      </c>
      <c r="E96" s="100">
        <f>IFERROR(VLOOKUP(B96,'ERPsCRPs&amp;Spreads'!$B$8:$H$164,7,FALSE),"NA")</f>
        <v>0.13780992574170581</v>
      </c>
      <c r="F96" s="100" t="str">
        <f>IFERROR(VLOOKUP(B96,'ERPsCRPs&amp;Spreads'!$B$169:$I$189,8,FALSE),"NA")</f>
        <v>NA</v>
      </c>
      <c r="G96" s="100">
        <f t="shared" ref="G96:G121" si="9">IF(D96&lt;&gt;"NA",D96,IF(E96&lt;&gt;"NA",E96,F96))</f>
        <v>0.13780992574170581</v>
      </c>
      <c r="H96" s="24"/>
      <c r="I96" s="100" t="str">
        <f>IFERROR(VLOOKUP(B96,'ERPsCRPs&amp;Spreads'!$B$8:$K$164,9,FALSE),"NA")</f>
        <v>NA</v>
      </c>
      <c r="J96" s="100">
        <f>IFERROR(VLOOKUP(B96,'ERPsCRPs&amp;Spreads'!$B$8:$K$164,6,FALSE),"NA")</f>
        <v>0.10779679923357789</v>
      </c>
      <c r="K96" s="100" t="str">
        <f>IFERROR(VLOOKUP('CtryERP&amp;CRP'!B96,'ERPsCRPs&amp;Spreads'!$B$169:$I$189,7,FALSE),"NA")</f>
        <v>NA</v>
      </c>
      <c r="L96" s="100">
        <f t="shared" ref="L96:L121" si="10">IF(I96&lt;&gt;"NA",I96,IF(J96&lt;&gt;"NA",J96,K96))</f>
        <v>0.10779679923357789</v>
      </c>
    </row>
    <row r="97" spans="2:12" x14ac:dyDescent="0.25">
      <c r="B97" s="5" t="s">
        <v>38</v>
      </c>
      <c r="C97" s="6"/>
      <c r="D97" s="100" t="str">
        <f>IFERROR(VLOOKUP(B97,'ERPsCRPs&amp;Spreads'!$B$8:$K$164,10,FALSE),"NA")</f>
        <v>NA</v>
      </c>
      <c r="E97" s="100">
        <f>IFERROR(VLOOKUP(B97,'ERPsCRPs&amp;Spreads'!$B$8:$H$164,7,FALSE),"NA")</f>
        <v>0.10504815342561842</v>
      </c>
      <c r="F97" s="100" t="str">
        <f>IFERROR(VLOOKUP(B97,'ERPsCRPs&amp;Spreads'!$B$169:$I$189,8,FALSE),"NA")</f>
        <v>NA</v>
      </c>
      <c r="G97" s="100">
        <f t="shared" si="9"/>
        <v>0.10504815342561842</v>
      </c>
      <c r="H97" s="24"/>
      <c r="I97" s="100" t="str">
        <f>IFERROR(VLOOKUP(B97,'ERPsCRPs&amp;Spreads'!$B$8:$K$164,9,FALSE),"NA")</f>
        <v>NA</v>
      </c>
      <c r="J97" s="100">
        <f>IFERROR(VLOOKUP(B97,'ERPsCRPs&amp;Spreads'!$B$8:$K$164,6,FALSE),"NA")</f>
        <v>7.5035026917490505E-2</v>
      </c>
      <c r="K97" s="100" t="str">
        <f>IFERROR(VLOOKUP('CtryERP&amp;CRP'!B97,'ERPsCRPs&amp;Spreads'!$B$169:$I$189,7,FALSE),"NA")</f>
        <v>NA</v>
      </c>
      <c r="L97" s="100">
        <f t="shared" si="10"/>
        <v>7.5035026917490505E-2</v>
      </c>
    </row>
    <row r="98" spans="2:12" x14ac:dyDescent="0.25">
      <c r="B98" s="5" t="s">
        <v>46</v>
      </c>
      <c r="C98" s="6"/>
      <c r="D98" s="100" t="str">
        <f>IFERROR(VLOOKUP(B98,'ERPsCRPs&amp;Spreads'!$B$8:$K$164,10,FALSE),"NA")</f>
        <v>NA</v>
      </c>
      <c r="E98" s="100">
        <f>IFERROR(VLOOKUP(B98,'ERPsCRPs&amp;Spreads'!$B$8:$H$164,7,FALSE),"NA")</f>
        <v>0.55962005410740501</v>
      </c>
      <c r="F98" s="100" t="str">
        <f>IFERROR(VLOOKUP(B98,'ERPsCRPs&amp;Spreads'!$B$169:$I$189,8,FALSE),"NA")</f>
        <v>NA</v>
      </c>
      <c r="G98" s="100">
        <f t="shared" si="9"/>
        <v>0.55962005410740501</v>
      </c>
      <c r="H98" s="24"/>
      <c r="I98" s="100" t="str">
        <f>IFERROR(VLOOKUP(B98,'ERPsCRPs&amp;Spreads'!$B$8:$K$164,9,FALSE),"NA")</f>
        <v>NA</v>
      </c>
      <c r="J98" s="100">
        <f>IFERROR(VLOOKUP(B98,'ERPsCRPs&amp;Spreads'!$B$8:$K$164,6,FALSE),"NA")</f>
        <v>0.52960692759927708</v>
      </c>
      <c r="K98" s="100" t="str">
        <f>IFERROR(VLOOKUP('CtryERP&amp;CRP'!B98,'ERPsCRPs&amp;Spreads'!$B$169:$I$189,7,FALSE),"NA")</f>
        <v>NA</v>
      </c>
      <c r="L98" s="100">
        <f t="shared" si="10"/>
        <v>0.52960692759927708</v>
      </c>
    </row>
    <row r="99" spans="2:12" x14ac:dyDescent="0.25">
      <c r="B99" s="5" t="s">
        <v>53</v>
      </c>
      <c r="C99" s="6"/>
      <c r="D99" s="100" t="str">
        <f>IFERROR(VLOOKUP(B99,'ERPsCRPs&amp;Spreads'!$B$8:$K$164,10,FALSE),"NA")</f>
        <v>NA</v>
      </c>
      <c r="E99" s="100">
        <f>IFERROR(VLOOKUP(B99,'ERPsCRPs&amp;Spreads'!$B$8:$H$164,7,FALSE),"NA")</f>
        <v>0.22482237479626049</v>
      </c>
      <c r="F99" s="100" t="str">
        <f>IFERROR(VLOOKUP(B99,'ERPsCRPs&amp;Spreads'!$B$169:$I$189,8,FALSE),"NA")</f>
        <v>NA</v>
      </c>
      <c r="G99" s="100">
        <f t="shared" si="9"/>
        <v>0.22482237479626049</v>
      </c>
      <c r="H99" s="24"/>
      <c r="I99" s="100" t="str">
        <f>IFERROR(VLOOKUP(B99,'ERPsCRPs&amp;Spreads'!$B$8:$K$164,9,FALSE),"NA")</f>
        <v>NA</v>
      </c>
      <c r="J99" s="100">
        <f>IFERROR(VLOOKUP(B99,'ERPsCRPs&amp;Spreads'!$B$8:$K$164,6,FALSE),"NA")</f>
        <v>0.19480924828813256</v>
      </c>
      <c r="K99" s="100" t="str">
        <f>IFERROR(VLOOKUP('CtryERP&amp;CRP'!B99,'ERPsCRPs&amp;Spreads'!$B$169:$I$189,7,FALSE),"NA")</f>
        <v>NA</v>
      </c>
      <c r="L99" s="100">
        <f t="shared" si="10"/>
        <v>0.19480924828813256</v>
      </c>
    </row>
    <row r="100" spans="2:12" x14ac:dyDescent="0.25">
      <c r="B100" s="5" t="s">
        <v>60</v>
      </c>
      <c r="C100" s="6"/>
      <c r="D100" s="100">
        <f>IFERROR(VLOOKUP(B100,'ERPsCRPs&amp;Spreads'!$B$8:$K$164,10,FALSE),"NA")</f>
        <v>5.8763216863517251E-2</v>
      </c>
      <c r="E100" s="100">
        <f>IFERROR(VLOOKUP(B100,'ERPsCRPs&amp;Spreads'!$B$8:$H$164,7,FALSE),"NA")</f>
        <v>7.792281505638475E-2</v>
      </c>
      <c r="F100" s="100" t="str">
        <f>IFERROR(VLOOKUP(B100,'ERPsCRPs&amp;Spreads'!$B$169:$I$189,8,FALSE),"NA")</f>
        <v>NA</v>
      </c>
      <c r="G100" s="100">
        <f t="shared" si="9"/>
        <v>5.8763216863517251E-2</v>
      </c>
      <c r="H100" s="24"/>
      <c r="I100" s="100">
        <f>IFERROR(VLOOKUP(B100,'ERPsCRPs&amp;Spreads'!$B$8:$K$164,9,FALSE),"NA")</f>
        <v>2.8750090355389328E-2</v>
      </c>
      <c r="J100" s="100">
        <f>IFERROR(VLOOKUP(B100,'ERPsCRPs&amp;Spreads'!$B$8:$K$164,6,FALSE),"NA")</f>
        <v>4.7909688548256828E-2</v>
      </c>
      <c r="K100" s="100" t="str">
        <f>IFERROR(VLOOKUP('CtryERP&amp;CRP'!B100,'ERPsCRPs&amp;Spreads'!$B$169:$I$189,7,FALSE),"NA")</f>
        <v>NA</v>
      </c>
      <c r="L100" s="100">
        <f t="shared" si="10"/>
        <v>2.8750090355389328E-2</v>
      </c>
    </row>
    <row r="101" spans="2:12" x14ac:dyDescent="0.25">
      <c r="B101" s="5" t="s">
        <v>67</v>
      </c>
      <c r="C101" s="6"/>
      <c r="D101" s="100">
        <f>IFERROR(VLOOKUP(B101,'ERPsCRPs&amp;Spreads'!$B$8:$K$164,10,FALSE),"NA")</f>
        <v>6.2394807224198004E-2</v>
      </c>
      <c r="E101" s="100">
        <f>IFERROR(VLOOKUP(B101,'ERPsCRPs&amp;Spreads'!$B$8:$H$164,7,FALSE),"NA")</f>
        <v>6.5945392919320556E-2</v>
      </c>
      <c r="F101" s="100" t="str">
        <f>IFERROR(VLOOKUP(B101,'ERPsCRPs&amp;Spreads'!$B$169:$I$189,8,FALSE),"NA")</f>
        <v>NA</v>
      </c>
      <c r="G101" s="100">
        <f t="shared" si="9"/>
        <v>6.2394807224198004E-2</v>
      </c>
      <c r="H101" s="24"/>
      <c r="I101" s="100">
        <f>IFERROR(VLOOKUP(B101,'ERPsCRPs&amp;Spreads'!$B$8:$K$164,9,FALSE),"NA")</f>
        <v>3.2381680716070081E-2</v>
      </c>
      <c r="J101" s="100">
        <f>IFERROR(VLOOKUP(B101,'ERPsCRPs&amp;Spreads'!$B$8:$K$164,6,FALSE),"NA")</f>
        <v>3.5932266411192633E-2</v>
      </c>
      <c r="K101" s="100" t="str">
        <f>IFERROR(VLOOKUP('CtryERP&amp;CRP'!B101,'ERPsCRPs&amp;Spreads'!$B$169:$I$189,7,FALSE),"NA")</f>
        <v>NA</v>
      </c>
      <c r="L101" s="100">
        <f t="shared" si="10"/>
        <v>3.2381680716070081E-2</v>
      </c>
    </row>
    <row r="102" spans="2:12" x14ac:dyDescent="0.25">
      <c r="B102" s="5" t="s">
        <v>74</v>
      </c>
      <c r="C102" s="6"/>
      <c r="D102" s="100">
        <f>IFERROR(VLOOKUP(B102,'ERPsCRPs&amp;Spreads'!$B$8:$K$164,10,FALSE),"NA")</f>
        <v>4.1210530120226921E-2</v>
      </c>
      <c r="E102" s="100">
        <f>IFERROR(VLOOKUP(B102,'ERPsCRPs&amp;Spreads'!$B$8:$H$164,7,FALSE),"NA")</f>
        <v>4.7979259713724236E-2</v>
      </c>
      <c r="F102" s="100" t="str">
        <f>IFERROR(VLOOKUP(B102,'ERPsCRPs&amp;Spreads'!$B$169:$I$189,8,FALSE),"NA")</f>
        <v>NA</v>
      </c>
      <c r="G102" s="100">
        <f t="shared" si="9"/>
        <v>4.1210530120226921E-2</v>
      </c>
      <c r="H102" s="24"/>
      <c r="I102" s="100">
        <f>IFERROR(VLOOKUP(B102,'ERPsCRPs&amp;Spreads'!$B$8:$K$164,9,FALSE),"NA")</f>
        <v>1.1197403612099002E-2</v>
      </c>
      <c r="J102" s="100">
        <f>IFERROR(VLOOKUP(B102,'ERPsCRPs&amp;Spreads'!$B$8:$K$164,6,FALSE),"NA")</f>
        <v>1.7966133205596316E-2</v>
      </c>
      <c r="K102" s="100" t="str">
        <f>IFERROR(VLOOKUP('CtryERP&amp;CRP'!B102,'ERPsCRPs&amp;Spreads'!$B$169:$I$189,7,FALSE),"NA")</f>
        <v>NA</v>
      </c>
      <c r="L102" s="100">
        <f t="shared" si="10"/>
        <v>1.1197403612099002E-2</v>
      </c>
    </row>
    <row r="103" spans="2:12" x14ac:dyDescent="0.25">
      <c r="B103" s="5" t="s">
        <v>81</v>
      </c>
      <c r="C103" s="6"/>
      <c r="D103" s="100">
        <f>IFERROR(VLOOKUP(B103,'ERPsCRPs&amp;Spreads'!$B$8:$K$164,10,FALSE),"NA")</f>
        <v>5.3013198792439375E-2</v>
      </c>
      <c r="E103" s="100">
        <f>IFERROR(VLOOKUP(B103,'ERPsCRPs&amp;Spreads'!$B$8:$H$164,7,FALSE),"NA")</f>
        <v>5.1149753808829468E-2</v>
      </c>
      <c r="F103" s="100" t="str">
        <f>IFERROR(VLOOKUP(B103,'ERPsCRPs&amp;Spreads'!$B$169:$I$189,8,FALSE),"NA")</f>
        <v>NA</v>
      </c>
      <c r="G103" s="100">
        <f t="shared" si="9"/>
        <v>5.3013198792439375E-2</v>
      </c>
      <c r="H103" s="24"/>
      <c r="I103" s="100">
        <f>IFERROR(VLOOKUP(B103,'ERPsCRPs&amp;Spreads'!$B$8:$K$164,9,FALSE),"NA")</f>
        <v>2.300007228431146E-2</v>
      </c>
      <c r="J103" s="100">
        <f>IFERROR(VLOOKUP(B103,'ERPsCRPs&amp;Spreads'!$B$8:$K$164,6,FALSE),"NA")</f>
        <v>2.1136627300701552E-2</v>
      </c>
      <c r="K103" s="100" t="str">
        <f>IFERROR(VLOOKUP('CtryERP&amp;CRP'!B103,'ERPsCRPs&amp;Spreads'!$B$169:$I$189,7,FALSE),"NA")</f>
        <v>NA</v>
      </c>
      <c r="L103" s="100">
        <f t="shared" si="10"/>
        <v>2.300007228431146E-2</v>
      </c>
    </row>
    <row r="104" spans="2:12" x14ac:dyDescent="0.25">
      <c r="B104" s="5" t="s">
        <v>88</v>
      </c>
      <c r="C104" s="6"/>
      <c r="D104" s="100" t="str">
        <f>IFERROR(VLOOKUP(B104,'ERPsCRPs&amp;Spreads'!$B$8:$K$164,10,FALSE),"NA")</f>
        <v>NA</v>
      </c>
      <c r="E104" s="100">
        <f>IFERROR(VLOOKUP(B104,'ERPsCRPs&amp;Spreads'!$B$8:$H$164,7,FALSE),"NA")</f>
        <v>0.12019606965778785</v>
      </c>
      <c r="F104" s="100" t="str">
        <f>IFERROR(VLOOKUP(B104,'ERPsCRPs&amp;Spreads'!$B$169:$I$189,8,FALSE),"NA")</f>
        <v>NA</v>
      </c>
      <c r="G104" s="100">
        <f t="shared" si="9"/>
        <v>0.12019606965778785</v>
      </c>
      <c r="H104" s="24"/>
      <c r="I104" s="100" t="str">
        <f>IFERROR(VLOOKUP(B104,'ERPsCRPs&amp;Spreads'!$B$8:$K$164,9,FALSE),"NA")</f>
        <v>NA</v>
      </c>
      <c r="J104" s="100">
        <f>IFERROR(VLOOKUP(B104,'ERPsCRPs&amp;Spreads'!$B$8:$K$164,6,FALSE),"NA")</f>
        <v>9.0182943149659939E-2</v>
      </c>
      <c r="K104" s="100" t="str">
        <f>IFERROR(VLOOKUP('CtryERP&amp;CRP'!B104,'ERPsCRPs&amp;Spreads'!$B$169:$I$189,7,FALSE),"NA")</f>
        <v>NA</v>
      </c>
      <c r="L104" s="100">
        <f t="shared" si="10"/>
        <v>9.0182943149659939E-2</v>
      </c>
    </row>
    <row r="105" spans="2:12" x14ac:dyDescent="0.25">
      <c r="B105" s="5" t="s">
        <v>95</v>
      </c>
      <c r="C105" s="6"/>
      <c r="D105" s="100">
        <f>IFERROR(VLOOKUP(B105,'ERPsCRPs&amp;Spreads'!$B$8:$K$164,10,FALSE),"NA")</f>
        <v>8.0250126497545066E-2</v>
      </c>
      <c r="E105" s="100">
        <f>IFERROR(VLOOKUP(B105,'ERPsCRPs&amp;Spreads'!$B$8:$H$164,7,FALSE),"NA")</f>
        <v>8.7082020220022108E-2</v>
      </c>
      <c r="F105" s="100" t="str">
        <f>IFERROR(VLOOKUP(B105,'ERPsCRPs&amp;Spreads'!$B$169:$I$189,8,FALSE),"NA")</f>
        <v>NA</v>
      </c>
      <c r="G105" s="100">
        <f t="shared" si="9"/>
        <v>8.0250126497545066E-2</v>
      </c>
      <c r="H105" s="24"/>
      <c r="I105" s="100">
        <f>IFERROR(VLOOKUP(B105,'ERPsCRPs&amp;Spreads'!$B$8:$K$164,9,FALSE),"NA")</f>
        <v>5.0236999989417143E-2</v>
      </c>
      <c r="J105" s="100">
        <f>IFERROR(VLOOKUP(B105,'ERPsCRPs&amp;Spreads'!$B$8:$K$164,6,FALSE),"NA")</f>
        <v>5.7068893711894185E-2</v>
      </c>
      <c r="K105" s="100" t="str">
        <f>IFERROR(VLOOKUP('CtryERP&amp;CRP'!B105,'ERPsCRPs&amp;Spreads'!$B$169:$I$189,7,FALSE),"NA")</f>
        <v>NA</v>
      </c>
      <c r="L105" s="100">
        <f t="shared" si="10"/>
        <v>5.0236999989417143E-2</v>
      </c>
    </row>
    <row r="106" spans="2:12" x14ac:dyDescent="0.25">
      <c r="B106" s="5" t="s">
        <v>102</v>
      </c>
      <c r="C106" s="6"/>
      <c r="D106" s="100">
        <f>IFERROR(VLOOKUP(B106,'ERPsCRPs&amp;Spreads'!$B$8:$K$164,10,FALSE),"NA")</f>
        <v>6.9052722885446061E-2</v>
      </c>
      <c r="E106" s="100">
        <f>IFERROR(VLOOKUP(B106,'ERPsCRPs&amp;Spreads'!$B$8:$H$164,7,FALSE),"NA")</f>
        <v>7.792281505638475E-2</v>
      </c>
      <c r="F106" s="100" t="str">
        <f>IFERROR(VLOOKUP(B106,'ERPsCRPs&amp;Spreads'!$B$169:$I$189,8,FALSE),"NA")</f>
        <v>NA</v>
      </c>
      <c r="G106" s="100">
        <f t="shared" si="9"/>
        <v>6.9052722885446061E-2</v>
      </c>
      <c r="H106" s="24"/>
      <c r="I106" s="100">
        <f>IFERROR(VLOOKUP(B106,'ERPsCRPs&amp;Spreads'!$B$8:$K$164,9,FALSE),"NA")</f>
        <v>3.9039596377318138E-2</v>
      </c>
      <c r="J106" s="100">
        <f>IFERROR(VLOOKUP(B106,'ERPsCRPs&amp;Spreads'!$B$8:$K$164,6,FALSE),"NA")</f>
        <v>4.7909688548256828E-2</v>
      </c>
      <c r="K106" s="100" t="str">
        <f>IFERROR(VLOOKUP('CtryERP&amp;CRP'!B106,'ERPsCRPs&amp;Spreads'!$B$169:$I$189,7,FALSE),"NA")</f>
        <v>NA</v>
      </c>
      <c r="L106" s="100">
        <f t="shared" si="10"/>
        <v>3.9039596377318138E-2</v>
      </c>
    </row>
    <row r="107" spans="2:12" x14ac:dyDescent="0.25">
      <c r="B107" s="5" t="s">
        <v>109</v>
      </c>
      <c r="C107" s="6"/>
      <c r="D107" s="100" t="str">
        <f>IFERROR(VLOOKUP(B107,'ERPsCRPs&amp;Spreads'!$B$8:$K$164,10,FALSE),"NA")</f>
        <v>NA</v>
      </c>
      <c r="E107" s="100">
        <f>IFERROR(VLOOKUP(B107,'ERPsCRPs&amp;Spreads'!$B$8:$H$164,7,FALSE),"NA")</f>
        <v>0.22482237479626049</v>
      </c>
      <c r="F107" s="100" t="str">
        <f>IFERROR(VLOOKUP(B107,'ERPsCRPs&amp;Spreads'!$B$169:$I$189,8,FALSE),"NA")</f>
        <v>NA</v>
      </c>
      <c r="G107" s="100">
        <f t="shared" si="9"/>
        <v>0.22482237479626049</v>
      </c>
      <c r="H107" s="24"/>
      <c r="I107" s="100" t="str">
        <f>IFERROR(VLOOKUP(B107,'ERPsCRPs&amp;Spreads'!$B$8:$K$164,9,FALSE),"NA")</f>
        <v>NA</v>
      </c>
      <c r="J107" s="100">
        <f>IFERROR(VLOOKUP(B107,'ERPsCRPs&amp;Spreads'!$B$8:$K$164,6,FALSE),"NA")</f>
        <v>0.19480924828813256</v>
      </c>
      <c r="K107" s="100" t="str">
        <f>IFERROR(VLOOKUP('CtryERP&amp;CRP'!B107,'ERPsCRPs&amp;Spreads'!$B$169:$I$189,7,FALSE),"NA")</f>
        <v>NA</v>
      </c>
      <c r="L107" s="100">
        <f t="shared" si="10"/>
        <v>0.19480924828813256</v>
      </c>
    </row>
    <row r="108" spans="2:12" x14ac:dyDescent="0.25">
      <c r="B108" s="5" t="s">
        <v>116</v>
      </c>
      <c r="C108" s="6"/>
      <c r="D108" s="100">
        <f>IFERROR(VLOOKUP(B108,'ERPsCRPs&amp;Spreads'!$B$8:$K$164,10,FALSE),"NA")</f>
        <v>5.4526361442723027E-2</v>
      </c>
      <c r="E108" s="100">
        <f>IFERROR(VLOOKUP(B108,'ERPsCRPs&amp;Spreads'!$B$8:$H$164,7,FALSE),"NA")</f>
        <v>6.5945392919320556E-2</v>
      </c>
      <c r="F108" s="100" t="str">
        <f>IFERROR(VLOOKUP(B108,'ERPsCRPs&amp;Spreads'!$B$169:$I$189,8,FALSE),"NA")</f>
        <v>NA</v>
      </c>
      <c r="G108" s="100">
        <f t="shared" si="9"/>
        <v>5.4526361442723027E-2</v>
      </c>
      <c r="H108" s="24"/>
      <c r="I108" s="100">
        <f>IFERROR(VLOOKUP(B108,'ERPsCRPs&amp;Spreads'!$B$8:$K$164,9,FALSE),"NA")</f>
        <v>2.4513234934595108E-2</v>
      </c>
      <c r="J108" s="100">
        <f>IFERROR(VLOOKUP(B108,'ERPsCRPs&amp;Spreads'!$B$8:$K$164,6,FALSE),"NA")</f>
        <v>3.5932266411192633E-2</v>
      </c>
      <c r="K108" s="100" t="str">
        <f>IFERROR(VLOOKUP('CtryERP&amp;CRP'!B108,'ERPsCRPs&amp;Spreads'!$B$169:$I$189,7,FALSE),"NA")</f>
        <v>NA</v>
      </c>
      <c r="L108" s="100">
        <f t="shared" si="10"/>
        <v>2.4513234934595108E-2</v>
      </c>
    </row>
    <row r="109" spans="2:12" x14ac:dyDescent="0.25">
      <c r="B109" s="5" t="s">
        <v>123</v>
      </c>
      <c r="C109" s="6"/>
      <c r="D109" s="100">
        <f>IFERROR(VLOOKUP(B109,'ERPsCRPs&amp;Spreads'!$B$8:$K$164,10,FALSE),"NA")</f>
        <v>5.2105301202269194E-2</v>
      </c>
      <c r="E109" s="100">
        <f>IFERROR(VLOOKUP(B109,'ERPsCRPs&amp;Spreads'!$B$8:$H$164,7,FALSE),"NA")</f>
        <v>5.537707926896978E-2</v>
      </c>
      <c r="F109" s="100" t="str">
        <f>IFERROR(VLOOKUP(B109,'ERPsCRPs&amp;Spreads'!$B$169:$I$189,8,FALSE),"NA")</f>
        <v>NA</v>
      </c>
      <c r="G109" s="100">
        <f t="shared" si="9"/>
        <v>5.2105301202269194E-2</v>
      </c>
      <c r="H109" s="24"/>
      <c r="I109" s="100">
        <f>IFERROR(VLOOKUP(B109,'ERPsCRPs&amp;Spreads'!$B$8:$K$164,9,FALSE),"NA")</f>
        <v>2.2092174694141271E-2</v>
      </c>
      <c r="J109" s="100">
        <f>IFERROR(VLOOKUP(B109,'ERPsCRPs&amp;Spreads'!$B$8:$K$164,6,FALSE),"NA")</f>
        <v>2.536395276084186E-2</v>
      </c>
      <c r="K109" s="100" t="str">
        <f>IFERROR(VLOOKUP('CtryERP&amp;CRP'!B109,'ERPsCRPs&amp;Spreads'!$B$169:$I$189,7,FALSE),"NA")</f>
        <v>NA</v>
      </c>
      <c r="L109" s="100">
        <f t="shared" si="10"/>
        <v>2.2092174694141271E-2</v>
      </c>
    </row>
    <row r="110" spans="2:12" x14ac:dyDescent="0.25">
      <c r="B110" s="5" t="s">
        <v>130</v>
      </c>
      <c r="C110" s="6"/>
      <c r="D110" s="100" t="str">
        <f>IFERROR(VLOOKUP(B110,'ERPsCRPs&amp;Spreads'!$B$8:$K$164,10,FALSE),"NA")</f>
        <v>NA</v>
      </c>
      <c r="E110" s="100">
        <f>IFERROR(VLOOKUP(B110,'ERPsCRPs&amp;Spreads'!$B$8:$H$164,7,FALSE),"NA")</f>
        <v>0.13780992574170581</v>
      </c>
      <c r="F110" s="100" t="str">
        <f>IFERROR(VLOOKUP(B110,'ERPsCRPs&amp;Spreads'!$B$169:$I$189,8,FALSE),"NA")</f>
        <v>NA</v>
      </c>
      <c r="G110" s="100">
        <f t="shared" si="9"/>
        <v>0.13780992574170581</v>
      </c>
      <c r="H110" s="24"/>
      <c r="I110" s="100" t="str">
        <f>IFERROR(VLOOKUP(B110,'ERPsCRPs&amp;Spreads'!$B$8:$K$164,9,FALSE),"NA")</f>
        <v>NA</v>
      </c>
      <c r="J110" s="100">
        <f>IFERROR(VLOOKUP(B110,'ERPsCRPs&amp;Spreads'!$B$8:$K$164,6,FALSE),"NA")</f>
        <v>0.10779679923357789</v>
      </c>
      <c r="K110" s="100" t="str">
        <f>IFERROR(VLOOKUP('CtryERP&amp;CRP'!B110,'ERPsCRPs&amp;Spreads'!$B$169:$I$189,7,FALSE),"NA")</f>
        <v>NA</v>
      </c>
      <c r="L110" s="100">
        <f t="shared" si="10"/>
        <v>0.10779679923357789</v>
      </c>
    </row>
    <row r="111" spans="2:12" x14ac:dyDescent="0.25">
      <c r="B111" s="5" t="s">
        <v>135</v>
      </c>
      <c r="C111" s="6"/>
      <c r="D111" s="100" t="str">
        <f>IFERROR(VLOOKUP(B111,'ERPsCRPs&amp;Spreads'!$B$8:$K$164,10,FALSE),"NA")</f>
        <v>NA</v>
      </c>
      <c r="E111" s="100">
        <f>IFERROR(VLOOKUP(B111,'ERPsCRPs&amp;Spreads'!$B$8:$H$164,7,FALSE),"NA")</f>
        <v>0.22482237479626049</v>
      </c>
      <c r="F111" s="100" t="str">
        <f>IFERROR(VLOOKUP(B111,'ERPsCRPs&amp;Spreads'!$B$169:$I$189,8,FALSE),"NA")</f>
        <v>NA</v>
      </c>
      <c r="G111" s="100">
        <f t="shared" si="9"/>
        <v>0.22482237479626049</v>
      </c>
      <c r="H111" s="24"/>
      <c r="I111" s="100" t="str">
        <f>IFERROR(VLOOKUP(B111,'ERPsCRPs&amp;Spreads'!$B$8:$K$164,9,FALSE),"NA")</f>
        <v>NA</v>
      </c>
      <c r="J111" s="100">
        <f>IFERROR(VLOOKUP(B111,'ERPsCRPs&amp;Spreads'!$B$8:$K$164,6,FALSE),"NA")</f>
        <v>0.19480924828813256</v>
      </c>
      <c r="K111" s="100" t="str">
        <f>IFERROR(VLOOKUP('CtryERP&amp;CRP'!B111,'ERPsCRPs&amp;Spreads'!$B$169:$I$189,7,FALSE),"NA")</f>
        <v>NA</v>
      </c>
      <c r="L111" s="100">
        <f t="shared" si="10"/>
        <v>0.19480924828813256</v>
      </c>
    </row>
    <row r="112" spans="2:12" x14ac:dyDescent="0.25">
      <c r="B112" s="5" t="s">
        <v>140</v>
      </c>
      <c r="C112" s="6"/>
      <c r="D112" s="100" t="str">
        <f>IFERROR(VLOOKUP(B112,'ERPsCRPs&amp;Spreads'!$B$8:$K$164,10,FALSE),"NA")</f>
        <v>NA</v>
      </c>
      <c r="E112" s="100">
        <f>IFERROR(VLOOKUP(B112,'ERPsCRPs&amp;Spreads'!$B$8:$H$164,7,FALSE),"NA")</f>
        <v>0.16493526411093945</v>
      </c>
      <c r="F112" s="100" t="str">
        <f>IFERROR(VLOOKUP(B112,'ERPsCRPs&amp;Spreads'!$B$169:$I$189,8,FALSE),"NA")</f>
        <v>NA</v>
      </c>
      <c r="G112" s="100">
        <f t="shared" si="9"/>
        <v>0.16493526411093945</v>
      </c>
      <c r="H112" s="24"/>
      <c r="I112" s="100" t="str">
        <f>IFERROR(VLOOKUP(B112,'ERPsCRPs&amp;Spreads'!$B$8:$K$164,9,FALSE),"NA")</f>
        <v>NA</v>
      </c>
      <c r="J112" s="100">
        <f>IFERROR(VLOOKUP(B112,'ERPsCRPs&amp;Spreads'!$B$8:$K$164,6,FALSE),"NA")</f>
        <v>0.13492213760281152</v>
      </c>
      <c r="K112" s="100" t="str">
        <f>IFERROR(VLOOKUP('CtryERP&amp;CRP'!B112,'ERPsCRPs&amp;Spreads'!$B$169:$I$189,7,FALSE),"NA")</f>
        <v>NA</v>
      </c>
      <c r="L112" s="100">
        <f t="shared" si="10"/>
        <v>0.13492213760281152</v>
      </c>
    </row>
    <row r="113" spans="2:12" x14ac:dyDescent="0.25">
      <c r="B113" s="5" t="s">
        <v>145</v>
      </c>
      <c r="C113" s="6"/>
      <c r="D113" s="100">
        <f>IFERROR(VLOOKUP(B113,'ERPsCRPs&amp;Spreads'!$B$8:$K$164,10,FALSE),"NA")</f>
        <v>5.8157951803403787E-2</v>
      </c>
      <c r="E113" s="100">
        <f>IFERROR(VLOOKUP(B113,'ERPsCRPs&amp;Spreads'!$B$8:$H$164,7,FALSE),"NA")</f>
        <v>5.537707926896978E-2</v>
      </c>
      <c r="F113" s="100" t="str">
        <f>IFERROR(VLOOKUP(B113,'ERPsCRPs&amp;Spreads'!$B$169:$I$189,8,FALSE),"NA")</f>
        <v>NA</v>
      </c>
      <c r="G113" s="100">
        <f t="shared" si="9"/>
        <v>5.8157951803403787E-2</v>
      </c>
      <c r="H113" s="24"/>
      <c r="I113" s="100">
        <f>IFERROR(VLOOKUP(B113,'ERPsCRPs&amp;Spreads'!$B$8:$K$164,9,FALSE),"NA")</f>
        <v>2.8144825295275865E-2</v>
      </c>
      <c r="J113" s="100">
        <f>IFERROR(VLOOKUP(B113,'ERPsCRPs&amp;Spreads'!$B$8:$K$164,6,FALSE),"NA")</f>
        <v>2.536395276084186E-2</v>
      </c>
      <c r="K113" s="100" t="str">
        <f>IFERROR(VLOOKUP('CtryERP&amp;CRP'!B113,'ERPsCRPs&amp;Spreads'!$B$169:$I$189,7,FALSE),"NA")</f>
        <v>NA</v>
      </c>
      <c r="L113" s="100">
        <f t="shared" si="10"/>
        <v>2.8144825295275865E-2</v>
      </c>
    </row>
    <row r="114" spans="2:12" x14ac:dyDescent="0.25">
      <c r="B114" s="5" t="s">
        <v>150</v>
      </c>
      <c r="C114" s="6"/>
      <c r="D114" s="100">
        <f>IFERROR(VLOOKUP(B114,'ERPsCRPs&amp;Spreads'!$B$8:$K$164,10,FALSE),"NA")</f>
        <v>0.10567125902231037</v>
      </c>
      <c r="E114" s="100">
        <f>IFERROR(VLOOKUP(B114,'ERPsCRPs&amp;Spreads'!$B$8:$H$164,7,FALSE),"NA")</f>
        <v>9.5888948261981077E-2</v>
      </c>
      <c r="F114" s="100" t="str">
        <f>IFERROR(VLOOKUP(B114,'ERPsCRPs&amp;Spreads'!$B$169:$I$189,8,FALSE),"NA")</f>
        <v>NA</v>
      </c>
      <c r="G114" s="100">
        <f t="shared" si="9"/>
        <v>0.10567125902231037</v>
      </c>
      <c r="H114" s="24"/>
      <c r="I114" s="100">
        <f>IFERROR(VLOOKUP(B114,'ERPsCRPs&amp;Spreads'!$B$8:$K$164,9,FALSE),"NA")</f>
        <v>7.565813251418245E-2</v>
      </c>
      <c r="J114" s="100">
        <f>IFERROR(VLOOKUP(B114,'ERPsCRPs&amp;Spreads'!$B$8:$K$164,6,FALSE),"NA")</f>
        <v>6.5875821753853162E-2</v>
      </c>
      <c r="K114" s="100" t="str">
        <f>IFERROR(VLOOKUP('CtryERP&amp;CRP'!B114,'ERPsCRPs&amp;Spreads'!$B$169:$I$189,7,FALSE),"NA")</f>
        <v>NA</v>
      </c>
      <c r="L114" s="100">
        <f t="shared" si="10"/>
        <v>7.565813251418245E-2</v>
      </c>
    </row>
    <row r="115" spans="2:12" x14ac:dyDescent="0.25">
      <c r="B115" s="5" t="s">
        <v>155</v>
      </c>
      <c r="C115" s="6"/>
      <c r="D115" s="100" t="str">
        <f>IFERROR(VLOOKUP(B115,'ERPsCRPs&amp;Spreads'!$B$8:$K$164,10,FALSE),"NA")</f>
        <v>NA</v>
      </c>
      <c r="E115" s="100" t="str">
        <f>IFERROR(VLOOKUP(B115,'ERPsCRPs&amp;Spreads'!$B$8:$H$164,7,FALSE),"NA")</f>
        <v>NA</v>
      </c>
      <c r="F115" s="100">
        <f>IFERROR(VLOOKUP(B115,'ERPsCRPs&amp;Spreads'!$B$169:$I$189,8,FALSE),"NA")</f>
        <v>0.12019606965778785</v>
      </c>
      <c r="G115" s="100">
        <f t="shared" si="9"/>
        <v>0.12019606965778785</v>
      </c>
      <c r="H115" s="24"/>
      <c r="I115" s="100" t="str">
        <f>IFERROR(VLOOKUP(B115,'ERPsCRPs&amp;Spreads'!$B$8:$K$164,9,FALSE),"NA")</f>
        <v>NA</v>
      </c>
      <c r="J115" s="100" t="str">
        <f>IFERROR(VLOOKUP(B115,'ERPsCRPs&amp;Spreads'!$B$8:$K$164,6,FALSE),"NA")</f>
        <v>NA</v>
      </c>
      <c r="K115" s="100">
        <f>IFERROR(VLOOKUP('CtryERP&amp;CRP'!B115,'ERPsCRPs&amp;Spreads'!$B$169:$I$189,7,FALSE),"NA")</f>
        <v>9.0182943149659939E-2</v>
      </c>
      <c r="L115" s="100">
        <f t="shared" si="10"/>
        <v>9.0182943149659939E-2</v>
      </c>
    </row>
    <row r="116" spans="2:12" x14ac:dyDescent="0.25">
      <c r="B116" s="5" t="s">
        <v>162</v>
      </c>
      <c r="C116" s="6"/>
      <c r="D116" s="100">
        <f>IFERROR(VLOOKUP(B116,'ERPsCRPs&amp;Spreads'!$B$8:$K$164,10,FALSE),"NA")</f>
        <v>9.447385541021136E-2</v>
      </c>
      <c r="E116" s="100">
        <f>IFERROR(VLOOKUP(B116,'ERPsCRPs&amp;Spreads'!$B$8:$H$164,7,FALSE),"NA")</f>
        <v>0.12019606965778785</v>
      </c>
      <c r="F116" s="100" t="str">
        <f>IFERROR(VLOOKUP(B116,'ERPsCRPs&amp;Spreads'!$B$169:$I$189,8,FALSE),"NA")</f>
        <v>NA</v>
      </c>
      <c r="G116" s="100">
        <f t="shared" si="9"/>
        <v>9.447385541021136E-2</v>
      </c>
      <c r="H116" s="24"/>
      <c r="I116" s="100">
        <f>IFERROR(VLOOKUP(B116,'ERPsCRPs&amp;Spreads'!$B$8:$K$164,9,FALSE),"NA")</f>
        <v>6.4460728902083445E-2</v>
      </c>
      <c r="J116" s="100">
        <f>IFERROR(VLOOKUP(B116,'ERPsCRPs&amp;Spreads'!$B$8:$K$164,6,FALSE),"NA")</f>
        <v>9.0182943149659939E-2</v>
      </c>
      <c r="K116" s="100" t="str">
        <f>IFERROR(VLOOKUP('CtryERP&amp;CRP'!B116,'ERPsCRPs&amp;Spreads'!$B$169:$I$189,7,FALSE),"NA")</f>
        <v>NA</v>
      </c>
      <c r="L116" s="100">
        <f t="shared" si="10"/>
        <v>6.4460728902083445E-2</v>
      </c>
    </row>
    <row r="117" spans="2:12" x14ac:dyDescent="0.25">
      <c r="B117" s="5" t="s">
        <v>166</v>
      </c>
      <c r="C117" s="6"/>
      <c r="D117" s="100">
        <f>IFERROR(VLOOKUP(B117,'ERPsCRPs&amp;Spreads'!$B$8:$K$164,10,FALSE),"NA")</f>
        <v>4.3328957830624029E-2</v>
      </c>
      <c r="E117" s="100">
        <f>IFERROR(VLOOKUP(B117,'ERPsCRPs&amp;Spreads'!$B$8:$H$164,7,FALSE),"NA")</f>
        <v>6.5945392919320556E-2</v>
      </c>
      <c r="F117" s="100" t="str">
        <f>IFERROR(VLOOKUP(B117,'ERPsCRPs&amp;Spreads'!$B$169:$I$189,8,FALSE),"NA")</f>
        <v>NA</v>
      </c>
      <c r="G117" s="100">
        <f t="shared" si="9"/>
        <v>4.3328957830624029E-2</v>
      </c>
      <c r="H117" s="24"/>
      <c r="I117" s="100">
        <f>IFERROR(VLOOKUP(B117,'ERPsCRPs&amp;Spreads'!$B$8:$K$164,9,FALSE),"NA")</f>
        <v>1.331583132249611E-2</v>
      </c>
      <c r="J117" s="100">
        <f>IFERROR(VLOOKUP(B117,'ERPsCRPs&amp;Spreads'!$B$8:$K$164,6,FALSE),"NA")</f>
        <v>3.5932266411192633E-2</v>
      </c>
      <c r="K117" s="100" t="str">
        <f>IFERROR(VLOOKUP('CtryERP&amp;CRP'!B117,'ERPsCRPs&amp;Spreads'!$B$169:$I$189,7,FALSE),"NA")</f>
        <v>NA</v>
      </c>
      <c r="L117" s="100">
        <f t="shared" si="10"/>
        <v>1.331583132249611E-2</v>
      </c>
    </row>
    <row r="118" spans="2:12" x14ac:dyDescent="0.25">
      <c r="B118" s="5" t="s">
        <v>170</v>
      </c>
      <c r="C118" s="6"/>
      <c r="D118" s="100">
        <f>IFERROR(VLOOKUP(B118,'ERPsCRPs&amp;Spreads'!$B$8:$K$164,10,FALSE),"NA")</f>
        <v>4.6052650601134601E-2</v>
      </c>
      <c r="E118" s="100">
        <f>IFERROR(VLOOKUP(B118,'ERPsCRPs&amp;Spreads'!$B$8:$H$164,7,FALSE),"NA")</f>
        <v>6.5945392919320556E-2</v>
      </c>
      <c r="F118" s="100" t="str">
        <f>IFERROR(VLOOKUP(B118,'ERPsCRPs&amp;Spreads'!$B$169:$I$189,8,FALSE),"NA")</f>
        <v>NA</v>
      </c>
      <c r="G118" s="100">
        <f t="shared" si="9"/>
        <v>4.6052650601134601E-2</v>
      </c>
      <c r="H118" s="24"/>
      <c r="I118" s="100">
        <f>IFERROR(VLOOKUP(B118,'ERPsCRPs&amp;Spreads'!$B$8:$K$164,9,FALSE),"NA")</f>
        <v>1.6039524093006678E-2</v>
      </c>
      <c r="J118" s="100">
        <f>IFERROR(VLOOKUP(B118,'ERPsCRPs&amp;Spreads'!$B$8:$K$164,6,FALSE),"NA")</f>
        <v>3.5932266411192633E-2</v>
      </c>
      <c r="K118" s="100" t="str">
        <f>IFERROR(VLOOKUP('CtryERP&amp;CRP'!B118,'ERPsCRPs&amp;Spreads'!$B$169:$I$189,7,FALSE),"NA")</f>
        <v>NA</v>
      </c>
      <c r="L118" s="100">
        <f t="shared" si="10"/>
        <v>1.6039524093006678E-2</v>
      </c>
    </row>
    <row r="119" spans="2:12" x14ac:dyDescent="0.25">
      <c r="B119" s="5" t="s">
        <v>174</v>
      </c>
      <c r="C119" s="6"/>
      <c r="D119" s="100" t="str">
        <f>IFERROR(VLOOKUP(B119,'ERPsCRPs&amp;Spreads'!$B$8:$K$164,10,FALSE),"NA")</f>
        <v>NA</v>
      </c>
      <c r="E119" s="100">
        <f>IFERROR(VLOOKUP(B119,'ERPsCRPs&amp;Spreads'!$B$8:$H$164,7,FALSE),"NA")</f>
        <v>0.22482237479626049</v>
      </c>
      <c r="F119" s="100" t="str">
        <f>IFERROR(VLOOKUP(B119,'ERPsCRPs&amp;Spreads'!$B$169:$I$189,8,FALSE),"NA")</f>
        <v>NA</v>
      </c>
      <c r="G119" s="100">
        <f t="shared" si="9"/>
        <v>0.22482237479626049</v>
      </c>
      <c r="H119" s="24"/>
      <c r="I119" s="100" t="str">
        <f>IFERROR(VLOOKUP(B119,'ERPsCRPs&amp;Spreads'!$B$8:$K$164,9,FALSE),"NA")</f>
        <v>NA</v>
      </c>
      <c r="J119" s="100">
        <f>IFERROR(VLOOKUP(B119,'ERPsCRPs&amp;Spreads'!$B$8:$K$164,6,FALSE),"NA")</f>
        <v>0.19480924828813256</v>
      </c>
      <c r="K119" s="100" t="str">
        <f>IFERROR(VLOOKUP('CtryERP&amp;CRP'!B119,'ERPsCRPs&amp;Spreads'!$B$169:$I$189,7,FALSE),"NA")</f>
        <v>NA</v>
      </c>
      <c r="L119" s="100">
        <f t="shared" si="10"/>
        <v>0.19480924828813256</v>
      </c>
    </row>
    <row r="120" spans="2:12" x14ac:dyDescent="0.25">
      <c r="B120" s="5" t="s">
        <v>180</v>
      </c>
      <c r="C120" s="6"/>
      <c r="D120" s="100" t="str">
        <f>IFERROR(VLOOKUP(B120,'ERPsCRPs&amp;Spreads'!$B$8:$K$164,10,FALSE),"NA")</f>
        <v>NA</v>
      </c>
      <c r="E120" s="100">
        <f>IFERROR(VLOOKUP(B120,'ERPsCRPs&amp;Spreads'!$B$8:$H$164,7,FALSE),"NA")</f>
        <v>0.38968806774173265</v>
      </c>
      <c r="F120" s="100" t="str">
        <f>IFERROR(VLOOKUP(B120,'ERPsCRPs&amp;Spreads'!$B$169:$I$189,8,FALSE),"NA")</f>
        <v>NA</v>
      </c>
      <c r="G120" s="100">
        <f t="shared" si="9"/>
        <v>0.38968806774173265</v>
      </c>
      <c r="H120" s="24"/>
      <c r="I120" s="100" t="str">
        <f>IFERROR(VLOOKUP(B120,'ERPsCRPs&amp;Spreads'!$B$8:$K$164,9,FALSE),"NA")</f>
        <v>NA</v>
      </c>
      <c r="J120" s="100">
        <f>IFERROR(VLOOKUP(B120,'ERPsCRPs&amp;Spreads'!$B$8:$K$164,6,FALSE),"NA")</f>
        <v>0.35967494123360472</v>
      </c>
      <c r="K120" s="100" t="str">
        <f>IFERROR(VLOOKUP('CtryERP&amp;CRP'!B120,'ERPsCRPs&amp;Spreads'!$B$169:$I$189,7,FALSE),"NA")</f>
        <v>NA</v>
      </c>
      <c r="L120" s="100">
        <f t="shared" si="10"/>
        <v>0.35967494123360472</v>
      </c>
    </row>
    <row r="121" spans="2:12" x14ac:dyDescent="0.25">
      <c r="B121" s="5" t="s">
        <v>182</v>
      </c>
      <c r="C121" s="6"/>
      <c r="D121" s="100" t="str">
        <f>IFERROR(VLOOKUP(B121,'ERPsCRPs&amp;Spreads'!$B$8:$K$164,10,FALSE),"NA")</f>
        <v>NA</v>
      </c>
      <c r="E121" s="100">
        <f>IFERROR(VLOOKUP(B121,'ERPsCRPs&amp;Spreads'!$B$8:$H$164,7,FALSE),"NA")</f>
        <v>0.13780992574170581</v>
      </c>
      <c r="F121" s="100" t="str">
        <f>IFERROR(VLOOKUP(B121,'ERPsCRPs&amp;Spreads'!$B$169:$I$189,8,FALSE),"NA")</f>
        <v>NA</v>
      </c>
      <c r="G121" s="100">
        <f t="shared" si="9"/>
        <v>0.13780992574170581</v>
      </c>
      <c r="H121" s="24"/>
      <c r="I121" s="100" t="str">
        <f>IFERROR(VLOOKUP(B121,'ERPsCRPs&amp;Spreads'!$B$8:$K$164,9,FALSE),"NA")</f>
        <v>NA</v>
      </c>
      <c r="J121" s="100">
        <f>IFERROR(VLOOKUP(B121,'ERPsCRPs&amp;Spreads'!$B$8:$K$164,6,FALSE),"NA")</f>
        <v>0.10779679923357789</v>
      </c>
      <c r="K121" s="100" t="str">
        <f>IFERROR(VLOOKUP('CtryERP&amp;CRP'!B121,'ERPsCRPs&amp;Spreads'!$B$169:$I$189,7,FALSE),"NA")</f>
        <v>NA</v>
      </c>
      <c r="L121" s="100">
        <f t="shared" si="10"/>
        <v>0.10779679923357789</v>
      </c>
    </row>
    <row r="123" spans="2:12" ht="15.75" x14ac:dyDescent="0.25">
      <c r="B123" s="92" t="s">
        <v>12</v>
      </c>
      <c r="C123" s="91"/>
      <c r="D123" s="91" t="s">
        <v>1592</v>
      </c>
      <c r="E123" s="91" t="s">
        <v>1593</v>
      </c>
      <c r="F123" s="91" t="s">
        <v>1591</v>
      </c>
      <c r="G123" s="91" t="s">
        <v>1594</v>
      </c>
      <c r="H123" s="93"/>
      <c r="I123" s="91" t="s">
        <v>1595</v>
      </c>
      <c r="J123" s="91" t="s">
        <v>1596</v>
      </c>
      <c r="K123" s="91" t="s">
        <v>1597</v>
      </c>
      <c r="L123" s="91" t="s">
        <v>1598</v>
      </c>
    </row>
    <row r="124" spans="2:12" x14ac:dyDescent="0.25">
      <c r="B124" s="5" t="s">
        <v>21</v>
      </c>
      <c r="C124" s="6"/>
      <c r="D124" s="100" t="str">
        <f>IFERROR(VLOOKUP(B124,'ERPsCRPs&amp;Spreads'!$B$8:$K$164,10,FALSE),"NA")</f>
        <v>NA</v>
      </c>
      <c r="E124" s="100">
        <f>IFERROR(VLOOKUP(B124,'ERPsCRPs&amp;Spreads'!$B$8:$H$164,7,FALSE),"NA")</f>
        <v>7.792281505638475E-2</v>
      </c>
      <c r="F124" s="100" t="str">
        <f>IFERROR(VLOOKUP(B124,'ERPsCRPs&amp;Spreads'!$B$169:$I$189,8,FALSE),"NA")</f>
        <v>NA</v>
      </c>
      <c r="G124" s="100">
        <f t="shared" ref="G124" si="11">IF(D124&lt;&gt;"NA",D124,IF(E124&lt;&gt;"NA",E124,F124))</f>
        <v>7.792281505638475E-2</v>
      </c>
      <c r="H124" s="24"/>
      <c r="I124" s="100" t="str">
        <f>IFERROR(VLOOKUP(B124,'ERPsCRPs&amp;Spreads'!$B$8:$K$164,9,FALSE),"NA")</f>
        <v>NA</v>
      </c>
      <c r="J124" s="100">
        <f>IFERROR(VLOOKUP(B124,'ERPsCRPs&amp;Spreads'!$B$8:$K$164,6,FALSE),"NA")</f>
        <v>4.7909688548256828E-2</v>
      </c>
      <c r="K124" s="100" t="str">
        <f>IFERROR(VLOOKUP('CtryERP&amp;CRP'!B124,'ERPsCRPs&amp;Spreads'!$B$169:$I$189,7,FALSE),"NA")</f>
        <v>NA</v>
      </c>
      <c r="L124" s="100">
        <f t="shared" ref="L124:L149" si="12">IF(I124&lt;&gt;"NA",I124,IF(J124&lt;&gt;"NA",J124,K124))</f>
        <v>4.7909688548256828E-2</v>
      </c>
    </row>
    <row r="125" spans="2:12" x14ac:dyDescent="0.25">
      <c r="B125" s="5" t="s">
        <v>30</v>
      </c>
      <c r="C125" s="6"/>
      <c r="D125" s="100">
        <f>IFERROR(VLOOKUP(B125,'ERPsCRPs&amp;Spreads'!$B$8:$K$164,10,FALSE),"NA")</f>
        <v>3.4552614458978864E-2</v>
      </c>
      <c r="E125" s="100">
        <f>IFERROR(VLOOKUP(B125,'ERPsCRPs&amp;Spreads'!$B$8:$H$164,7,FALSE),"NA")</f>
        <v>4.1990548645192124E-2</v>
      </c>
      <c r="F125" s="100" t="str">
        <f>IFERROR(VLOOKUP(B125,'ERPsCRPs&amp;Spreads'!$B$169:$I$189,8,FALSE),"NA")</f>
        <v>NA</v>
      </c>
      <c r="G125" s="100">
        <f t="shared" ref="G125:G149" si="13">IF(D125&lt;&gt;"NA",D125,IF(E125&lt;&gt;"NA",E125,F125))</f>
        <v>3.4552614458978864E-2</v>
      </c>
      <c r="H125" s="24"/>
      <c r="I125" s="100">
        <f>IFERROR(VLOOKUP(B125,'ERPsCRPs&amp;Spreads'!$B$8:$K$164,9,FALSE),"NA")</f>
        <v>4.5394879508509475E-3</v>
      </c>
      <c r="J125" s="100">
        <f>IFERROR(VLOOKUP(B125,'ERPsCRPs&amp;Spreads'!$B$8:$K$164,6,FALSE),"NA")</f>
        <v>1.1977422137064207E-2</v>
      </c>
      <c r="K125" s="100" t="str">
        <f>IFERROR(VLOOKUP('CtryERP&amp;CRP'!B125,'ERPsCRPs&amp;Spreads'!$B$169:$I$189,7,FALSE),"NA")</f>
        <v>NA</v>
      </c>
      <c r="L125" s="100">
        <f t="shared" si="12"/>
        <v>4.5394879508509475E-3</v>
      </c>
    </row>
    <row r="126" spans="2:12" x14ac:dyDescent="0.25">
      <c r="B126" s="5" t="s">
        <v>39</v>
      </c>
      <c r="C126" s="6"/>
      <c r="D126" s="100">
        <f>IFERROR(VLOOKUP(B126,'ERPsCRPs&amp;Spreads'!$B$8:$K$164,10,FALSE),"NA")</f>
        <v>0.04</v>
      </c>
      <c r="E126" s="100">
        <f>IFERROR(VLOOKUP(B126,'ERPsCRPs&amp;Spreads'!$B$8:$H$164,7,FALSE),"NA")</f>
        <v>4.7979259713724236E-2</v>
      </c>
      <c r="F126" s="100" t="str">
        <f>IFERROR(VLOOKUP(B126,'ERPsCRPs&amp;Spreads'!$B$169:$I$189,8,FALSE),"NA")</f>
        <v>NA</v>
      </c>
      <c r="G126" s="100">
        <f t="shared" si="13"/>
        <v>0.04</v>
      </c>
      <c r="H126" s="24"/>
      <c r="I126" s="100">
        <f>IFERROR(VLOOKUP(B126,'ERPsCRPs&amp;Spreads'!$B$8:$K$164,9,FALSE),"NA")</f>
        <v>9.9868734918720815E-3</v>
      </c>
      <c r="J126" s="100">
        <f>IFERROR(VLOOKUP(B126,'ERPsCRPs&amp;Spreads'!$B$8:$K$164,6,FALSE),"NA")</f>
        <v>1.7966133205596316E-2</v>
      </c>
      <c r="K126" s="100" t="str">
        <f>IFERROR(VLOOKUP('CtryERP&amp;CRP'!B126,'ERPsCRPs&amp;Spreads'!$B$169:$I$189,7,FALSE),"NA")</f>
        <v>NA</v>
      </c>
      <c r="L126" s="100">
        <f t="shared" si="12"/>
        <v>9.9868734918720815E-3</v>
      </c>
    </row>
    <row r="127" spans="2:12" x14ac:dyDescent="0.25">
      <c r="B127" s="5" t="s">
        <v>47</v>
      </c>
      <c r="C127" s="6"/>
      <c r="D127" s="100">
        <f>IFERROR(VLOOKUP(B127,'ERPsCRPs&amp;Spreads'!$B$8:$K$164,10,FALSE),"NA")</f>
        <v>4.9684240961815354E-2</v>
      </c>
      <c r="E127" s="100">
        <f>IFERROR(VLOOKUP(B127,'ERPsCRPs&amp;Spreads'!$B$8:$H$164,7,FALSE),"NA")</f>
        <v>6.5945392919320556E-2</v>
      </c>
      <c r="F127" s="100" t="str">
        <f>IFERROR(VLOOKUP(B127,'ERPsCRPs&amp;Spreads'!$B$169:$I$189,8,FALSE),"NA")</f>
        <v>NA</v>
      </c>
      <c r="G127" s="100">
        <f t="shared" si="13"/>
        <v>4.9684240961815354E-2</v>
      </c>
      <c r="H127" s="24"/>
      <c r="I127" s="100">
        <f>IFERROR(VLOOKUP(B127,'ERPsCRPs&amp;Spreads'!$B$8:$K$164,9,FALSE),"NA")</f>
        <v>1.9671114453687435E-2</v>
      </c>
      <c r="J127" s="100">
        <f>IFERROR(VLOOKUP(B127,'ERPsCRPs&amp;Spreads'!$B$8:$K$164,6,FALSE),"NA")</f>
        <v>3.5932266411192633E-2</v>
      </c>
      <c r="K127" s="100" t="str">
        <f>IFERROR(VLOOKUP('CtryERP&amp;CRP'!B127,'ERPsCRPs&amp;Spreads'!$B$169:$I$189,7,FALSE),"NA")</f>
        <v>NA</v>
      </c>
      <c r="L127" s="100">
        <f t="shared" si="12"/>
        <v>1.9671114453687435E-2</v>
      </c>
    </row>
    <row r="128" spans="2:12" x14ac:dyDescent="0.25">
      <c r="B128" s="5" t="s">
        <v>54</v>
      </c>
      <c r="C128" s="6"/>
      <c r="D128" s="100">
        <f>IFERROR(VLOOKUP(B128,'ERPsCRPs&amp;Spreads'!$B$8:$K$164,10,FALSE),"NA")</f>
        <v>3.1223656628354839E-2</v>
      </c>
      <c r="E128" s="100">
        <f>IFERROR(VLOOKUP(B128,'ERPsCRPs&amp;Spreads'!$B$8:$H$164,7,FALSE),"NA")</f>
        <v>3.0013126508127919E-2</v>
      </c>
      <c r="F128" s="100" t="str">
        <f>IFERROR(VLOOKUP(B128,'ERPsCRPs&amp;Spreads'!$B$169:$I$189,8,FALSE),"NA")</f>
        <v>NA</v>
      </c>
      <c r="G128" s="100">
        <f t="shared" si="13"/>
        <v>3.1223656628354839E-2</v>
      </c>
      <c r="H128" s="24"/>
      <c r="I128" s="100">
        <f>IFERROR(VLOOKUP(B128,'ERPsCRPs&amp;Spreads'!$B$8:$K$164,9,FALSE),"NA")</f>
        <v>1.2105301202269189E-3</v>
      </c>
      <c r="J128" s="100">
        <f>IFERROR(VLOOKUP(B128,'ERPsCRPs&amp;Spreads'!$B$8:$K$164,6,FALSE),"NA")</f>
        <v>0</v>
      </c>
      <c r="K128" s="100" t="str">
        <f>IFERROR(VLOOKUP('CtryERP&amp;CRP'!B128,'ERPsCRPs&amp;Spreads'!$B$169:$I$189,7,FALSE),"NA")</f>
        <v>NA</v>
      </c>
      <c r="L128" s="100">
        <f t="shared" si="12"/>
        <v>1.2105301202269189E-3</v>
      </c>
    </row>
    <row r="129" spans="2:12" x14ac:dyDescent="0.25">
      <c r="B129" s="5" t="s">
        <v>61</v>
      </c>
      <c r="C129" s="6"/>
      <c r="D129" s="100">
        <f>IFERROR(VLOOKUP(B129,'ERPsCRPs&amp;Spreads'!$B$8:$K$164,10,FALSE),"NA")</f>
        <v>3.4552614458978864E-2</v>
      </c>
      <c r="E129" s="100">
        <f>IFERROR(VLOOKUP(B129,'ERPsCRPs&amp;Spreads'!$B$8:$H$164,7,FALSE),"NA")</f>
        <v>4.1990548645192124E-2</v>
      </c>
      <c r="F129" s="100" t="str">
        <f>IFERROR(VLOOKUP(B129,'ERPsCRPs&amp;Spreads'!$B$169:$I$189,8,FALSE),"NA")</f>
        <v>NA</v>
      </c>
      <c r="G129" s="100">
        <f t="shared" si="13"/>
        <v>3.4552614458978864E-2</v>
      </c>
      <c r="H129" s="24"/>
      <c r="I129" s="100">
        <f>IFERROR(VLOOKUP(B129,'ERPsCRPs&amp;Spreads'!$B$8:$K$164,9,FALSE),"NA")</f>
        <v>4.5394879508509475E-3</v>
      </c>
      <c r="J129" s="100">
        <f>IFERROR(VLOOKUP(B129,'ERPsCRPs&amp;Spreads'!$B$8:$K$164,6,FALSE),"NA")</f>
        <v>1.1977422137064207E-2</v>
      </c>
      <c r="K129" s="100" t="str">
        <f>IFERROR(VLOOKUP('CtryERP&amp;CRP'!B129,'ERPsCRPs&amp;Spreads'!$B$169:$I$189,7,FALSE),"NA")</f>
        <v>NA</v>
      </c>
      <c r="L129" s="100">
        <f t="shared" si="12"/>
        <v>4.5394879508509475E-3</v>
      </c>
    </row>
    <row r="130" spans="2:12" x14ac:dyDescent="0.25">
      <c r="B130" s="5" t="s">
        <v>68</v>
      </c>
      <c r="C130" s="6"/>
      <c r="D130" s="100">
        <f>IFERROR(VLOOKUP(B130,'ERPsCRPs&amp;Spreads'!$B$8:$K$164,10,FALSE),"NA")</f>
        <v>4.5447385541021137E-2</v>
      </c>
      <c r="E130" s="100">
        <f>IFERROR(VLOOKUP(B130,'ERPsCRPs&amp;Spreads'!$B$8:$H$164,7,FALSE),"NA")</f>
        <v>4.7979259713724236E-2</v>
      </c>
      <c r="F130" s="100" t="str">
        <f>IFERROR(VLOOKUP(B130,'ERPsCRPs&amp;Spreads'!$B$169:$I$189,8,FALSE),"NA")</f>
        <v>NA</v>
      </c>
      <c r="G130" s="100">
        <f t="shared" si="13"/>
        <v>4.5447385541021137E-2</v>
      </c>
      <c r="H130" s="24"/>
      <c r="I130" s="100">
        <f>IFERROR(VLOOKUP(B130,'ERPsCRPs&amp;Spreads'!$B$8:$K$164,9,FALSE),"NA")</f>
        <v>1.5434259032893216E-2</v>
      </c>
      <c r="J130" s="100">
        <f>IFERROR(VLOOKUP(B130,'ERPsCRPs&amp;Spreads'!$B$8:$K$164,6,FALSE),"NA")</f>
        <v>1.7966133205596316E-2</v>
      </c>
      <c r="K130" s="100" t="str">
        <f>IFERROR(VLOOKUP('CtryERP&amp;CRP'!B130,'ERPsCRPs&amp;Spreads'!$B$169:$I$189,7,FALSE),"NA")</f>
        <v>NA</v>
      </c>
      <c r="L130" s="100">
        <f t="shared" si="12"/>
        <v>1.5434259032893216E-2</v>
      </c>
    </row>
    <row r="131" spans="2:12" x14ac:dyDescent="0.25">
      <c r="B131" s="5" t="s">
        <v>75</v>
      </c>
      <c r="C131" s="6"/>
      <c r="D131" s="100">
        <f>IFERROR(VLOOKUP(B131,'ERPsCRPs&amp;Spreads'!$B$8:$K$164,10,FALSE),"NA")</f>
        <v>3.2131554218525024E-2</v>
      </c>
      <c r="E131" s="100">
        <f>IFERROR(VLOOKUP(B131,'ERPsCRPs&amp;Spreads'!$B$8:$H$164,7,FALSE),"NA")</f>
        <v>3.0013126508127919E-2</v>
      </c>
      <c r="F131" s="100" t="str">
        <f>IFERROR(VLOOKUP(B131,'ERPsCRPs&amp;Spreads'!$B$169:$I$189,8,FALSE),"NA")</f>
        <v>NA</v>
      </c>
      <c r="G131" s="100">
        <f t="shared" si="13"/>
        <v>3.2131554218525024E-2</v>
      </c>
      <c r="H131" s="24"/>
      <c r="I131" s="100">
        <f>IFERROR(VLOOKUP(B131,'ERPsCRPs&amp;Spreads'!$B$8:$K$164,9,FALSE),"NA")</f>
        <v>2.1184277103971079E-3</v>
      </c>
      <c r="J131" s="100">
        <f>IFERROR(VLOOKUP(B131,'ERPsCRPs&amp;Spreads'!$B$8:$K$164,6,FALSE),"NA")</f>
        <v>0</v>
      </c>
      <c r="K131" s="100" t="str">
        <f>IFERROR(VLOOKUP('CtryERP&amp;CRP'!B131,'ERPsCRPs&amp;Spreads'!$B$169:$I$189,7,FALSE),"NA")</f>
        <v>NA</v>
      </c>
      <c r="L131" s="100">
        <f t="shared" si="12"/>
        <v>2.1184277103971079E-3</v>
      </c>
    </row>
    <row r="132" spans="2:12" x14ac:dyDescent="0.25">
      <c r="B132" s="5" t="s">
        <v>82</v>
      </c>
      <c r="C132" s="6"/>
      <c r="D132" s="100">
        <f>IFERROR(VLOOKUP(B132,'ERPsCRPs&amp;Spreads'!$B$8:$K$164,10,FALSE),"NA")</f>
        <v>5.6342156623063411E-2</v>
      </c>
      <c r="E132" s="100">
        <f>IFERROR(VLOOKUP(B132,'ERPsCRPs&amp;Spreads'!$B$8:$H$164,7,FALSE),"NA")</f>
        <v>0.10504815342561842</v>
      </c>
      <c r="F132" s="100" t="str">
        <f>IFERROR(VLOOKUP(B132,'ERPsCRPs&amp;Spreads'!$B$169:$I$189,8,FALSE),"NA")</f>
        <v>NA</v>
      </c>
      <c r="G132" s="100">
        <f t="shared" si="13"/>
        <v>5.6342156623063411E-2</v>
      </c>
      <c r="H132" s="24"/>
      <c r="I132" s="100">
        <f>IFERROR(VLOOKUP(B132,'ERPsCRPs&amp;Spreads'!$B$8:$K$164,9,FALSE),"NA")</f>
        <v>2.6329030114935488E-2</v>
      </c>
      <c r="J132" s="100">
        <f>IFERROR(VLOOKUP(B132,'ERPsCRPs&amp;Spreads'!$B$8:$K$164,6,FALSE),"NA")</f>
        <v>7.5035026917490505E-2</v>
      </c>
      <c r="K132" s="100" t="str">
        <f>IFERROR(VLOOKUP('CtryERP&amp;CRP'!B132,'ERPsCRPs&amp;Spreads'!$B$169:$I$189,7,FALSE),"NA")</f>
        <v>NA</v>
      </c>
      <c r="L132" s="100">
        <f t="shared" si="12"/>
        <v>2.6329030114935488E-2</v>
      </c>
    </row>
    <row r="133" spans="2:12" x14ac:dyDescent="0.25">
      <c r="B133" s="5" t="s">
        <v>89</v>
      </c>
      <c r="C133" s="6"/>
      <c r="D133" s="100" t="str">
        <f>IFERROR(VLOOKUP(B133,'ERPsCRPs&amp;Spreads'!$B$8:$K$164,10,FALSE),"NA")</f>
        <v>NA</v>
      </c>
      <c r="E133" s="100">
        <f>IFERROR(VLOOKUP(B133,'ERPsCRPs&amp;Spreads'!$B$8:$H$164,7,FALSE),"NA")</f>
        <v>5.1149753808829468E-2</v>
      </c>
      <c r="F133" s="100" t="str">
        <f>IFERROR(VLOOKUP(B133,'ERPsCRPs&amp;Spreads'!$B$169:$I$189,8,FALSE),"NA")</f>
        <v>NA</v>
      </c>
      <c r="G133" s="100">
        <f t="shared" si="13"/>
        <v>5.1149753808829468E-2</v>
      </c>
      <c r="H133" s="24"/>
      <c r="I133" s="100" t="str">
        <f>IFERROR(VLOOKUP(B133,'ERPsCRPs&amp;Spreads'!$B$8:$K$164,9,FALSE),"NA")</f>
        <v>NA</v>
      </c>
      <c r="J133" s="100">
        <f>IFERROR(VLOOKUP(B133,'ERPsCRPs&amp;Spreads'!$B$8:$K$164,6,FALSE),"NA")</f>
        <v>2.1136627300701552E-2</v>
      </c>
      <c r="K133" s="100" t="str">
        <f>IFERROR(VLOOKUP('CtryERP&amp;CRP'!B133,'ERPsCRPs&amp;Spreads'!$B$169:$I$189,7,FALSE),"NA")</f>
        <v>NA</v>
      </c>
      <c r="L133" s="100">
        <f t="shared" si="12"/>
        <v>2.1136627300701552E-2</v>
      </c>
    </row>
    <row r="134" spans="2:12" x14ac:dyDescent="0.25">
      <c r="B134" s="5" t="s">
        <v>96</v>
      </c>
      <c r="C134" s="6"/>
      <c r="D134" s="100">
        <f>IFERROR(VLOOKUP(B134,'ERPsCRPs&amp;Spreads'!$B$8:$K$164,10,FALSE),"NA")</f>
        <v>3.9092102409829813E-2</v>
      </c>
      <c r="E134" s="100">
        <f>IFERROR(VLOOKUP(B134,'ERPsCRPs&amp;Spreads'!$B$8:$H$164,7,FALSE),"NA")</f>
        <v>5.1149753808829468E-2</v>
      </c>
      <c r="F134" s="100" t="str">
        <f>IFERROR(VLOOKUP(B134,'ERPsCRPs&amp;Spreads'!$B$169:$I$189,8,FALSE),"NA")</f>
        <v>NA</v>
      </c>
      <c r="G134" s="100">
        <f t="shared" si="13"/>
        <v>3.9092102409829813E-2</v>
      </c>
      <c r="H134" s="24"/>
      <c r="I134" s="100">
        <f>IFERROR(VLOOKUP(B134,'ERPsCRPs&amp;Spreads'!$B$8:$K$164,9,FALSE),"NA")</f>
        <v>9.0789759017018933E-3</v>
      </c>
      <c r="J134" s="100">
        <f>IFERROR(VLOOKUP(B134,'ERPsCRPs&amp;Spreads'!$B$8:$K$164,6,FALSE),"NA")</f>
        <v>2.1136627300701552E-2</v>
      </c>
      <c r="K134" s="100" t="str">
        <f>IFERROR(VLOOKUP('CtryERP&amp;CRP'!B134,'ERPsCRPs&amp;Spreads'!$B$169:$I$189,7,FALSE),"NA")</f>
        <v>NA</v>
      </c>
      <c r="L134" s="100">
        <f t="shared" si="12"/>
        <v>9.0789759017018933E-3</v>
      </c>
    </row>
    <row r="135" spans="2:12" x14ac:dyDescent="0.25">
      <c r="B135" s="5" t="s">
        <v>103</v>
      </c>
      <c r="C135" s="6"/>
      <c r="D135" s="100">
        <f>IFERROR(VLOOKUP(B135,'ERPsCRPs&amp;Spreads'!$B$8:$K$164,10,FALSE),"NA")</f>
        <v>3.6368409639319248E-2</v>
      </c>
      <c r="E135" s="100">
        <f>IFERROR(VLOOKUP(B135,'ERPsCRPs&amp;Spreads'!$B$8:$H$164,7,FALSE),"NA")</f>
        <v>4.7979259713724236E-2</v>
      </c>
      <c r="F135" s="100" t="str">
        <f>IFERROR(VLOOKUP(B135,'ERPsCRPs&amp;Spreads'!$B$169:$I$189,8,FALSE),"NA")</f>
        <v>NA</v>
      </c>
      <c r="G135" s="100">
        <f t="shared" si="13"/>
        <v>3.6368409639319248E-2</v>
      </c>
      <c r="H135" s="24"/>
      <c r="I135" s="100">
        <f>IFERROR(VLOOKUP(B135,'ERPsCRPs&amp;Spreads'!$B$8:$K$164,9,FALSE),"NA")</f>
        <v>6.3552831311913258E-3</v>
      </c>
      <c r="J135" s="100">
        <f>IFERROR(VLOOKUP(B135,'ERPsCRPs&amp;Spreads'!$B$8:$K$164,6,FALSE),"NA")</f>
        <v>1.7966133205596316E-2</v>
      </c>
      <c r="K135" s="100" t="str">
        <f>IFERROR(VLOOKUP('CtryERP&amp;CRP'!B135,'ERPsCRPs&amp;Spreads'!$B$169:$I$189,7,FALSE),"NA")</f>
        <v>NA</v>
      </c>
      <c r="L135" s="100">
        <f t="shared" si="12"/>
        <v>6.3552831311913258E-3</v>
      </c>
    </row>
    <row r="136" spans="2:12" x14ac:dyDescent="0.25">
      <c r="B136" s="5" t="s">
        <v>110</v>
      </c>
      <c r="C136" s="6"/>
      <c r="D136" s="100" t="str">
        <f>IFERROR(VLOOKUP(B136,'ERPsCRPs&amp;Spreads'!$B$8:$K$164,10,FALSE),"NA")</f>
        <v>NA</v>
      </c>
      <c r="E136" s="100">
        <f>IFERROR(VLOOKUP(B136,'ERPsCRPs&amp;Spreads'!$B$8:$H$164,7,FALSE),"NA")</f>
        <v>4.7979259713724236E-2</v>
      </c>
      <c r="F136" s="100" t="str">
        <f>IFERROR(VLOOKUP(B136,'ERPsCRPs&amp;Spreads'!$B$169:$I$189,8,FALSE),"NA")</f>
        <v>NA</v>
      </c>
      <c r="G136" s="100">
        <f t="shared" si="13"/>
        <v>4.7979259713724236E-2</v>
      </c>
      <c r="H136" s="24"/>
      <c r="I136" s="100" t="str">
        <f>IFERROR(VLOOKUP(B136,'ERPsCRPs&amp;Spreads'!$B$8:$K$164,9,FALSE),"NA")</f>
        <v>NA</v>
      </c>
      <c r="J136" s="100">
        <f>IFERROR(VLOOKUP(B136,'ERPsCRPs&amp;Spreads'!$B$8:$K$164,6,FALSE),"NA")</f>
        <v>1.7966133205596316E-2</v>
      </c>
      <c r="K136" s="100" t="str">
        <f>IFERROR(VLOOKUP('CtryERP&amp;CRP'!B136,'ERPsCRPs&amp;Spreads'!$B$169:$I$189,7,FALSE),"NA")</f>
        <v>NA</v>
      </c>
      <c r="L136" s="100">
        <f t="shared" si="12"/>
        <v>1.7966133205596316E-2</v>
      </c>
    </row>
    <row r="137" spans="2:12" x14ac:dyDescent="0.25">
      <c r="B137" s="5" t="s">
        <v>117</v>
      </c>
      <c r="C137" s="6"/>
      <c r="D137" s="100">
        <f>IFERROR(VLOOKUP(B137,'ERPsCRPs&amp;Spreads'!$B$8:$K$164,10,FALSE),"NA")</f>
        <v>5.4526361442723027E-2</v>
      </c>
      <c r="E137" s="100">
        <f>IFERROR(VLOOKUP(B137,'ERPsCRPs&amp;Spreads'!$B$8:$H$164,7,FALSE),"NA")</f>
        <v>9.5888948261981077E-2</v>
      </c>
      <c r="F137" s="100" t="str">
        <f>IFERROR(VLOOKUP(B137,'ERPsCRPs&amp;Spreads'!$B$169:$I$189,8,FALSE),"NA")</f>
        <v>NA</v>
      </c>
      <c r="G137" s="100">
        <f t="shared" si="13"/>
        <v>5.4526361442723027E-2</v>
      </c>
      <c r="H137" s="24"/>
      <c r="I137" s="100">
        <f>IFERROR(VLOOKUP(B137,'ERPsCRPs&amp;Spreads'!$B$8:$K$164,9,FALSE),"NA")</f>
        <v>2.4513234934595108E-2</v>
      </c>
      <c r="J137" s="100">
        <f>IFERROR(VLOOKUP(B137,'ERPsCRPs&amp;Spreads'!$B$8:$K$164,6,FALSE),"NA")</f>
        <v>6.5875821753853162E-2</v>
      </c>
      <c r="K137" s="100" t="str">
        <f>IFERROR(VLOOKUP('CtryERP&amp;CRP'!B137,'ERPsCRPs&amp;Spreads'!$B$169:$I$189,7,FALSE),"NA")</f>
        <v>NA</v>
      </c>
      <c r="L137" s="100">
        <f t="shared" si="12"/>
        <v>2.4513234934595108E-2</v>
      </c>
    </row>
    <row r="138" spans="2:12" x14ac:dyDescent="0.25">
      <c r="B138" s="5" t="s">
        <v>124</v>
      </c>
      <c r="C138" s="6"/>
      <c r="D138" s="100" t="str">
        <f>IFERROR(VLOOKUP(B138,'ERPsCRPs&amp;Spreads'!$B$8:$K$164,10,FALSE),"NA")</f>
        <v>NA</v>
      </c>
      <c r="E138" s="100">
        <f>IFERROR(VLOOKUP(B138,'ERPsCRPs&amp;Spreads'!$B$8:$H$164,7,FALSE),"NA")</f>
        <v>4.4808765618619004E-2</v>
      </c>
      <c r="F138" s="100" t="str">
        <f>IFERROR(VLOOKUP(B138,'ERPsCRPs&amp;Spreads'!$B$169:$I$189,8,FALSE),"NA")</f>
        <v>NA</v>
      </c>
      <c r="G138" s="100">
        <f t="shared" si="13"/>
        <v>4.4808765618619004E-2</v>
      </c>
      <c r="H138" s="24"/>
      <c r="I138" s="100" t="str">
        <f>IFERROR(VLOOKUP(B138,'ERPsCRPs&amp;Spreads'!$B$8:$K$164,9,FALSE),"NA")</f>
        <v>NA</v>
      </c>
      <c r="J138" s="100">
        <f>IFERROR(VLOOKUP(B138,'ERPsCRPs&amp;Spreads'!$B$8:$K$164,6,FALSE),"NA")</f>
        <v>1.4795639110491083E-2</v>
      </c>
      <c r="K138" s="100" t="str">
        <f>IFERROR(VLOOKUP('CtryERP&amp;CRP'!B138,'ERPsCRPs&amp;Spreads'!$B$169:$I$189,7,FALSE),"NA")</f>
        <v>NA</v>
      </c>
      <c r="L138" s="100">
        <f t="shared" si="12"/>
        <v>1.4795639110491083E-2</v>
      </c>
    </row>
    <row r="139" spans="2:12" x14ac:dyDescent="0.25">
      <c r="B139" s="5" t="s">
        <v>131</v>
      </c>
      <c r="C139" s="6"/>
      <c r="D139" s="100" t="str">
        <f>IFERROR(VLOOKUP(B139,'ERPsCRPs&amp;Spreads'!$B$8:$K$164,10,FALSE),"NA")</f>
        <v>NA</v>
      </c>
      <c r="E139" s="100">
        <f>IFERROR(VLOOKUP(B139,'ERPsCRPs&amp;Spreads'!$B$8:$H$164,7,FALSE),"NA")</f>
        <v>3.0013126508127919E-2</v>
      </c>
      <c r="F139" s="100" t="str">
        <f>IFERROR(VLOOKUP(B139,'ERPsCRPs&amp;Spreads'!$B$169:$I$189,8,FALSE),"NA")</f>
        <v>NA</v>
      </c>
      <c r="G139" s="100">
        <f t="shared" si="13"/>
        <v>3.0013126508127919E-2</v>
      </c>
      <c r="H139" s="24"/>
      <c r="I139" s="100" t="str">
        <f>IFERROR(VLOOKUP(B139,'ERPsCRPs&amp;Spreads'!$B$8:$K$164,9,FALSE),"NA")</f>
        <v>NA</v>
      </c>
      <c r="J139" s="100">
        <f>IFERROR(VLOOKUP(B139,'ERPsCRPs&amp;Spreads'!$B$8:$K$164,6,FALSE),"NA")</f>
        <v>0</v>
      </c>
      <c r="K139" s="100" t="str">
        <f>IFERROR(VLOOKUP('CtryERP&amp;CRP'!B139,'ERPsCRPs&amp;Spreads'!$B$169:$I$189,7,FALSE),"NA")</f>
        <v>NA</v>
      </c>
      <c r="L139" s="100">
        <f t="shared" si="12"/>
        <v>0</v>
      </c>
    </row>
    <row r="140" spans="2:12" x14ac:dyDescent="0.25">
      <c r="B140" s="5" t="s">
        <v>136</v>
      </c>
      <c r="C140" s="6"/>
      <c r="D140" s="100" t="str">
        <f>IFERROR(VLOOKUP(B140,'ERPsCRPs&amp;Spreads'!$B$8:$K$164,10,FALSE),"NA")</f>
        <v>NA</v>
      </c>
      <c r="E140" s="100">
        <f>IFERROR(VLOOKUP(B140,'ERPsCRPs&amp;Spreads'!$B$8:$H$164,7,FALSE),"NA")</f>
        <v>3.0013126508127919E-2</v>
      </c>
      <c r="F140" s="100" t="str">
        <f>IFERROR(VLOOKUP(B140,'ERPsCRPs&amp;Spreads'!$B$169:$I$189,8,FALSE),"NA")</f>
        <v>NA</v>
      </c>
      <c r="G140" s="100">
        <f t="shared" si="13"/>
        <v>3.0013126508127919E-2</v>
      </c>
      <c r="H140" s="24"/>
      <c r="I140" s="100" t="str">
        <f>IFERROR(VLOOKUP(B140,'ERPsCRPs&amp;Spreads'!$B$8:$K$164,9,FALSE),"NA")</f>
        <v>NA</v>
      </c>
      <c r="J140" s="100">
        <f>IFERROR(VLOOKUP(B140,'ERPsCRPs&amp;Spreads'!$B$8:$K$164,6,FALSE),"NA")</f>
        <v>0</v>
      </c>
      <c r="K140" s="100" t="str">
        <f>IFERROR(VLOOKUP('CtryERP&amp;CRP'!B140,'ERPsCRPs&amp;Spreads'!$B$169:$I$189,7,FALSE),"NA")</f>
        <v>NA</v>
      </c>
      <c r="L140" s="100">
        <f t="shared" si="12"/>
        <v>0</v>
      </c>
    </row>
    <row r="141" spans="2:12" x14ac:dyDescent="0.25">
      <c r="B141" s="5" t="s">
        <v>141</v>
      </c>
      <c r="C141" s="6"/>
      <c r="D141" s="100" t="str">
        <f>IFERROR(VLOOKUP(B141,'ERPsCRPs&amp;Spreads'!$B$8:$K$164,10,FALSE),"NA")</f>
        <v>NA</v>
      </c>
      <c r="E141" s="100">
        <f>IFERROR(VLOOKUP(B141,'ERPsCRPs&amp;Spreads'!$B$8:$H$164,7,FALSE),"NA")</f>
        <v>5.537707926896978E-2</v>
      </c>
      <c r="F141" s="100" t="str">
        <f>IFERROR(VLOOKUP(B141,'ERPsCRPs&amp;Spreads'!$B$169:$I$189,8,FALSE),"NA")</f>
        <v>NA</v>
      </c>
      <c r="G141" s="100">
        <f t="shared" si="13"/>
        <v>5.537707926896978E-2</v>
      </c>
      <c r="H141" s="24"/>
      <c r="I141" s="100" t="str">
        <f>IFERROR(VLOOKUP(B141,'ERPsCRPs&amp;Spreads'!$B$8:$K$164,9,FALSE),"NA")</f>
        <v>NA</v>
      </c>
      <c r="J141" s="100">
        <f>IFERROR(VLOOKUP(B141,'ERPsCRPs&amp;Spreads'!$B$8:$K$164,6,FALSE),"NA")</f>
        <v>2.536395276084186E-2</v>
      </c>
      <c r="K141" s="100" t="str">
        <f>IFERROR(VLOOKUP('CtryERP&amp;CRP'!B141,'ERPsCRPs&amp;Spreads'!$B$169:$I$189,7,FALSE),"NA")</f>
        <v>NA</v>
      </c>
      <c r="L141" s="100">
        <f t="shared" si="12"/>
        <v>2.536395276084186E-2</v>
      </c>
    </row>
    <row r="142" spans="2:12" x14ac:dyDescent="0.25">
      <c r="B142" s="5" t="s">
        <v>146</v>
      </c>
      <c r="C142" s="6"/>
      <c r="D142" s="100">
        <f>IFERROR(VLOOKUP(B142,'ERPsCRPs&amp;Spreads'!$B$8:$K$164,10,FALSE),"NA")</f>
        <v>3.2434186748581756E-2</v>
      </c>
      <c r="E142" s="100">
        <f>IFERROR(VLOOKUP(B142,'ERPsCRPs&amp;Spreads'!$B$8:$H$164,7,FALSE),"NA")</f>
        <v>3.0013126508127919E-2</v>
      </c>
      <c r="F142" s="100" t="str">
        <f>IFERROR(VLOOKUP(B142,'ERPsCRPs&amp;Spreads'!$B$169:$I$189,8,FALSE),"NA")</f>
        <v>NA</v>
      </c>
      <c r="G142" s="100">
        <f t="shared" si="13"/>
        <v>3.2434186748581756E-2</v>
      </c>
      <c r="H142" s="24"/>
      <c r="I142" s="100">
        <f>IFERROR(VLOOKUP(B142,'ERPsCRPs&amp;Spreads'!$B$8:$K$164,9,FALSE),"NA")</f>
        <v>2.4210602404538388E-3</v>
      </c>
      <c r="J142" s="100">
        <f>IFERROR(VLOOKUP(B142,'ERPsCRPs&amp;Spreads'!$B$8:$K$164,6,FALSE),"NA")</f>
        <v>0</v>
      </c>
      <c r="K142" s="100" t="str">
        <f>IFERROR(VLOOKUP('CtryERP&amp;CRP'!B142,'ERPsCRPs&amp;Spreads'!$B$169:$I$189,7,FALSE),"NA")</f>
        <v>NA</v>
      </c>
      <c r="L142" s="100">
        <f t="shared" si="12"/>
        <v>2.4210602404538388E-3</v>
      </c>
    </row>
    <row r="143" spans="2:12" x14ac:dyDescent="0.25">
      <c r="B143" s="5" t="s">
        <v>151</v>
      </c>
      <c r="C143" s="6"/>
      <c r="D143" s="100">
        <f>IFERROR(VLOOKUP(B143,'ERPsCRPs&amp;Spreads'!$B$8:$K$164,10,FALSE),"NA")</f>
        <v>3.1526289158411568E-2</v>
      </c>
      <c r="E143" s="100">
        <f>IFERROR(VLOOKUP(B143,'ERPsCRPs&amp;Spreads'!$B$8:$H$164,7,FALSE),"NA")</f>
        <v>3.0013126508127919E-2</v>
      </c>
      <c r="F143" s="100" t="str">
        <f>IFERROR(VLOOKUP(B143,'ERPsCRPs&amp;Spreads'!$B$169:$I$189,8,FALSE),"NA")</f>
        <v>NA</v>
      </c>
      <c r="G143" s="100">
        <f t="shared" si="13"/>
        <v>3.1526289158411568E-2</v>
      </c>
      <c r="H143" s="24"/>
      <c r="I143" s="100">
        <f>IFERROR(VLOOKUP(B143,'ERPsCRPs&amp;Spreads'!$B$8:$K$164,9,FALSE),"NA")</f>
        <v>1.5131626502836496E-3</v>
      </c>
      <c r="J143" s="100">
        <f>IFERROR(VLOOKUP(B143,'ERPsCRPs&amp;Spreads'!$B$8:$K$164,6,FALSE),"NA")</f>
        <v>0</v>
      </c>
      <c r="K143" s="100" t="str">
        <f>IFERROR(VLOOKUP('CtryERP&amp;CRP'!B143,'ERPsCRPs&amp;Spreads'!$B$169:$I$189,7,FALSE),"NA")</f>
        <v>NA</v>
      </c>
      <c r="L143" s="100">
        <f t="shared" si="12"/>
        <v>1.5131626502836496E-3</v>
      </c>
    </row>
    <row r="144" spans="2:12" x14ac:dyDescent="0.25">
      <c r="B144" s="5" t="s">
        <v>156</v>
      </c>
      <c r="C144" s="6"/>
      <c r="D144" s="100">
        <f>IFERROR(VLOOKUP(B144,'ERPsCRPs&amp;Spreads'!$B$8:$K$164,10,FALSE),"NA")</f>
        <v>4.1513162650283653E-2</v>
      </c>
      <c r="E144" s="100">
        <f>IFERROR(VLOOKUP(B144,'ERPsCRPs&amp;Spreads'!$B$8:$H$164,7,FALSE),"NA")</f>
        <v>6.5945392919320556E-2</v>
      </c>
      <c r="F144" s="100" t="str">
        <f>IFERROR(VLOOKUP(B144,'ERPsCRPs&amp;Spreads'!$B$169:$I$189,8,FALSE),"NA")</f>
        <v>NA</v>
      </c>
      <c r="G144" s="100">
        <f t="shared" si="13"/>
        <v>4.1513162650283653E-2</v>
      </c>
      <c r="H144" s="24"/>
      <c r="I144" s="100">
        <f>IFERROR(VLOOKUP(B144,'ERPsCRPs&amp;Spreads'!$B$8:$K$164,9,FALSE),"NA")</f>
        <v>1.150003614215573E-2</v>
      </c>
      <c r="J144" s="100">
        <f>IFERROR(VLOOKUP(B144,'ERPsCRPs&amp;Spreads'!$B$8:$K$164,6,FALSE),"NA")</f>
        <v>3.5932266411192633E-2</v>
      </c>
      <c r="K144" s="100" t="str">
        <f>IFERROR(VLOOKUP('CtryERP&amp;CRP'!B144,'ERPsCRPs&amp;Spreads'!$B$169:$I$189,7,FALSE),"NA")</f>
        <v>NA</v>
      </c>
      <c r="L144" s="100">
        <f t="shared" si="12"/>
        <v>1.150003614215573E-2</v>
      </c>
    </row>
    <row r="145" spans="2:12" x14ac:dyDescent="0.25">
      <c r="B145" s="5" t="s">
        <v>159</v>
      </c>
      <c r="C145" s="6"/>
      <c r="D145" s="100">
        <f>IFERROR(VLOOKUP(B145,'ERPsCRPs&amp;Spreads'!$B$8:$K$164,10,FALSE),"NA")</f>
        <v>4.4236855420794217E-2</v>
      </c>
      <c r="E145" s="100">
        <f>IFERROR(VLOOKUP(B145,'ERPsCRPs&amp;Spreads'!$B$8:$H$164,7,FALSE),"NA")</f>
        <v>7.792281505638475E-2</v>
      </c>
      <c r="F145" s="100" t="str">
        <f>IFERROR(VLOOKUP(B145,'ERPsCRPs&amp;Spreads'!$B$169:$I$189,8,FALSE),"NA")</f>
        <v>NA</v>
      </c>
      <c r="G145" s="100">
        <f t="shared" si="13"/>
        <v>4.4236855420794217E-2</v>
      </c>
      <c r="H145" s="24"/>
      <c r="I145" s="100">
        <f>IFERROR(VLOOKUP(B145,'ERPsCRPs&amp;Spreads'!$B$8:$K$164,9,FALSE),"NA")</f>
        <v>1.42237289126663E-2</v>
      </c>
      <c r="J145" s="100">
        <f>IFERROR(VLOOKUP(B145,'ERPsCRPs&amp;Spreads'!$B$8:$K$164,6,FALSE),"NA")</f>
        <v>4.7909688548256828E-2</v>
      </c>
      <c r="K145" s="100" t="str">
        <f>IFERROR(VLOOKUP('CtryERP&amp;CRP'!B145,'ERPsCRPs&amp;Spreads'!$B$169:$I$189,7,FALSE),"NA")</f>
        <v>NA</v>
      </c>
      <c r="L145" s="100">
        <f t="shared" si="12"/>
        <v>1.42237289126663E-2</v>
      </c>
    </row>
    <row r="146" spans="2:12" x14ac:dyDescent="0.25">
      <c r="B146" s="5" t="s">
        <v>163</v>
      </c>
      <c r="C146" s="6"/>
      <c r="D146" s="100">
        <f>IFERROR(VLOOKUP(B146,'ERPsCRPs&amp;Spreads'!$B$8:$K$164,10,FALSE),"NA")</f>
        <v>3.2434186748581756E-2</v>
      </c>
      <c r="E146" s="100">
        <f>IFERROR(VLOOKUP(B146,'ERPsCRPs&amp;Spreads'!$B$8:$H$164,7,FALSE),"NA")</f>
        <v>3.0013126508127919E-2</v>
      </c>
      <c r="F146" s="100" t="str">
        <f>IFERROR(VLOOKUP(B146,'ERPsCRPs&amp;Spreads'!$B$169:$I$189,8,FALSE),"NA")</f>
        <v>NA</v>
      </c>
      <c r="G146" s="100">
        <f t="shared" si="13"/>
        <v>3.2434186748581756E-2</v>
      </c>
      <c r="H146" s="24"/>
      <c r="I146" s="100">
        <f>IFERROR(VLOOKUP(B146,'ERPsCRPs&amp;Spreads'!$B$8:$K$164,9,FALSE),"NA")</f>
        <v>2.4210602404538388E-3</v>
      </c>
      <c r="J146" s="100">
        <f>IFERROR(VLOOKUP(B146,'ERPsCRPs&amp;Spreads'!$B$8:$K$164,6,FALSE),"NA")</f>
        <v>0</v>
      </c>
      <c r="K146" s="100" t="str">
        <f>IFERROR(VLOOKUP('CtryERP&amp;CRP'!B146,'ERPsCRPs&amp;Spreads'!$B$169:$I$189,7,FALSE),"NA")</f>
        <v>NA</v>
      </c>
      <c r="L146" s="100">
        <f t="shared" si="12"/>
        <v>2.4210602404538388E-3</v>
      </c>
    </row>
    <row r="147" spans="2:12" x14ac:dyDescent="0.25">
      <c r="B147" s="5" t="s">
        <v>167</v>
      </c>
      <c r="C147" s="6"/>
      <c r="D147" s="100">
        <f>IFERROR(VLOOKUP(B147,'ERPsCRPs&amp;Spreads'!$B$8:$K$164,10,FALSE),"NA")</f>
        <v>3.0013126508127919E-2</v>
      </c>
      <c r="E147" s="100">
        <f>IFERROR(VLOOKUP(B147,'ERPsCRPs&amp;Spreads'!$B$8:$H$164,7,FALSE),"NA")</f>
        <v>3.0013126508127919E-2</v>
      </c>
      <c r="F147" s="100" t="str">
        <f>IFERROR(VLOOKUP(B147,'ERPsCRPs&amp;Spreads'!$B$169:$I$189,8,FALSE),"NA")</f>
        <v>NA</v>
      </c>
      <c r="G147" s="100">
        <f t="shared" si="13"/>
        <v>3.0013126508127919E-2</v>
      </c>
      <c r="H147" s="24"/>
      <c r="I147" s="100">
        <f>IFERROR(VLOOKUP(B147,'ERPsCRPs&amp;Spreads'!$B$8:$K$164,9,FALSE),"NA")</f>
        <v>0</v>
      </c>
      <c r="J147" s="100">
        <f>IFERROR(VLOOKUP(B147,'ERPsCRPs&amp;Spreads'!$B$8:$K$164,6,FALSE),"NA")</f>
        <v>0</v>
      </c>
      <c r="K147" s="100" t="str">
        <f>IFERROR(VLOOKUP('CtryERP&amp;CRP'!B147,'ERPsCRPs&amp;Spreads'!$B$169:$I$189,7,FALSE),"NA")</f>
        <v>NA</v>
      </c>
      <c r="L147" s="100">
        <f t="shared" si="12"/>
        <v>0</v>
      </c>
    </row>
    <row r="148" spans="2:12" x14ac:dyDescent="0.25">
      <c r="B148" s="5" t="s">
        <v>171</v>
      </c>
      <c r="C148" s="6"/>
      <c r="D148" s="100">
        <f>IFERROR(VLOOKUP(B148,'ERPsCRPs&amp;Spreads'!$B$8:$K$164,10,FALSE),"NA")</f>
        <v>0.13986873491872082</v>
      </c>
      <c r="E148" s="100">
        <f>IFERROR(VLOOKUP(B148,'ERPsCRPs&amp;Spreads'!$B$8:$H$164,7,FALSE),"NA")</f>
        <v>0.16493526411093945</v>
      </c>
      <c r="F148" s="100" t="str">
        <f>IFERROR(VLOOKUP(B148,'ERPsCRPs&amp;Spreads'!$B$169:$I$189,8,FALSE),"NA")</f>
        <v>NA</v>
      </c>
      <c r="G148" s="100">
        <f t="shared" si="13"/>
        <v>0.13986873491872082</v>
      </c>
      <c r="H148" s="24"/>
      <c r="I148" s="100">
        <f>IFERROR(VLOOKUP(B148,'ERPsCRPs&amp;Spreads'!$B$8:$K$164,9,FALSE),"NA")</f>
        <v>0.1098556084105929</v>
      </c>
      <c r="J148" s="100">
        <f>IFERROR(VLOOKUP(B148,'ERPsCRPs&amp;Spreads'!$B$8:$K$164,6,FALSE),"NA")</f>
        <v>0.13492213760281152</v>
      </c>
      <c r="K148" s="100" t="str">
        <f>IFERROR(VLOOKUP('CtryERP&amp;CRP'!B148,'ERPsCRPs&amp;Spreads'!$B$169:$I$189,7,FALSE),"NA")</f>
        <v>NA</v>
      </c>
      <c r="L148" s="100">
        <f t="shared" si="12"/>
        <v>0.1098556084105929</v>
      </c>
    </row>
    <row r="149" spans="2:12" x14ac:dyDescent="0.25">
      <c r="B149" s="5" t="s">
        <v>175</v>
      </c>
      <c r="C149" s="6"/>
      <c r="D149" s="100">
        <f>IFERROR(VLOOKUP(B149,'ERPsCRPs&amp;Spreads'!$B$8:$K$164,10,FALSE),"NA")</f>
        <v>3.6065777109262516E-2</v>
      </c>
      <c r="E149" s="100">
        <f>IFERROR(VLOOKUP(B149,'ERPsCRPs&amp;Spreads'!$B$8:$H$164,7,FALSE),"NA")</f>
        <v>4.7979259713724236E-2</v>
      </c>
      <c r="F149" s="100" t="str">
        <f>IFERROR(VLOOKUP(B149,'ERPsCRPs&amp;Spreads'!$B$169:$I$189,8,FALSE),"NA")</f>
        <v>NA</v>
      </c>
      <c r="G149" s="100">
        <f t="shared" si="13"/>
        <v>3.6065777109262516E-2</v>
      </c>
      <c r="H149" s="24"/>
      <c r="I149" s="100">
        <f>IFERROR(VLOOKUP(B149,'ERPsCRPs&amp;Spreads'!$B$8:$K$164,9,FALSE),"NA")</f>
        <v>6.0526506011345958E-3</v>
      </c>
      <c r="J149" s="100">
        <f>IFERROR(VLOOKUP(B149,'ERPsCRPs&amp;Spreads'!$B$8:$K$164,6,FALSE),"NA")</f>
        <v>1.7966133205596316E-2</v>
      </c>
      <c r="K149" s="100" t="str">
        <f>IFERROR(VLOOKUP('CtryERP&amp;CRP'!B149,'ERPsCRPs&amp;Spreads'!$B$169:$I$189,7,FALSE),"NA")</f>
        <v>NA</v>
      </c>
      <c r="L149" s="100">
        <f t="shared" si="12"/>
        <v>6.0526506011345958E-3</v>
      </c>
    </row>
    <row r="151" spans="2:12" ht="15.75" x14ac:dyDescent="0.25">
      <c r="B151" s="92" t="s">
        <v>13</v>
      </c>
      <c r="C151" s="91"/>
      <c r="D151" s="91" t="s">
        <v>1592</v>
      </c>
      <c r="E151" s="91" t="s">
        <v>1593</v>
      </c>
      <c r="F151" s="91" t="s">
        <v>1591</v>
      </c>
      <c r="G151" s="91" t="s">
        <v>1594</v>
      </c>
      <c r="H151" s="93"/>
      <c r="I151" s="91" t="s">
        <v>1595</v>
      </c>
      <c r="J151" s="91" t="s">
        <v>1596</v>
      </c>
      <c r="K151" s="91" t="s">
        <v>1597</v>
      </c>
      <c r="L151" s="91" t="s">
        <v>1598</v>
      </c>
    </row>
    <row r="152" spans="2:12" x14ac:dyDescent="0.25">
      <c r="B152" s="5" t="s">
        <v>22</v>
      </c>
      <c r="C152" s="6"/>
      <c r="D152" s="100">
        <f>IFERROR(VLOOKUP(B152,'ERPsCRPs&amp;Spreads'!$B$8:$K$164,10,FALSE),"NA")</f>
        <v>3.6065777109262516E-2</v>
      </c>
      <c r="E152" s="100">
        <f>IFERROR(VLOOKUP(B152,'ERPsCRPs&amp;Spreads'!$B$8:$H$164,7,FALSE),"NA")</f>
        <v>3.0013126508127919E-2</v>
      </c>
      <c r="F152" s="100" t="str">
        <f>IFERROR(VLOOKUP(B152,'ERPsCRPs&amp;Spreads'!$B$169:$I$189,8,FALSE),"NA")</f>
        <v>NA</v>
      </c>
      <c r="G152" s="100">
        <f t="shared" ref="G152:G153" si="14">IF(D152&lt;&gt;"NA",D152,IF(E152&lt;&gt;"NA",E152,F152))</f>
        <v>3.6065777109262516E-2</v>
      </c>
      <c r="H152" s="24"/>
      <c r="I152" s="100">
        <f>IFERROR(VLOOKUP(B152,'ERPsCRPs&amp;Spreads'!$B$8:$K$164,9,FALSE),"NA")</f>
        <v>6.0526506011345958E-3</v>
      </c>
      <c r="J152" s="100">
        <f>IFERROR(VLOOKUP(B152,'ERPsCRPs&amp;Spreads'!$B$8:$K$164,6,FALSE),"NA")</f>
        <v>0</v>
      </c>
      <c r="K152" s="100" t="str">
        <f>IFERROR(VLOOKUP('CtryERP&amp;CRP'!B152,'ERPsCRPs&amp;Spreads'!$B$169:$I$189,7,FALSE),"NA")</f>
        <v>NA</v>
      </c>
      <c r="L152" s="100">
        <f t="shared" ref="L152:L153" si="15">IF(I152&lt;&gt;"NA",I152,IF(J152&lt;&gt;"NA",J152,K152))</f>
        <v>6.0526506011345958E-3</v>
      </c>
    </row>
    <row r="153" spans="2:12" x14ac:dyDescent="0.25">
      <c r="B153" s="95" t="s">
        <v>31</v>
      </c>
      <c r="C153" s="6"/>
      <c r="D153" s="100">
        <f>IFERROR(VLOOKUP(B153,'ERPsCRPs&amp;Spreads'!$B$8:$K$164,10,FALSE),"NA")</f>
        <v>0.04</v>
      </c>
      <c r="E153" s="100">
        <f>IFERROR(VLOOKUP(B153,'ERPsCRPs&amp;Spreads'!$B$8:$H$164,7,FALSE),"NA")</f>
        <v>4.1990548645192124E-2</v>
      </c>
      <c r="F153" s="100" t="str">
        <f>IFERROR(VLOOKUP(B153,'ERPsCRPs&amp;Spreads'!$B$169:$I$189,8,FALSE),"NA")</f>
        <v>NA</v>
      </c>
      <c r="G153" s="100">
        <f t="shared" si="14"/>
        <v>0.04</v>
      </c>
      <c r="H153" s="24"/>
      <c r="I153" s="100">
        <f>IFERROR(VLOOKUP(B153,'ERPsCRPs&amp;Spreads'!$B$8:$K$164,9,FALSE),"NA")</f>
        <v>9.9868734918720815E-3</v>
      </c>
      <c r="J153" s="100">
        <f>IFERROR(VLOOKUP(B153,'ERPsCRPs&amp;Spreads'!$B$8:$K$164,6,FALSE),"NA")</f>
        <v>1.1977422137064207E-2</v>
      </c>
      <c r="K153" s="100" t="str">
        <f>IFERROR(VLOOKUP('CtryERP&amp;CRP'!B153,'ERPsCRPs&amp;Spreads'!$B$169:$I$189,7,FALSE),"NA")</f>
        <v>NA</v>
      </c>
      <c r="L153" s="100">
        <f t="shared" si="15"/>
        <v>9.9868734918720815E-3</v>
      </c>
    </row>
    <row r="155" spans="2:12" ht="15.75" x14ac:dyDescent="0.25">
      <c r="B155" s="92" t="s">
        <v>15</v>
      </c>
      <c r="C155" s="91"/>
      <c r="D155" s="91" t="s">
        <v>1592</v>
      </c>
      <c r="E155" s="91" t="s">
        <v>1593</v>
      </c>
      <c r="F155" s="91" t="s">
        <v>1591</v>
      </c>
      <c r="G155" s="91" t="s">
        <v>1594</v>
      </c>
      <c r="H155" s="93"/>
      <c r="I155" s="91" t="s">
        <v>1595</v>
      </c>
      <c r="J155" s="91" t="s">
        <v>1596</v>
      </c>
      <c r="K155" s="91" t="s">
        <v>1597</v>
      </c>
      <c r="L155" s="91" t="s">
        <v>1598</v>
      </c>
    </row>
    <row r="156" spans="2:12" x14ac:dyDescent="0.25">
      <c r="B156" s="5" t="s">
        <v>24</v>
      </c>
      <c r="C156" s="6"/>
      <c r="D156" s="100">
        <f>IFERROR(VLOOKUP(B156,'ERPsCRPs&amp;Spreads'!$B$8:$K$164,10,FALSE),"NA")</f>
        <v>0.27817180115464635</v>
      </c>
      <c r="E156" s="100">
        <f>IFERROR(VLOOKUP(B156,'ERPsCRPs&amp;Spreads'!$B$8:$H$164,7,FALSE),"NA")</f>
        <v>0.38968806774173265</v>
      </c>
      <c r="F156" s="100" t="str">
        <f>IFERROR(VLOOKUP(B156,'ERPsCRPs&amp;Spreads'!$B$169:$I$189,8,FALSE),"NA")</f>
        <v>NA</v>
      </c>
      <c r="G156" s="100">
        <f t="shared" ref="G156" si="16">IF(D156&lt;&gt;"NA",D156,IF(E156&lt;&gt;"NA",E156,F156))</f>
        <v>0.27817180115464635</v>
      </c>
      <c r="H156" s="24"/>
      <c r="I156" s="100">
        <f>IFERROR(VLOOKUP(B156,'ERPsCRPs&amp;Spreads'!$B$8:$K$164,9,FALSE),"NA")</f>
        <v>0.24815867464651842</v>
      </c>
      <c r="J156" s="100">
        <f>IFERROR(VLOOKUP(B156,'ERPsCRPs&amp;Spreads'!$B$8:$K$164,6,FALSE),"NA")</f>
        <v>0.35967494123360472</v>
      </c>
      <c r="K156" s="100" t="str">
        <f>IFERROR(VLOOKUP('CtryERP&amp;CRP'!B156,'ERPsCRPs&amp;Spreads'!$B$169:$I$189,7,FALSE),"NA")</f>
        <v>NA</v>
      </c>
      <c r="L156" s="100">
        <f t="shared" ref="L156" si="17">IF(I156&lt;&gt;"NA",I156,IF(J156&lt;&gt;"NA",J156,K156))</f>
        <v>0.24815867464651842</v>
      </c>
    </row>
    <row r="157" spans="2:12" x14ac:dyDescent="0.25">
      <c r="B157" s="5" t="s">
        <v>33</v>
      </c>
      <c r="C157" s="6"/>
      <c r="D157" s="100" t="str">
        <f>IFERROR(VLOOKUP(B157,'ERPsCRPs&amp;Spreads'!$B$8:$K$164,10,FALSE),"NA")</f>
        <v>NA</v>
      </c>
      <c r="E157" s="100">
        <f>IFERROR(VLOOKUP(B157,'ERPsCRPs&amp;Spreads'!$B$8:$H$164,7,FALSE),"NA")</f>
        <v>0.25476593013892102</v>
      </c>
      <c r="F157" s="100" t="str">
        <f>IFERROR(VLOOKUP(B157,'ERPsCRPs&amp;Spreads'!$B$169:$I$189,8,FALSE),"NA")</f>
        <v>NA</v>
      </c>
      <c r="G157" s="100">
        <f t="shared" ref="G157:G175" si="18">IF(D157&lt;&gt;"NA",D157,IF(E157&lt;&gt;"NA",E157,F157))</f>
        <v>0.25476593013892102</v>
      </c>
      <c r="H157" s="24"/>
      <c r="I157" s="100" t="str">
        <f>IFERROR(VLOOKUP(B157,'ERPsCRPs&amp;Spreads'!$B$8:$K$164,9,FALSE),"NA")</f>
        <v>NA</v>
      </c>
      <c r="J157" s="100">
        <f>IFERROR(VLOOKUP(B157,'ERPsCRPs&amp;Spreads'!$B$8:$K$164,6,FALSE),"NA")</f>
        <v>0.22475280363079311</v>
      </c>
      <c r="K157" s="100" t="str">
        <f>IFERROR(VLOOKUP('CtryERP&amp;CRP'!B157,'ERPsCRPs&amp;Spreads'!$B$169:$I$189,7,FALSE),"NA")</f>
        <v>NA</v>
      </c>
      <c r="L157" s="100">
        <f t="shared" ref="L157:L175" si="19">IF(I157&lt;&gt;"NA",I157,IF(J157&lt;&gt;"NA",J157,K157))</f>
        <v>0.22475280363079311</v>
      </c>
    </row>
    <row r="158" spans="2:12" x14ac:dyDescent="0.25">
      <c r="B158" s="5" t="s">
        <v>41</v>
      </c>
      <c r="C158" s="6"/>
      <c r="D158" s="100" t="str">
        <f>IFERROR(VLOOKUP(B158,'ERPsCRPs&amp;Spreads'!$B$8:$K$164,10,FALSE),"NA")</f>
        <v>NA</v>
      </c>
      <c r="E158" s="100">
        <f>IFERROR(VLOOKUP(B158,'ERPsCRPs&amp;Spreads'!$B$8:$H$164,7,FALSE),"NA")</f>
        <v>0.3298009570564116</v>
      </c>
      <c r="F158" s="100" t="str">
        <f>IFERROR(VLOOKUP(B158,'ERPsCRPs&amp;Spreads'!$B$169:$I$189,8,FALSE),"NA")</f>
        <v>NA</v>
      </c>
      <c r="G158" s="100">
        <f t="shared" si="18"/>
        <v>0.3298009570564116</v>
      </c>
      <c r="H158" s="24"/>
      <c r="I158" s="100" t="str">
        <f>IFERROR(VLOOKUP(B158,'ERPsCRPs&amp;Spreads'!$B$8:$K$164,9,FALSE),"NA")</f>
        <v>NA</v>
      </c>
      <c r="J158" s="100">
        <f>IFERROR(VLOOKUP(B158,'ERPsCRPs&amp;Spreads'!$B$8:$K$164,6,FALSE),"NA")</f>
        <v>0.29978783054828367</v>
      </c>
      <c r="K158" s="100" t="str">
        <f>IFERROR(VLOOKUP('CtryERP&amp;CRP'!B158,'ERPsCRPs&amp;Spreads'!$B$169:$I$189,7,FALSE),"NA")</f>
        <v>NA</v>
      </c>
      <c r="L158" s="100">
        <f t="shared" si="19"/>
        <v>0.29978783054828367</v>
      </c>
    </row>
    <row r="159" spans="2:12" x14ac:dyDescent="0.25">
      <c r="B159" s="5" t="s">
        <v>49</v>
      </c>
      <c r="C159" s="6"/>
      <c r="D159" s="100">
        <f>IFERROR(VLOOKUP(B159,'ERPsCRPs&amp;Spreads'!$B$8:$K$164,10,FALSE),"NA")</f>
        <v>0.1020396686616296</v>
      </c>
      <c r="E159" s="100">
        <f>IFERROR(VLOOKUP(B159,'ERPsCRPs&amp;Spreads'!$B$8:$H$164,7,FALSE),"NA")</f>
        <v>0.10504815342561842</v>
      </c>
      <c r="F159" s="100" t="str">
        <f>IFERROR(VLOOKUP(B159,'ERPsCRPs&amp;Spreads'!$B$169:$I$189,8,FALSE),"NA")</f>
        <v>NA</v>
      </c>
      <c r="G159" s="100">
        <f t="shared" si="18"/>
        <v>0.1020396686616296</v>
      </c>
      <c r="H159" s="24"/>
      <c r="I159" s="100">
        <f>IFERROR(VLOOKUP(B159,'ERPsCRPs&amp;Spreads'!$B$8:$K$164,9,FALSE),"NA")</f>
        <v>7.2026542153501683E-2</v>
      </c>
      <c r="J159" s="100">
        <f>IFERROR(VLOOKUP(B159,'ERPsCRPs&amp;Spreads'!$B$8:$K$164,6,FALSE),"NA")</f>
        <v>7.5035026917490505E-2</v>
      </c>
      <c r="K159" s="100" t="str">
        <f>IFERROR(VLOOKUP('CtryERP&amp;CRP'!B159,'ERPsCRPs&amp;Spreads'!$B$169:$I$189,7,FALSE),"NA")</f>
        <v>NA</v>
      </c>
      <c r="L159" s="100">
        <f t="shared" si="19"/>
        <v>7.2026542153501683E-2</v>
      </c>
    </row>
    <row r="160" spans="2:12" x14ac:dyDescent="0.25">
      <c r="B160" s="5" t="s">
        <v>56</v>
      </c>
      <c r="C160" s="6"/>
      <c r="D160" s="100">
        <f>IFERROR(VLOOKUP(B160,'ERPsCRPs&amp;Spreads'!$B$8:$K$164,10,FALSE),"NA")</f>
        <v>5.6342156623063411E-2</v>
      </c>
      <c r="E160" s="100">
        <f>IFERROR(VLOOKUP(B160,'ERPsCRPs&amp;Spreads'!$B$8:$H$164,7,FALSE),"NA")</f>
        <v>5.537707926896978E-2</v>
      </c>
      <c r="F160" s="100" t="str">
        <f>IFERROR(VLOOKUP(B160,'ERPsCRPs&amp;Spreads'!$B$169:$I$189,8,FALSE),"NA")</f>
        <v>NA</v>
      </c>
      <c r="G160" s="100">
        <f t="shared" si="18"/>
        <v>5.6342156623063411E-2</v>
      </c>
      <c r="H160" s="24"/>
      <c r="I160" s="100">
        <f>IFERROR(VLOOKUP(B160,'ERPsCRPs&amp;Spreads'!$B$8:$K$164,9,FALSE),"NA")</f>
        <v>2.6329030114935488E-2</v>
      </c>
      <c r="J160" s="100">
        <f>IFERROR(VLOOKUP(B160,'ERPsCRPs&amp;Spreads'!$B$8:$K$164,6,FALSE),"NA")</f>
        <v>2.536395276084186E-2</v>
      </c>
      <c r="K160" s="100" t="str">
        <f>IFERROR(VLOOKUP('CtryERP&amp;CRP'!B160,'ERPsCRPs&amp;Spreads'!$B$169:$I$189,7,FALSE),"NA")</f>
        <v>NA</v>
      </c>
      <c r="L160" s="100">
        <f t="shared" si="19"/>
        <v>2.6329030114935488E-2</v>
      </c>
    </row>
    <row r="161" spans="2:12" x14ac:dyDescent="0.25">
      <c r="B161" s="5" t="s">
        <v>63</v>
      </c>
      <c r="C161" s="6"/>
      <c r="D161" s="100">
        <f>IFERROR(VLOOKUP(B161,'ERPsCRPs&amp;Spreads'!$B$8:$K$164,10,FALSE),"NA")</f>
        <v>0.13018449395690546</v>
      </c>
      <c r="E161" s="100">
        <f>IFERROR(VLOOKUP(B161,'ERPsCRPs&amp;Spreads'!$B$8:$H$164,7,FALSE),"NA")</f>
        <v>8.7082020220022108E-2</v>
      </c>
      <c r="F161" s="100" t="str">
        <f>IFERROR(VLOOKUP(B161,'ERPsCRPs&amp;Spreads'!$B$169:$I$189,8,FALSE),"NA")</f>
        <v>NA</v>
      </c>
      <c r="G161" s="100">
        <f t="shared" si="18"/>
        <v>0.13018449395690546</v>
      </c>
      <c r="H161" s="24"/>
      <c r="I161" s="100">
        <f>IFERROR(VLOOKUP(B161,'ERPsCRPs&amp;Spreads'!$B$8:$K$164,9,FALSE),"NA")</f>
        <v>0.10017136744877754</v>
      </c>
      <c r="J161" s="100">
        <f>IFERROR(VLOOKUP(B161,'ERPsCRPs&amp;Spreads'!$B$8:$K$164,6,FALSE),"NA")</f>
        <v>5.7068893711894185E-2</v>
      </c>
      <c r="K161" s="100" t="str">
        <f>IFERROR(VLOOKUP('CtryERP&amp;CRP'!B161,'ERPsCRPs&amp;Spreads'!$B$169:$I$189,7,FALSE),"NA")</f>
        <v>NA</v>
      </c>
      <c r="L161" s="100">
        <f t="shared" si="19"/>
        <v>0.10017136744877754</v>
      </c>
    </row>
    <row r="162" spans="2:12" x14ac:dyDescent="0.25">
      <c r="B162" s="5" t="s">
        <v>70</v>
      </c>
      <c r="C162" s="6"/>
      <c r="D162" s="100">
        <f>IFERROR(VLOOKUP(B162,'ERPsCRPs&amp;Spreads'!$B$8:$K$164,10,FALSE),"NA")</f>
        <v>0.10052650601134595</v>
      </c>
      <c r="E162" s="100">
        <f>IFERROR(VLOOKUP(B162,'ERPsCRPs&amp;Spreads'!$B$8:$H$164,7,FALSE),"NA")</f>
        <v>0.13780992574170581</v>
      </c>
      <c r="F162" s="100" t="str">
        <f>IFERROR(VLOOKUP(B162,'ERPsCRPs&amp;Spreads'!$B$169:$I$189,8,FALSE),"NA")</f>
        <v>NA</v>
      </c>
      <c r="G162" s="100">
        <f t="shared" si="18"/>
        <v>0.10052650601134595</v>
      </c>
      <c r="H162" s="24"/>
      <c r="I162" s="100">
        <f>IFERROR(VLOOKUP(B162,'ERPsCRPs&amp;Spreads'!$B$8:$K$164,9,FALSE),"NA")</f>
        <v>7.0513379503218038E-2</v>
      </c>
      <c r="J162" s="100">
        <f>IFERROR(VLOOKUP(B162,'ERPsCRPs&amp;Spreads'!$B$8:$K$164,6,FALSE),"NA")</f>
        <v>0.10779679923357789</v>
      </c>
      <c r="K162" s="100" t="str">
        <f>IFERROR(VLOOKUP('CtryERP&amp;CRP'!B162,'ERPsCRPs&amp;Spreads'!$B$169:$I$189,7,FALSE),"NA")</f>
        <v>NA</v>
      </c>
      <c r="L162" s="100">
        <f t="shared" si="19"/>
        <v>7.0513379503218038E-2</v>
      </c>
    </row>
    <row r="163" spans="2:12" x14ac:dyDescent="0.25">
      <c r="B163" s="5" t="s">
        <v>77</v>
      </c>
      <c r="C163" s="6"/>
      <c r="D163" s="100">
        <f>IFERROR(VLOOKUP(B163,'ERPsCRPs&amp;Spreads'!$B$8:$K$164,10,FALSE),"NA")</f>
        <v>0.40073797582762194</v>
      </c>
      <c r="E163" s="100">
        <f>IFERROR(VLOOKUP(B163,'ERPsCRPs&amp;Spreads'!$B$8:$H$164,7,FALSE),"NA")</f>
        <v>0.3298009570564116</v>
      </c>
      <c r="F163" s="100" t="str">
        <f>IFERROR(VLOOKUP(B163,'ERPsCRPs&amp;Spreads'!$B$169:$I$189,8,FALSE),"NA")</f>
        <v>NA</v>
      </c>
      <c r="G163" s="100">
        <f t="shared" si="18"/>
        <v>0.40073797582762194</v>
      </c>
      <c r="H163" s="24"/>
      <c r="I163" s="100">
        <f>IFERROR(VLOOKUP(B163,'ERPsCRPs&amp;Spreads'!$B$8:$K$164,9,FALSE),"NA")</f>
        <v>0.37072484931949401</v>
      </c>
      <c r="J163" s="100">
        <f>IFERROR(VLOOKUP(B163,'ERPsCRPs&amp;Spreads'!$B$8:$K$164,6,FALSE),"NA")</f>
        <v>0.29978783054828367</v>
      </c>
      <c r="K163" s="100" t="str">
        <f>IFERROR(VLOOKUP('CtryERP&amp;CRP'!B163,'ERPsCRPs&amp;Spreads'!$B$169:$I$189,7,FALSE),"NA")</f>
        <v>NA</v>
      </c>
      <c r="L163" s="100">
        <f t="shared" si="19"/>
        <v>0.37072484931949401</v>
      </c>
    </row>
    <row r="164" spans="2:12" x14ac:dyDescent="0.25">
      <c r="B164" s="5" t="s">
        <v>84</v>
      </c>
      <c r="C164" s="6"/>
      <c r="D164" s="100">
        <f>IFERROR(VLOOKUP(B164,'ERPsCRPs&amp;Spreads'!$B$8:$K$164,10,FALSE),"NA")</f>
        <v>0.16014511443252172</v>
      </c>
      <c r="E164" s="100">
        <f>IFERROR(VLOOKUP(B164,'ERPsCRPs&amp;Spreads'!$B$8:$H$164,7,FALSE),"NA")</f>
        <v>0.22482237479626049</v>
      </c>
      <c r="F164" s="100" t="str">
        <f>IFERROR(VLOOKUP(B164,'ERPsCRPs&amp;Spreads'!$B$169:$I$189,8,FALSE),"NA")</f>
        <v>NA</v>
      </c>
      <c r="G164" s="100">
        <f t="shared" si="18"/>
        <v>0.16014511443252172</v>
      </c>
      <c r="H164" s="24"/>
      <c r="I164" s="100">
        <f>IFERROR(VLOOKUP(B164,'ERPsCRPs&amp;Spreads'!$B$8:$K$164,9,FALSE),"NA")</f>
        <v>0.13013198792439379</v>
      </c>
      <c r="J164" s="100">
        <f>IFERROR(VLOOKUP(B164,'ERPsCRPs&amp;Spreads'!$B$8:$K$164,6,FALSE),"NA")</f>
        <v>0.19480924828813256</v>
      </c>
      <c r="K164" s="100" t="str">
        <f>IFERROR(VLOOKUP('CtryERP&amp;CRP'!B164,'ERPsCRPs&amp;Spreads'!$B$169:$I$189,7,FALSE),"NA")</f>
        <v>NA</v>
      </c>
      <c r="L164" s="100">
        <f t="shared" si="19"/>
        <v>0.13013198792439379</v>
      </c>
    </row>
    <row r="165" spans="2:12" x14ac:dyDescent="0.25">
      <c r="B165" s="5" t="s">
        <v>91</v>
      </c>
      <c r="C165" s="6"/>
      <c r="D165" s="100">
        <f>IFERROR(VLOOKUP(B165,'ERPsCRPs&amp;Spreads'!$B$8:$K$164,10,FALSE),"NA")</f>
        <v>9.1750162639700802E-2</v>
      </c>
      <c r="E165" s="100">
        <f>IFERROR(VLOOKUP(B165,'ERPsCRPs&amp;Spreads'!$B$8:$H$164,7,FALSE),"NA")</f>
        <v>0.10504815342561842</v>
      </c>
      <c r="F165" s="100" t="str">
        <f>IFERROR(VLOOKUP(B165,'ERPsCRPs&amp;Spreads'!$B$169:$I$189,8,FALSE),"NA")</f>
        <v>NA</v>
      </c>
      <c r="G165" s="100">
        <f t="shared" si="18"/>
        <v>9.1750162639700802E-2</v>
      </c>
      <c r="H165" s="24"/>
      <c r="I165" s="100">
        <f>IFERROR(VLOOKUP(B165,'ERPsCRPs&amp;Spreads'!$B$8:$K$164,9,FALSE),"NA")</f>
        <v>6.173703613157288E-2</v>
      </c>
      <c r="J165" s="100">
        <f>IFERROR(VLOOKUP(B165,'ERPsCRPs&amp;Spreads'!$B$8:$K$164,6,FALSE),"NA")</f>
        <v>7.5035026917490505E-2</v>
      </c>
      <c r="K165" s="100" t="str">
        <f>IFERROR(VLOOKUP('CtryERP&amp;CRP'!B165,'ERPsCRPs&amp;Spreads'!$B$169:$I$189,7,FALSE),"NA")</f>
        <v>NA</v>
      </c>
      <c r="L165" s="100">
        <f t="shared" si="19"/>
        <v>6.173703613157288E-2</v>
      </c>
    </row>
    <row r="166" spans="2:12" x14ac:dyDescent="0.25">
      <c r="B166" s="5" t="s">
        <v>98</v>
      </c>
      <c r="C166" s="6"/>
      <c r="D166" s="100" t="str">
        <f>IFERROR(VLOOKUP(B166,'ERPsCRPs&amp;Spreads'!$B$8:$K$164,10,FALSE),"NA")</f>
        <v>NA</v>
      </c>
      <c r="E166" s="100" t="str">
        <f>IFERROR(VLOOKUP(B166,'ERPsCRPs&amp;Spreads'!$B$8:$H$164,7,FALSE),"NA")</f>
        <v>NA</v>
      </c>
      <c r="F166" s="100">
        <f>IFERROR(VLOOKUP(B166,'ERPsCRPs&amp;Spreads'!$B$169:$I$189,8,FALSE),"NA")</f>
        <v>9.5888948261981077E-2</v>
      </c>
      <c r="G166" s="100">
        <f t="shared" si="18"/>
        <v>9.5888948261981077E-2</v>
      </c>
      <c r="H166" s="24"/>
      <c r="I166" s="100" t="str">
        <f>IFERROR(VLOOKUP(B166,'ERPsCRPs&amp;Spreads'!$B$8:$K$164,9,FALSE),"NA")</f>
        <v>NA</v>
      </c>
      <c r="J166" s="100" t="str">
        <f>IFERROR(VLOOKUP(B166,'ERPsCRPs&amp;Spreads'!$B$8:$K$164,6,FALSE),"NA")</f>
        <v>NA</v>
      </c>
      <c r="K166" s="100">
        <f>IFERROR(VLOOKUP('CtryERP&amp;CRP'!B166,'ERPsCRPs&amp;Spreads'!$B$169:$I$189,7,FALSE),"NA")</f>
        <v>6.5875821753853162E-2</v>
      </c>
      <c r="L166" s="100">
        <f t="shared" si="19"/>
        <v>6.5875821753853162E-2</v>
      </c>
    </row>
    <row r="167" spans="2:12" x14ac:dyDescent="0.25">
      <c r="B167" s="5" t="s">
        <v>105</v>
      </c>
      <c r="C167" s="6"/>
      <c r="D167" s="100" t="str">
        <f>IFERROR(VLOOKUP(B167,'ERPsCRPs&amp;Spreads'!$B$8:$K$164,10,FALSE),"NA")</f>
        <v>NA</v>
      </c>
      <c r="E167" s="100">
        <f>IFERROR(VLOOKUP(B167,'ERPsCRPs&amp;Spreads'!$B$8:$H$164,7,FALSE),"NA")</f>
        <v>0.16493526411093945</v>
      </c>
      <c r="F167" s="100" t="str">
        <f>IFERROR(VLOOKUP(B167,'ERPsCRPs&amp;Spreads'!$B$169:$I$189,8,FALSE),"NA")</f>
        <v>NA</v>
      </c>
      <c r="G167" s="100">
        <f t="shared" si="18"/>
        <v>0.16493526411093945</v>
      </c>
      <c r="H167" s="24"/>
      <c r="I167" s="100" t="str">
        <f>IFERROR(VLOOKUP(B167,'ERPsCRPs&amp;Spreads'!$B$8:$K$164,9,FALSE),"NA")</f>
        <v>NA</v>
      </c>
      <c r="J167" s="100">
        <f>IFERROR(VLOOKUP(B167,'ERPsCRPs&amp;Spreads'!$B$8:$K$164,6,FALSE),"NA")</f>
        <v>0.13492213760281152</v>
      </c>
      <c r="K167" s="100" t="str">
        <f>IFERROR(VLOOKUP('CtryERP&amp;CRP'!B167,'ERPsCRPs&amp;Spreads'!$B$169:$I$189,7,FALSE),"NA")</f>
        <v>NA</v>
      </c>
      <c r="L167" s="100">
        <f t="shared" si="19"/>
        <v>0.13492213760281152</v>
      </c>
    </row>
    <row r="168" spans="2:12" x14ac:dyDescent="0.25">
      <c r="B168" s="5" t="s">
        <v>112</v>
      </c>
      <c r="C168" s="6"/>
      <c r="D168" s="100">
        <f>IFERROR(VLOOKUP(B168,'ERPsCRPs&amp;Spreads'!$B$8:$K$164,10,FALSE),"NA")</f>
        <v>8.1158024087715247E-2</v>
      </c>
      <c r="E168" s="100">
        <f>IFERROR(VLOOKUP(B168,'ERPsCRPs&amp;Spreads'!$B$8:$H$164,7,FALSE),"NA")</f>
        <v>8.7082020220022108E-2</v>
      </c>
      <c r="F168" s="100" t="str">
        <f>IFERROR(VLOOKUP(B168,'ERPsCRPs&amp;Spreads'!$B$169:$I$189,8,FALSE),"NA")</f>
        <v>NA</v>
      </c>
      <c r="G168" s="100">
        <f t="shared" si="18"/>
        <v>8.1158024087715247E-2</v>
      </c>
      <c r="H168" s="24"/>
      <c r="I168" s="100">
        <f>IFERROR(VLOOKUP(B168,'ERPsCRPs&amp;Spreads'!$B$8:$K$164,9,FALSE),"NA")</f>
        <v>5.1144897579587324E-2</v>
      </c>
      <c r="J168" s="100">
        <f>IFERROR(VLOOKUP(B168,'ERPsCRPs&amp;Spreads'!$B$8:$K$164,6,FALSE),"NA")</f>
        <v>5.7068893711894185E-2</v>
      </c>
      <c r="K168" s="100" t="str">
        <f>IFERROR(VLOOKUP('CtryERP&amp;CRP'!B168,'ERPsCRPs&amp;Spreads'!$B$169:$I$189,7,FALSE),"NA")</f>
        <v>NA</v>
      </c>
      <c r="L168" s="100">
        <f t="shared" si="19"/>
        <v>5.1144897579587324E-2</v>
      </c>
    </row>
    <row r="169" spans="2:12" x14ac:dyDescent="0.25">
      <c r="B169" s="5" t="s">
        <v>119</v>
      </c>
      <c r="C169" s="6"/>
      <c r="D169" s="100">
        <f>IFERROR(VLOOKUP(B169,'ERPsCRPs&amp;Spreads'!$B$8:$K$164,10,FALSE),"NA")</f>
        <v>0.21764529514330042</v>
      </c>
      <c r="E169" s="100">
        <f>IFERROR(VLOOKUP(B169,'ERPsCRPs&amp;Spreads'!$B$8:$H$164,7,FALSE),"NA")</f>
        <v>0.1948788194536</v>
      </c>
      <c r="F169" s="100" t="str">
        <f>IFERROR(VLOOKUP(B169,'ERPsCRPs&amp;Spreads'!$B$169:$I$189,8,FALSE),"NA")</f>
        <v>NA</v>
      </c>
      <c r="G169" s="100">
        <f t="shared" si="18"/>
        <v>0.21764529514330042</v>
      </c>
      <c r="H169" s="24"/>
      <c r="I169" s="100">
        <f>IFERROR(VLOOKUP(B169,'ERPsCRPs&amp;Spreads'!$B$8:$K$164,9,FALSE),"NA")</f>
        <v>0.18763216863517249</v>
      </c>
      <c r="J169" s="100">
        <f>IFERROR(VLOOKUP(B169,'ERPsCRPs&amp;Spreads'!$B$8:$K$164,6,FALSE),"NA")</f>
        <v>0.16486569294547207</v>
      </c>
      <c r="K169" s="100" t="str">
        <f>IFERROR(VLOOKUP('CtryERP&amp;CRP'!B169,'ERPsCRPs&amp;Spreads'!$B$169:$I$189,7,FALSE),"NA")</f>
        <v>NA</v>
      </c>
      <c r="L169" s="100">
        <f t="shared" si="19"/>
        <v>0.18763216863517249</v>
      </c>
    </row>
    <row r="170" spans="2:12" x14ac:dyDescent="0.25">
      <c r="B170" s="5" t="s">
        <v>126</v>
      </c>
      <c r="C170" s="6"/>
      <c r="D170" s="100">
        <f>IFERROR(VLOOKUP(B170,'ERPsCRPs&amp;Spreads'!$B$8:$K$164,10,FALSE),"NA")</f>
        <v>0.11444760239395553</v>
      </c>
      <c r="E170" s="100">
        <f>IFERROR(VLOOKUP(B170,'ERPsCRPs&amp;Spreads'!$B$8:$H$164,7,FALSE),"NA")</f>
        <v>9.5888948261981077E-2</v>
      </c>
      <c r="F170" s="100" t="str">
        <f>IFERROR(VLOOKUP(B170,'ERPsCRPs&amp;Spreads'!$B$169:$I$189,8,FALSE),"NA")</f>
        <v>NA</v>
      </c>
      <c r="G170" s="100">
        <f t="shared" si="18"/>
        <v>0.11444760239395553</v>
      </c>
      <c r="H170" s="24"/>
      <c r="I170" s="100">
        <f>IFERROR(VLOOKUP(B170,'ERPsCRPs&amp;Spreads'!$B$8:$K$164,9,FALSE),"NA")</f>
        <v>8.4434475885827615E-2</v>
      </c>
      <c r="J170" s="100">
        <f>IFERROR(VLOOKUP(B170,'ERPsCRPs&amp;Spreads'!$B$8:$K$164,6,FALSE),"NA")</f>
        <v>6.5875821753853162E-2</v>
      </c>
      <c r="K170" s="100" t="str">
        <f>IFERROR(VLOOKUP('CtryERP&amp;CRP'!B170,'ERPsCRPs&amp;Spreads'!$B$169:$I$189,7,FALSE),"NA")</f>
        <v>NA</v>
      </c>
      <c r="L170" s="100">
        <f t="shared" si="19"/>
        <v>8.4434475885827615E-2</v>
      </c>
    </row>
    <row r="171" spans="2:12" x14ac:dyDescent="0.25">
      <c r="B171" s="5" t="s">
        <v>132</v>
      </c>
      <c r="C171" s="6"/>
      <c r="D171" s="100" t="str">
        <f>IFERROR(VLOOKUP(B171,'ERPsCRPs&amp;Spreads'!$B$8:$K$164,10,FALSE),"NA")</f>
        <v>NA</v>
      </c>
      <c r="E171" s="100">
        <f>IFERROR(VLOOKUP(B171,'ERPsCRPs&amp;Spreads'!$B$8:$H$164,7,FALSE),"NA")</f>
        <v>9.5888948261981077E-2</v>
      </c>
      <c r="F171" s="100" t="str">
        <f>IFERROR(VLOOKUP(B171,'ERPsCRPs&amp;Spreads'!$B$169:$I$189,8,FALSE),"NA")</f>
        <v>NA</v>
      </c>
      <c r="G171" s="100">
        <f t="shared" si="18"/>
        <v>9.5888948261981077E-2</v>
      </c>
      <c r="H171" s="24"/>
      <c r="I171" s="100" t="str">
        <f>IFERROR(VLOOKUP(B171,'ERPsCRPs&amp;Spreads'!$B$8:$K$164,9,FALSE),"NA")</f>
        <v>NA</v>
      </c>
      <c r="J171" s="100">
        <f>IFERROR(VLOOKUP(B171,'ERPsCRPs&amp;Spreads'!$B$8:$K$164,6,FALSE),"NA")</f>
        <v>6.5875821753853162E-2</v>
      </c>
      <c r="K171" s="100" t="str">
        <f>IFERROR(VLOOKUP('CtryERP&amp;CRP'!B171,'ERPsCRPs&amp;Spreads'!$B$169:$I$189,7,FALSE),"NA")</f>
        <v>NA</v>
      </c>
      <c r="L171" s="100">
        <f t="shared" si="19"/>
        <v>6.5875821753853162E-2</v>
      </c>
    </row>
    <row r="172" spans="2:12" x14ac:dyDescent="0.25">
      <c r="B172" s="5" t="s">
        <v>137</v>
      </c>
      <c r="C172" s="6"/>
      <c r="D172" s="100">
        <f>IFERROR(VLOOKUP(B172,'ERPsCRPs&amp;Spreads'!$B$8:$K$164,10,FALSE),"NA")</f>
        <v>6.6934295175048952E-2</v>
      </c>
      <c r="E172" s="100">
        <f>IFERROR(VLOOKUP(B172,'ERPsCRPs&amp;Spreads'!$B$8:$H$164,7,FALSE),"NA")</f>
        <v>7.792281505638475E-2</v>
      </c>
      <c r="F172" s="100" t="str">
        <f>IFERROR(VLOOKUP(B172,'ERPsCRPs&amp;Spreads'!$B$169:$I$189,8,FALSE),"NA")</f>
        <v>NA</v>
      </c>
      <c r="G172" s="100">
        <f t="shared" si="18"/>
        <v>6.6934295175048952E-2</v>
      </c>
      <c r="H172" s="24"/>
      <c r="I172" s="100">
        <f>IFERROR(VLOOKUP(B172,'ERPsCRPs&amp;Spreads'!$B$8:$K$164,9,FALSE),"NA")</f>
        <v>3.692116866692103E-2</v>
      </c>
      <c r="J172" s="100">
        <f>IFERROR(VLOOKUP(B172,'ERPsCRPs&amp;Spreads'!$B$8:$K$164,6,FALSE),"NA")</f>
        <v>4.7909688548256828E-2</v>
      </c>
      <c r="K172" s="100" t="str">
        <f>IFERROR(VLOOKUP('CtryERP&amp;CRP'!B172,'ERPsCRPs&amp;Spreads'!$B$169:$I$189,7,FALSE),"NA")</f>
        <v>NA</v>
      </c>
      <c r="L172" s="100">
        <f t="shared" si="19"/>
        <v>3.692116866692103E-2</v>
      </c>
    </row>
    <row r="173" spans="2:12" x14ac:dyDescent="0.25">
      <c r="B173" s="5" t="s">
        <v>142</v>
      </c>
      <c r="C173" s="6"/>
      <c r="D173" s="100" t="str">
        <f>IFERROR(VLOOKUP(B173,'ERPsCRPs&amp;Spreads'!$B$8:$K$164,10,FALSE),"NA")</f>
        <v>NA</v>
      </c>
      <c r="E173" s="100">
        <f>IFERROR(VLOOKUP(B173,'ERPsCRPs&amp;Spreads'!$B$8:$H$164,7,FALSE),"NA")</f>
        <v>0.25476593013892102</v>
      </c>
      <c r="F173" s="100" t="str">
        <f>IFERROR(VLOOKUP(B173,'ERPsCRPs&amp;Spreads'!$B$169:$I$189,8,FALSE),"NA")</f>
        <v>NA</v>
      </c>
      <c r="G173" s="100">
        <f t="shared" si="18"/>
        <v>0.25476593013892102</v>
      </c>
      <c r="H173" s="24"/>
      <c r="I173" s="100" t="str">
        <f>IFERROR(VLOOKUP(B173,'ERPsCRPs&amp;Spreads'!$B$8:$K$164,9,FALSE),"NA")</f>
        <v>NA</v>
      </c>
      <c r="J173" s="100">
        <f>IFERROR(VLOOKUP(B173,'ERPsCRPs&amp;Spreads'!$B$8:$K$164,6,FALSE),"NA")</f>
        <v>0.22475280363079311</v>
      </c>
      <c r="K173" s="100" t="str">
        <f>IFERROR(VLOOKUP('CtryERP&amp;CRP'!B173,'ERPsCRPs&amp;Spreads'!$B$169:$I$189,7,FALSE),"NA")</f>
        <v>NA</v>
      </c>
      <c r="L173" s="100">
        <f t="shared" si="19"/>
        <v>0.22475280363079311</v>
      </c>
    </row>
    <row r="174" spans="2:12" x14ac:dyDescent="0.25">
      <c r="B174" s="5" t="s">
        <v>147</v>
      </c>
      <c r="C174" s="6"/>
      <c r="D174" s="100">
        <f>IFERROR(VLOOKUP(B174,'ERPsCRPs&amp;Spreads'!$B$8:$K$164,10,FALSE),"NA")</f>
        <v>6.0881644573914359E-2</v>
      </c>
      <c r="E174" s="100">
        <f>IFERROR(VLOOKUP(B174,'ERPsCRPs&amp;Spreads'!$B$8:$H$164,7,FALSE),"NA")</f>
        <v>7.792281505638475E-2</v>
      </c>
      <c r="F174" s="100" t="str">
        <f>IFERROR(VLOOKUP(B174,'ERPsCRPs&amp;Spreads'!$B$169:$I$189,8,FALSE),"NA")</f>
        <v>NA</v>
      </c>
      <c r="G174" s="100">
        <f t="shared" si="18"/>
        <v>6.0881644573914359E-2</v>
      </c>
      <c r="H174" s="24"/>
      <c r="I174" s="100">
        <f>IFERROR(VLOOKUP(B174,'ERPsCRPs&amp;Spreads'!$B$8:$K$164,9,FALSE),"NA")</f>
        <v>3.086851806578644E-2</v>
      </c>
      <c r="J174" s="100">
        <f>IFERROR(VLOOKUP(B174,'ERPsCRPs&amp;Spreads'!$B$8:$K$164,6,FALSE),"NA")</f>
        <v>4.7909688548256828E-2</v>
      </c>
      <c r="K174" s="100" t="str">
        <f>IFERROR(VLOOKUP('CtryERP&amp;CRP'!B174,'ERPsCRPs&amp;Spreads'!$B$169:$I$189,7,FALSE),"NA")</f>
        <v>NA</v>
      </c>
      <c r="L174" s="100">
        <f t="shared" si="19"/>
        <v>3.086851806578644E-2</v>
      </c>
    </row>
    <row r="175" spans="2:12" x14ac:dyDescent="0.25">
      <c r="B175" s="5" t="s">
        <v>152</v>
      </c>
      <c r="C175" s="6"/>
      <c r="D175" s="100" t="str">
        <f>IFERROR(VLOOKUP(B175,'ERPsCRPs&amp;Spreads'!$B$8:$K$164,10,FALSE),"NA")</f>
        <v>NA</v>
      </c>
      <c r="E175" s="100">
        <f>IFERROR(VLOOKUP(B175,'ERPsCRPs&amp;Spreads'!$B$8:$H$164,7,FALSE),"NA")</f>
        <v>0.55962005410740501</v>
      </c>
      <c r="F175" s="100" t="str">
        <f>IFERROR(VLOOKUP(B175,'ERPsCRPs&amp;Spreads'!$B$169:$I$189,8,FALSE),"NA")</f>
        <v>NA</v>
      </c>
      <c r="G175" s="100">
        <f t="shared" si="18"/>
        <v>0.55962005410740501</v>
      </c>
      <c r="H175" s="24"/>
      <c r="I175" s="100" t="str">
        <f>IFERROR(VLOOKUP(B175,'ERPsCRPs&amp;Spreads'!$B$8:$K$164,9,FALSE),"NA")</f>
        <v>NA</v>
      </c>
      <c r="J175" s="100">
        <f>IFERROR(VLOOKUP(B175,'ERPsCRPs&amp;Spreads'!$B$8:$K$164,6,FALSE),"NA")</f>
        <v>0.52960692759927708</v>
      </c>
      <c r="K175" s="100" t="str">
        <f>IFERROR(VLOOKUP('CtryERP&amp;CRP'!B175,'ERPsCRPs&amp;Spreads'!$B$169:$I$189,7,FALSE),"NA")</f>
        <v>NA</v>
      </c>
      <c r="L175" s="100">
        <f t="shared" si="19"/>
        <v>0.52960692759927708</v>
      </c>
    </row>
    <row r="177" spans="2:12" ht="15.75" x14ac:dyDescent="0.25">
      <c r="B177" s="92" t="s">
        <v>14</v>
      </c>
      <c r="C177" s="91"/>
      <c r="D177" s="91" t="s">
        <v>1592</v>
      </c>
      <c r="E177" s="91" t="s">
        <v>1593</v>
      </c>
      <c r="F177" s="91" t="s">
        <v>1591</v>
      </c>
      <c r="G177" s="91" t="s">
        <v>1594</v>
      </c>
      <c r="H177" s="93"/>
      <c r="I177" s="91" t="s">
        <v>1595</v>
      </c>
      <c r="J177" s="91" t="s">
        <v>1596</v>
      </c>
      <c r="K177" s="91" t="s">
        <v>1597</v>
      </c>
      <c r="L177" s="91" t="s">
        <v>1598</v>
      </c>
    </row>
    <row r="178" spans="2:12" x14ac:dyDescent="0.25">
      <c r="B178" s="5" t="s">
        <v>23</v>
      </c>
      <c r="C178" s="6"/>
      <c r="D178" s="100" t="str">
        <f>IFERROR(VLOOKUP(B178,'ERPsCRPs&amp;Spreads'!$B$8:$K$164,10,FALSE),"NA")</f>
        <v>NA</v>
      </c>
      <c r="E178" s="100">
        <f>IFERROR(VLOOKUP(B178,'ERPsCRPs&amp;Spreads'!$B$8:$H$164,7,FALSE),"NA")</f>
        <v>9.5888948261981077E-2</v>
      </c>
      <c r="F178" s="100" t="str">
        <f>IFERROR(VLOOKUP(B178,'ERPsCRPs&amp;Spreads'!$B$169:$I$189,8,FALSE),"NA")</f>
        <v>NA</v>
      </c>
      <c r="G178" s="100">
        <f t="shared" ref="G178" si="20">IF(D178&lt;&gt;"NA",D178,IF(E178&lt;&gt;"NA",E178,F178))</f>
        <v>9.5888948261981077E-2</v>
      </c>
      <c r="H178" s="24"/>
      <c r="I178" s="100" t="str">
        <f>IFERROR(VLOOKUP(B178,'ERPsCRPs&amp;Spreads'!$B$8:$K$164,9,FALSE),"NA")</f>
        <v>NA</v>
      </c>
      <c r="J178" s="100">
        <f>IFERROR(VLOOKUP(B178,'ERPsCRPs&amp;Spreads'!$B$8:$K$164,6,FALSE),"NA")</f>
        <v>6.5875821753853162E-2</v>
      </c>
      <c r="K178" s="100" t="str">
        <f>IFERROR(VLOOKUP('CtryERP&amp;CRP'!B178,'ERPsCRPs&amp;Spreads'!$B$169:$I$189,7,FALSE),"NA")</f>
        <v>NA</v>
      </c>
      <c r="L178" s="100">
        <f t="shared" ref="L178:L192" si="21">IF(I178&lt;&gt;"NA",I178,IF(J178&lt;&gt;"NA",J178,K178))</f>
        <v>6.5875821753853162E-2</v>
      </c>
    </row>
    <row r="179" spans="2:12" x14ac:dyDescent="0.25">
      <c r="B179" s="5" t="s">
        <v>32</v>
      </c>
      <c r="C179" s="6"/>
      <c r="D179" s="100" t="str">
        <f>IFERROR(VLOOKUP(B179,'ERPsCRPs&amp;Spreads'!$B$8:$K$164,10,FALSE),"NA")</f>
        <v>NA</v>
      </c>
      <c r="E179" s="100">
        <f>IFERROR(VLOOKUP(B179,'ERPsCRPs&amp;Spreads'!$B$8:$H$164,7,FALSE),"NA")</f>
        <v>0.16493526411093945</v>
      </c>
      <c r="F179" s="100" t="str">
        <f>IFERROR(VLOOKUP(B179,'ERPsCRPs&amp;Spreads'!$B$169:$I$189,8,FALSE),"NA")</f>
        <v>NA</v>
      </c>
      <c r="G179" s="100">
        <f t="shared" ref="G179:G192" si="22">IF(D179&lt;&gt;"NA",D179,IF(E179&lt;&gt;"NA",E179,F179))</f>
        <v>0.16493526411093945</v>
      </c>
      <c r="H179" s="24"/>
      <c r="I179" s="100" t="str">
        <f>IFERROR(VLOOKUP(B179,'ERPsCRPs&amp;Spreads'!$B$8:$K$164,9,FALSE),"NA")</f>
        <v>NA</v>
      </c>
      <c r="J179" s="100">
        <f>IFERROR(VLOOKUP(B179,'ERPsCRPs&amp;Spreads'!$B$8:$K$164,6,FALSE),"NA")</f>
        <v>0.13492213760281152</v>
      </c>
      <c r="K179" s="100" t="str">
        <f>IFERROR(VLOOKUP('CtryERP&amp;CRP'!B179,'ERPsCRPs&amp;Spreads'!$B$169:$I$189,7,FALSE),"NA")</f>
        <v>NA</v>
      </c>
      <c r="L179" s="100">
        <f t="shared" si="21"/>
        <v>0.13492213760281152</v>
      </c>
    </row>
    <row r="180" spans="2:12" x14ac:dyDescent="0.25">
      <c r="B180" s="5" t="s">
        <v>40</v>
      </c>
      <c r="C180" s="6"/>
      <c r="D180" s="100" t="str">
        <f>IFERROR(VLOOKUP(B180,'ERPsCRPs&amp;Spreads'!$B$8:$K$164,10,FALSE),"NA")</f>
        <v>NA</v>
      </c>
      <c r="E180" s="100">
        <f>IFERROR(VLOOKUP(B180,'ERPsCRPs&amp;Spreads'!$B$8:$H$164,7,FALSE),"NA")</f>
        <v>0.22482237479626049</v>
      </c>
      <c r="F180" s="100" t="str">
        <f>IFERROR(VLOOKUP(B180,'ERPsCRPs&amp;Spreads'!$B$169:$I$189,8,FALSE),"NA")</f>
        <v>NA</v>
      </c>
      <c r="G180" s="100">
        <f t="shared" si="22"/>
        <v>0.22482237479626049</v>
      </c>
      <c r="H180" s="24"/>
      <c r="I180" s="100" t="str">
        <f>IFERROR(VLOOKUP(B180,'ERPsCRPs&amp;Spreads'!$B$8:$K$164,9,FALSE),"NA")</f>
        <v>NA</v>
      </c>
      <c r="J180" s="100">
        <f>IFERROR(VLOOKUP(B180,'ERPsCRPs&amp;Spreads'!$B$8:$K$164,6,FALSE),"NA")</f>
        <v>0.19480924828813256</v>
      </c>
      <c r="K180" s="100" t="str">
        <f>IFERROR(VLOOKUP('CtryERP&amp;CRP'!B180,'ERPsCRPs&amp;Spreads'!$B$169:$I$189,7,FALSE),"NA")</f>
        <v>NA</v>
      </c>
      <c r="L180" s="100">
        <f t="shared" si="21"/>
        <v>0.19480924828813256</v>
      </c>
    </row>
    <row r="181" spans="2:12" x14ac:dyDescent="0.25">
      <c r="B181" s="5" t="s">
        <v>48</v>
      </c>
      <c r="C181" s="6"/>
      <c r="D181" s="100" t="str">
        <f>IFERROR(VLOOKUP(B181,'ERPsCRPs&amp;Spreads'!$B$8:$K$164,10,FALSE),"NA")</f>
        <v>NA</v>
      </c>
      <c r="E181" s="100">
        <f>IFERROR(VLOOKUP(B181,'ERPsCRPs&amp;Spreads'!$B$8:$H$164,7,FALSE),"NA")</f>
        <v>5.537707926896978E-2</v>
      </c>
      <c r="F181" s="100" t="str">
        <f>IFERROR(VLOOKUP(B181,'ERPsCRPs&amp;Spreads'!$B$169:$I$189,8,FALSE),"NA")</f>
        <v>NA</v>
      </c>
      <c r="G181" s="100">
        <f t="shared" si="22"/>
        <v>5.537707926896978E-2</v>
      </c>
      <c r="H181" s="24"/>
      <c r="I181" s="100" t="str">
        <f>IFERROR(VLOOKUP(B181,'ERPsCRPs&amp;Spreads'!$B$8:$K$164,9,FALSE),"NA")</f>
        <v>NA</v>
      </c>
      <c r="J181" s="100">
        <f>IFERROR(VLOOKUP(B181,'ERPsCRPs&amp;Spreads'!$B$8:$K$164,6,FALSE),"NA")</f>
        <v>2.536395276084186E-2</v>
      </c>
      <c r="K181" s="100" t="str">
        <f>IFERROR(VLOOKUP('CtryERP&amp;CRP'!B181,'ERPsCRPs&amp;Spreads'!$B$169:$I$189,7,FALSE),"NA")</f>
        <v>NA</v>
      </c>
      <c r="L181" s="100">
        <f t="shared" si="21"/>
        <v>2.536395276084186E-2</v>
      </c>
    </row>
    <row r="182" spans="2:12" x14ac:dyDescent="0.25">
      <c r="B182" s="5" t="s">
        <v>55</v>
      </c>
      <c r="C182" s="6"/>
      <c r="D182" s="100" t="str">
        <f>IFERROR(VLOOKUP(B182,'ERPsCRPs&amp;Spreads'!$B$8:$K$164,10,FALSE),"NA")</f>
        <v>NA</v>
      </c>
      <c r="E182" s="100">
        <f>IFERROR(VLOOKUP(B182,'ERPsCRPs&amp;Spreads'!$B$8:$H$164,7,FALSE),"NA")</f>
        <v>4.7979259713724236E-2</v>
      </c>
      <c r="F182" s="100" t="str">
        <f>IFERROR(VLOOKUP(B182,'ERPsCRPs&amp;Spreads'!$B$169:$I$189,8,FALSE),"NA")</f>
        <v>NA</v>
      </c>
      <c r="G182" s="100">
        <f t="shared" si="22"/>
        <v>4.7979259713724236E-2</v>
      </c>
      <c r="H182" s="24"/>
      <c r="I182" s="100" t="str">
        <f>IFERROR(VLOOKUP(B182,'ERPsCRPs&amp;Spreads'!$B$8:$K$164,9,FALSE),"NA")</f>
        <v>NA</v>
      </c>
      <c r="J182" s="100">
        <f>IFERROR(VLOOKUP(B182,'ERPsCRPs&amp;Spreads'!$B$8:$K$164,6,FALSE),"NA")</f>
        <v>1.7966133205596316E-2</v>
      </c>
      <c r="K182" s="100" t="str">
        <f>IFERROR(VLOOKUP('CtryERP&amp;CRP'!B182,'ERPsCRPs&amp;Spreads'!$B$169:$I$189,7,FALSE),"NA")</f>
        <v>NA</v>
      </c>
      <c r="L182" s="100">
        <f t="shared" si="21"/>
        <v>1.7966133205596316E-2</v>
      </c>
    </row>
    <row r="183" spans="2:12" x14ac:dyDescent="0.25">
      <c r="B183" s="5" t="s">
        <v>62</v>
      </c>
      <c r="C183" s="6"/>
      <c r="D183" s="100" t="str">
        <f>IFERROR(VLOOKUP(B183,'ERPsCRPs&amp;Spreads'!$B$8:$K$164,10,FALSE),"NA")</f>
        <v>NA</v>
      </c>
      <c r="E183" s="100">
        <f>IFERROR(VLOOKUP(B183,'ERPsCRPs&amp;Spreads'!$B$8:$H$164,7,FALSE),"NA")</f>
        <v>0.38968806774173265</v>
      </c>
      <c r="F183" s="100" t="str">
        <f>IFERROR(VLOOKUP(B183,'ERPsCRPs&amp;Spreads'!$B$169:$I$189,8,FALSE),"NA")</f>
        <v>NA</v>
      </c>
      <c r="G183" s="100">
        <f t="shared" si="22"/>
        <v>0.38968806774173265</v>
      </c>
      <c r="H183" s="24"/>
      <c r="I183" s="100" t="str">
        <f>IFERROR(VLOOKUP(B183,'ERPsCRPs&amp;Spreads'!$B$8:$K$164,9,FALSE),"NA")</f>
        <v>NA</v>
      </c>
      <c r="J183" s="100">
        <f>IFERROR(VLOOKUP(B183,'ERPsCRPs&amp;Spreads'!$B$8:$K$164,6,FALSE),"NA")</f>
        <v>0.35967494123360472</v>
      </c>
      <c r="K183" s="100" t="str">
        <f>IFERROR(VLOOKUP('CtryERP&amp;CRP'!B183,'ERPsCRPs&amp;Spreads'!$B$169:$I$189,7,FALSE),"NA")</f>
        <v>NA</v>
      </c>
      <c r="L183" s="100">
        <f t="shared" si="21"/>
        <v>0.35967494123360472</v>
      </c>
    </row>
    <row r="184" spans="2:12" x14ac:dyDescent="0.25">
      <c r="B184" s="5" t="s">
        <v>69</v>
      </c>
      <c r="C184" s="6"/>
      <c r="D184" s="100" t="str">
        <f>IFERROR(VLOOKUP(B184,'ERPsCRPs&amp;Spreads'!$B$8:$K$164,10,FALSE),"NA")</f>
        <v>NA</v>
      </c>
      <c r="E184" s="100">
        <f>IFERROR(VLOOKUP(B184,'ERPsCRPs&amp;Spreads'!$B$8:$H$164,7,FALSE),"NA")</f>
        <v>9.5888948261981077E-2</v>
      </c>
      <c r="F184" s="100" t="str">
        <f>IFERROR(VLOOKUP(B184,'ERPsCRPs&amp;Spreads'!$B$169:$I$189,8,FALSE),"NA")</f>
        <v>NA</v>
      </c>
      <c r="G184" s="100">
        <f t="shared" si="22"/>
        <v>9.5888948261981077E-2</v>
      </c>
      <c r="H184" s="24"/>
      <c r="I184" s="100" t="str">
        <f>IFERROR(VLOOKUP(B184,'ERPsCRPs&amp;Spreads'!$B$8:$K$164,9,FALSE),"NA")</f>
        <v>NA</v>
      </c>
      <c r="J184" s="100">
        <f>IFERROR(VLOOKUP(B184,'ERPsCRPs&amp;Spreads'!$B$8:$K$164,6,FALSE),"NA")</f>
        <v>6.5875821753853162E-2</v>
      </c>
      <c r="K184" s="100" t="str">
        <f>IFERROR(VLOOKUP('CtryERP&amp;CRP'!B184,'ERPsCRPs&amp;Spreads'!$B$169:$I$189,7,FALSE),"NA")</f>
        <v>NA</v>
      </c>
      <c r="L184" s="100">
        <f t="shared" si="21"/>
        <v>6.5875821753853162E-2</v>
      </c>
    </row>
    <row r="185" spans="2:12" x14ac:dyDescent="0.25">
      <c r="B185" s="5" t="s">
        <v>76</v>
      </c>
      <c r="C185" s="6"/>
      <c r="D185" s="100" t="str">
        <f>IFERROR(VLOOKUP(B185,'ERPsCRPs&amp;Spreads'!$B$8:$K$164,10,FALSE),"NA")</f>
        <v>NA</v>
      </c>
      <c r="E185" s="100">
        <f>IFERROR(VLOOKUP(B185,'ERPsCRPs&amp;Spreads'!$B$8:$H$164,7,FALSE),"NA")</f>
        <v>0.13780992574170581</v>
      </c>
      <c r="F185" s="100" t="str">
        <f>IFERROR(VLOOKUP(B185,'ERPsCRPs&amp;Spreads'!$B$169:$I$189,8,FALSE),"NA")</f>
        <v>NA</v>
      </c>
      <c r="G185" s="100">
        <f t="shared" si="22"/>
        <v>0.13780992574170581</v>
      </c>
      <c r="H185" s="24"/>
      <c r="I185" s="100" t="str">
        <f>IFERROR(VLOOKUP(B185,'ERPsCRPs&amp;Spreads'!$B$8:$K$164,9,FALSE),"NA")</f>
        <v>NA</v>
      </c>
      <c r="J185" s="100">
        <f>IFERROR(VLOOKUP(B185,'ERPsCRPs&amp;Spreads'!$B$8:$K$164,6,FALSE),"NA")</f>
        <v>0.10779679923357789</v>
      </c>
      <c r="K185" s="100" t="str">
        <f>IFERROR(VLOOKUP('CtryERP&amp;CRP'!B185,'ERPsCRPs&amp;Spreads'!$B$169:$I$189,7,FALSE),"NA")</f>
        <v>NA</v>
      </c>
      <c r="L185" s="100">
        <f t="shared" si="21"/>
        <v>0.10779679923357789</v>
      </c>
    </row>
    <row r="186" spans="2:12" x14ac:dyDescent="0.25">
      <c r="B186" s="5" t="s">
        <v>83</v>
      </c>
      <c r="C186" s="6"/>
      <c r="D186" s="100" t="str">
        <f>IFERROR(VLOOKUP(B186,'ERPsCRPs&amp;Spreads'!$B$8:$K$164,10,FALSE),"NA")</f>
        <v>NA</v>
      </c>
      <c r="E186" s="100" t="str">
        <f>IFERROR(VLOOKUP(B186,'ERPsCRPs&amp;Spreads'!$B$8:$H$164,7,FALSE),"NA")</f>
        <v>NA</v>
      </c>
      <c r="F186" s="100">
        <f>IFERROR(VLOOKUP(B186,'ERPsCRPs&amp;Spreads'!$B$169:$I$189,8,FALSE),"NA")</f>
        <v>0.38968806774173265</v>
      </c>
      <c r="G186" s="100">
        <f t="shared" si="22"/>
        <v>0.38968806774173265</v>
      </c>
      <c r="H186" s="24"/>
      <c r="I186" s="100" t="str">
        <f>IFERROR(VLOOKUP(B186,'ERPsCRPs&amp;Spreads'!$B$8:$K$164,9,FALSE),"NA")</f>
        <v>NA</v>
      </c>
      <c r="J186" s="100" t="str">
        <f>IFERROR(VLOOKUP(B186,'ERPsCRPs&amp;Spreads'!$B$8:$K$164,6,FALSE),"NA")</f>
        <v>NA</v>
      </c>
      <c r="K186" s="100">
        <f>IFERROR(VLOOKUP('CtryERP&amp;CRP'!B186,'ERPsCRPs&amp;Spreads'!$B$169:$I$189,7,FALSE),"NA")</f>
        <v>0.35967494123360472</v>
      </c>
      <c r="L186" s="100">
        <f t="shared" si="21"/>
        <v>0.35967494123360472</v>
      </c>
    </row>
    <row r="187" spans="2:12" x14ac:dyDescent="0.25">
      <c r="B187" s="5" t="s">
        <v>90</v>
      </c>
      <c r="C187" s="6"/>
      <c r="D187" s="100" t="str">
        <f>IFERROR(VLOOKUP(B187,'ERPsCRPs&amp;Spreads'!$B$8:$K$164,10,FALSE),"NA")</f>
        <v>NA</v>
      </c>
      <c r="E187" s="100">
        <f>IFERROR(VLOOKUP(B187,'ERPsCRPs&amp;Spreads'!$B$8:$H$164,7,FALSE),"NA")</f>
        <v>0.16493526411093945</v>
      </c>
      <c r="F187" s="100" t="str">
        <f>IFERROR(VLOOKUP(B187,'ERPsCRPs&amp;Spreads'!$B$169:$I$189,8,FALSE),"NA")</f>
        <v>NA</v>
      </c>
      <c r="G187" s="100">
        <f t="shared" si="22"/>
        <v>0.16493526411093945</v>
      </c>
      <c r="H187" s="24"/>
      <c r="I187" s="100" t="str">
        <f>IFERROR(VLOOKUP(B187,'ERPsCRPs&amp;Spreads'!$B$8:$K$164,9,FALSE),"NA")</f>
        <v>NA</v>
      </c>
      <c r="J187" s="100">
        <f>IFERROR(VLOOKUP(B187,'ERPsCRPs&amp;Spreads'!$B$8:$K$164,6,FALSE),"NA")</f>
        <v>0.13492213760281152</v>
      </c>
      <c r="K187" s="100" t="str">
        <f>IFERROR(VLOOKUP('CtryERP&amp;CRP'!B187,'ERPsCRPs&amp;Spreads'!$B$169:$I$189,7,FALSE),"NA")</f>
        <v>NA</v>
      </c>
      <c r="L187" s="100">
        <f t="shared" si="21"/>
        <v>0.13492213760281152</v>
      </c>
    </row>
    <row r="188" spans="2:12" x14ac:dyDescent="0.25">
      <c r="B188" s="5" t="s">
        <v>97</v>
      </c>
      <c r="C188" s="6"/>
      <c r="D188" s="100" t="str">
        <f>IFERROR(VLOOKUP(B188,'ERPsCRPs&amp;Spreads'!$B$8:$K$164,10,FALSE),"NA")</f>
        <v>NA</v>
      </c>
      <c r="E188" s="100">
        <f>IFERROR(VLOOKUP(B188,'ERPsCRPs&amp;Spreads'!$B$8:$H$164,7,FALSE),"NA")</f>
        <v>9.5888948261981077E-2</v>
      </c>
      <c r="F188" s="100" t="str">
        <f>IFERROR(VLOOKUP(B188,'ERPsCRPs&amp;Spreads'!$B$169:$I$189,8,FALSE),"NA")</f>
        <v>NA</v>
      </c>
      <c r="G188" s="100">
        <f t="shared" si="22"/>
        <v>9.5888948261981077E-2</v>
      </c>
      <c r="H188" s="24"/>
      <c r="I188" s="100" t="str">
        <f>IFERROR(VLOOKUP(B188,'ERPsCRPs&amp;Spreads'!$B$8:$K$164,9,FALSE),"NA")</f>
        <v>NA</v>
      </c>
      <c r="J188" s="100">
        <f>IFERROR(VLOOKUP(B188,'ERPsCRPs&amp;Spreads'!$B$8:$K$164,6,FALSE),"NA")</f>
        <v>6.5875821753853162E-2</v>
      </c>
      <c r="K188" s="100" t="str">
        <f>IFERROR(VLOOKUP('CtryERP&amp;CRP'!B188,'ERPsCRPs&amp;Spreads'!$B$169:$I$189,7,FALSE),"NA")</f>
        <v>NA</v>
      </c>
      <c r="L188" s="100">
        <f t="shared" si="21"/>
        <v>6.5875821753853162E-2</v>
      </c>
    </row>
    <row r="189" spans="2:12" x14ac:dyDescent="0.25">
      <c r="B189" s="5" t="s">
        <v>104</v>
      </c>
      <c r="C189" s="6"/>
      <c r="D189" s="100" t="str">
        <f>IFERROR(VLOOKUP(B189,'ERPsCRPs&amp;Spreads'!$B$8:$K$164,10,FALSE),"NA")</f>
        <v>NA</v>
      </c>
      <c r="E189" s="100">
        <f>IFERROR(VLOOKUP(B189,'ERPsCRPs&amp;Spreads'!$B$8:$H$164,7,FALSE),"NA")</f>
        <v>0.12019606965778785</v>
      </c>
      <c r="F189" s="100" t="str">
        <f>IFERROR(VLOOKUP(B189,'ERPsCRPs&amp;Spreads'!$B$169:$I$189,8,FALSE),"NA")</f>
        <v>NA</v>
      </c>
      <c r="G189" s="100">
        <f t="shared" si="22"/>
        <v>0.12019606965778785</v>
      </c>
      <c r="H189" s="24"/>
      <c r="I189" s="100" t="str">
        <f>IFERROR(VLOOKUP(B189,'ERPsCRPs&amp;Spreads'!$B$8:$K$164,9,FALSE),"NA")</f>
        <v>NA</v>
      </c>
      <c r="J189" s="100">
        <f>IFERROR(VLOOKUP(B189,'ERPsCRPs&amp;Spreads'!$B$8:$K$164,6,FALSE),"NA")</f>
        <v>9.0182943149659939E-2</v>
      </c>
      <c r="K189" s="100" t="str">
        <f>IFERROR(VLOOKUP('CtryERP&amp;CRP'!B189,'ERPsCRPs&amp;Spreads'!$B$169:$I$189,7,FALSE),"NA")</f>
        <v>NA</v>
      </c>
      <c r="L189" s="100">
        <f t="shared" si="21"/>
        <v>9.0182943149659939E-2</v>
      </c>
    </row>
    <row r="190" spans="2:12" x14ac:dyDescent="0.25">
      <c r="B190" s="5" t="s">
        <v>111</v>
      </c>
      <c r="C190" s="6"/>
      <c r="D190" s="100" t="str">
        <f>IFERROR(VLOOKUP(B190,'ERPsCRPs&amp;Spreads'!$B$8:$K$164,10,FALSE),"NA")</f>
        <v>NA</v>
      </c>
      <c r="E190" s="100">
        <f>IFERROR(VLOOKUP(B190,'ERPsCRPs&amp;Spreads'!$B$8:$H$164,7,FALSE),"NA")</f>
        <v>0.22482237479626049</v>
      </c>
      <c r="F190" s="100" t="str">
        <f>IFERROR(VLOOKUP(B190,'ERPsCRPs&amp;Spreads'!$B$169:$I$189,8,FALSE),"NA")</f>
        <v>NA</v>
      </c>
      <c r="G190" s="100">
        <f t="shared" si="22"/>
        <v>0.22482237479626049</v>
      </c>
      <c r="H190" s="24"/>
      <c r="I190" s="100" t="str">
        <f>IFERROR(VLOOKUP(B190,'ERPsCRPs&amp;Spreads'!$B$8:$K$164,9,FALSE),"NA")</f>
        <v>NA</v>
      </c>
      <c r="J190" s="100">
        <f>IFERROR(VLOOKUP(B190,'ERPsCRPs&amp;Spreads'!$B$8:$K$164,6,FALSE),"NA")</f>
        <v>0.19480924828813256</v>
      </c>
      <c r="K190" s="100" t="str">
        <f>IFERROR(VLOOKUP('CtryERP&amp;CRP'!B190,'ERPsCRPs&amp;Spreads'!$B$169:$I$189,7,FALSE),"NA")</f>
        <v>NA</v>
      </c>
      <c r="L190" s="100">
        <f t="shared" si="21"/>
        <v>0.19480924828813256</v>
      </c>
    </row>
    <row r="191" spans="2:12" x14ac:dyDescent="0.25">
      <c r="B191" s="5" t="s">
        <v>118</v>
      </c>
      <c r="C191" s="6"/>
      <c r="D191" s="100" t="str">
        <f>IFERROR(VLOOKUP(B191,'ERPsCRPs&amp;Spreads'!$B$8:$K$164,10,FALSE),"NA")</f>
        <v>NA</v>
      </c>
      <c r="E191" s="100">
        <f>IFERROR(VLOOKUP(B191,'ERPsCRPs&amp;Spreads'!$B$8:$H$164,7,FALSE),"NA")</f>
        <v>0.12019606965778785</v>
      </c>
      <c r="F191" s="100" t="str">
        <f>IFERROR(VLOOKUP(B191,'ERPsCRPs&amp;Spreads'!$B$169:$I$189,8,FALSE),"NA")</f>
        <v>NA</v>
      </c>
      <c r="G191" s="100">
        <f t="shared" si="22"/>
        <v>0.12019606965778785</v>
      </c>
      <c r="H191" s="24"/>
      <c r="I191" s="100" t="str">
        <f>IFERROR(VLOOKUP(B191,'ERPsCRPs&amp;Spreads'!$B$8:$K$164,9,FALSE),"NA")</f>
        <v>NA</v>
      </c>
      <c r="J191" s="100">
        <f>IFERROR(VLOOKUP(B191,'ERPsCRPs&amp;Spreads'!$B$8:$K$164,6,FALSE),"NA")</f>
        <v>9.0182943149659939E-2</v>
      </c>
      <c r="K191" s="100" t="str">
        <f>IFERROR(VLOOKUP('CtryERP&amp;CRP'!B191,'ERPsCRPs&amp;Spreads'!$B$169:$I$189,7,FALSE),"NA")</f>
        <v>NA</v>
      </c>
      <c r="L191" s="100">
        <f t="shared" si="21"/>
        <v>9.0182943149659939E-2</v>
      </c>
    </row>
    <row r="192" spans="2:12" x14ac:dyDescent="0.25">
      <c r="B192" s="5" t="s">
        <v>125</v>
      </c>
      <c r="C192" s="6"/>
      <c r="D192" s="100" t="str">
        <f>IFERROR(VLOOKUP(B192,'ERPsCRPs&amp;Spreads'!$B$8:$K$164,10,FALSE),"NA")</f>
        <v>NA</v>
      </c>
      <c r="E192" s="100">
        <f>IFERROR(VLOOKUP(B192,'ERPsCRPs&amp;Spreads'!$B$8:$H$164,7,FALSE),"NA")</f>
        <v>7.792281505638475E-2</v>
      </c>
      <c r="F192" s="100" t="str">
        <f>IFERROR(VLOOKUP(B192,'ERPsCRPs&amp;Spreads'!$B$169:$I$189,8,FALSE),"NA")</f>
        <v>NA</v>
      </c>
      <c r="G192" s="100">
        <f t="shared" si="22"/>
        <v>7.792281505638475E-2</v>
      </c>
      <c r="H192" s="24"/>
      <c r="I192" s="100" t="str">
        <f>IFERROR(VLOOKUP(B192,'ERPsCRPs&amp;Spreads'!$B$8:$K$164,9,FALSE),"NA")</f>
        <v>NA</v>
      </c>
      <c r="J192" s="100">
        <f>IFERROR(VLOOKUP(B192,'ERPsCRPs&amp;Spreads'!$B$8:$K$164,6,FALSE),"NA")</f>
        <v>4.7909688548256828E-2</v>
      </c>
      <c r="K192" s="100" t="str">
        <f>IFERROR(VLOOKUP('CtryERP&amp;CRP'!B192,'ERPsCRPs&amp;Spreads'!$B$169:$I$189,7,FALSE),"NA")</f>
        <v>NA</v>
      </c>
      <c r="L192" s="100">
        <f t="shared" si="21"/>
        <v>4.7909688548256828E-2</v>
      </c>
    </row>
    <row r="194" spans="2:12" ht="15.75" x14ac:dyDescent="0.25">
      <c r="B194" s="92" t="s">
        <v>16</v>
      </c>
      <c r="C194" s="91"/>
      <c r="D194" s="91" t="s">
        <v>1592</v>
      </c>
      <c r="E194" s="91" t="s">
        <v>1593</v>
      </c>
      <c r="F194" s="91" t="s">
        <v>1591</v>
      </c>
      <c r="G194" s="91" t="s">
        <v>1594</v>
      </c>
      <c r="H194" s="93"/>
      <c r="I194" s="91" t="s">
        <v>1595</v>
      </c>
      <c r="J194" s="91" t="s">
        <v>1596</v>
      </c>
      <c r="K194" s="91" t="s">
        <v>1597</v>
      </c>
      <c r="L194" s="91" t="s">
        <v>1598</v>
      </c>
    </row>
    <row r="195" spans="2:12" x14ac:dyDescent="0.25">
      <c r="B195" s="5" t="s">
        <v>25</v>
      </c>
      <c r="C195" s="6"/>
      <c r="D195" s="100">
        <f>IFERROR(VLOOKUP(B195,'ERPsCRPs&amp;Spreads'!$B$8:$K$164,10,FALSE),"NA")</f>
        <v>3.0315759038184648E-2</v>
      </c>
      <c r="E195" s="100">
        <f>IFERROR(VLOOKUP(B195,'ERPsCRPs&amp;Spreads'!$B$8:$H$164,7,FALSE),"NA")</f>
        <v>3.0013126508127919E-2</v>
      </c>
      <c r="F195" s="100" t="str">
        <f>IFERROR(VLOOKUP(B195,'ERPsCRPs&amp;Spreads'!$B$169:$I$189,8,FALSE),"NA")</f>
        <v>NA</v>
      </c>
      <c r="G195" s="100">
        <f t="shared" ref="G195:G197" si="23">IF(D195&lt;&gt;"NA",D195,IF(E195&lt;&gt;"NA",E195,F195))</f>
        <v>3.0315759038184648E-2</v>
      </c>
      <c r="H195" s="24"/>
      <c r="I195" s="100">
        <f>IFERROR(VLOOKUP(B195,'ERPsCRPs&amp;Spreads'!$B$8:$K$164,9,FALSE),"NA")</f>
        <v>3.026325300567299E-4</v>
      </c>
      <c r="J195" s="100">
        <f>IFERROR(VLOOKUP(B195,'ERPsCRPs&amp;Spreads'!$B$8:$K$164,6,FALSE),"NA")</f>
        <v>0</v>
      </c>
      <c r="K195" s="100" t="str">
        <f>IFERROR(VLOOKUP('CtryERP&amp;CRP'!B195,'ERPsCRPs&amp;Spreads'!$B$169:$I$189,7,FALSE),"NA")</f>
        <v>NA</v>
      </c>
      <c r="L195" s="100">
        <f t="shared" ref="L195:L197" si="24">IF(I195&lt;&gt;"NA",I195,IF(J195&lt;&gt;"NA",J195,K195))</f>
        <v>3.026325300567299E-4</v>
      </c>
    </row>
    <row r="196" spans="2:12" x14ac:dyDescent="0.25">
      <c r="B196" s="5" t="s">
        <v>34</v>
      </c>
      <c r="C196" s="6"/>
      <c r="D196" s="100" t="str">
        <f>IFERROR(VLOOKUP(B196,'ERPsCRPs&amp;Spreads'!$B$8:$K$164,10,FALSE),"NA")</f>
        <v>NA</v>
      </c>
      <c r="E196" s="100">
        <f>IFERROR(VLOOKUP(B196,'ERPsCRPs&amp;Spreads'!$B$8:$H$164,7,FALSE),"NA")</f>
        <v>0.16493526411093945</v>
      </c>
      <c r="F196" s="100" t="str">
        <f>IFERROR(VLOOKUP(B196,'ERPsCRPs&amp;Spreads'!$B$169:$I$189,8,FALSE),"NA")</f>
        <v>NA</v>
      </c>
      <c r="G196" s="100">
        <f t="shared" si="23"/>
        <v>0.16493526411093945</v>
      </c>
      <c r="H196" s="24"/>
      <c r="I196" s="100" t="str">
        <f>IFERROR(VLOOKUP(B196,'ERPsCRPs&amp;Spreads'!$B$8:$K$164,9,FALSE),"NA")</f>
        <v>NA</v>
      </c>
      <c r="J196" s="100">
        <f>IFERROR(VLOOKUP(B196,'ERPsCRPs&amp;Spreads'!$B$8:$K$164,6,FALSE),"NA")</f>
        <v>0.13492213760281152</v>
      </c>
      <c r="K196" s="100" t="str">
        <f>IFERROR(VLOOKUP('CtryERP&amp;CRP'!B196,'ERPsCRPs&amp;Spreads'!$B$169:$I$189,7,FALSE),"NA")</f>
        <v>NA</v>
      </c>
      <c r="L196" s="100">
        <f t="shared" si="24"/>
        <v>0.13492213760281152</v>
      </c>
    </row>
    <row r="197" spans="2:12" x14ac:dyDescent="0.25">
      <c r="B197" s="5" t="s">
        <v>42</v>
      </c>
      <c r="C197" s="6"/>
      <c r="D197" s="100">
        <f>IFERROR(VLOOKUP(B197,'ERPsCRPs&amp;Spreads'!$B$8:$K$164,10,FALSE),"NA")</f>
        <v>3.1828921688468299E-2</v>
      </c>
      <c r="E197" s="100">
        <f>IFERROR(VLOOKUP(B197,'ERPsCRPs&amp;Spreads'!$B$8:$H$164,7,FALSE),"NA")</f>
        <v>3.0013126508127919E-2</v>
      </c>
      <c r="F197" s="100" t="str">
        <f>IFERROR(VLOOKUP(B197,'ERPsCRPs&amp;Spreads'!$B$169:$I$189,8,FALSE),"NA")</f>
        <v>NA</v>
      </c>
      <c r="G197" s="100">
        <f t="shared" si="23"/>
        <v>3.1828921688468299E-2</v>
      </c>
      <c r="H197" s="24"/>
      <c r="I197" s="100">
        <f>IFERROR(VLOOKUP(B197,'ERPsCRPs&amp;Spreads'!$B$8:$K$164,9,FALSE),"NA")</f>
        <v>1.8157951803403787E-3</v>
      </c>
      <c r="J197" s="100">
        <f>IFERROR(VLOOKUP(B197,'ERPsCRPs&amp;Spreads'!$B$8:$K$164,6,FALSE),"NA")</f>
        <v>0</v>
      </c>
      <c r="K197" s="100" t="str">
        <f>IFERROR(VLOOKUP('CtryERP&amp;CRP'!B197,'ERPsCRPs&amp;Spreads'!$B$169:$I$189,7,FALSE),"NA")</f>
        <v>NA</v>
      </c>
      <c r="L197" s="100">
        <f t="shared" si="24"/>
        <v>1.8157951803403787E-3</v>
      </c>
    </row>
  </sheetData>
  <conditionalFormatting sqref="A93:G93">
    <cfRule type="containsText" dxfId="41" priority="43" operator="containsText" text="NA">
      <formula>NOT(ISERROR(SEARCH("NA",A93)))</formula>
    </cfRule>
  </conditionalFormatting>
  <conditionalFormatting sqref="B153">
    <cfRule type="containsText" dxfId="40" priority="35" operator="containsText" text="NA">
      <formula>NOT(ISERROR(SEARCH("NA",B153)))</formula>
    </cfRule>
  </conditionalFormatting>
  <conditionalFormatting sqref="C33:G48">
    <cfRule type="containsText" dxfId="39" priority="8" operator="containsText" text="NA">
      <formula>NOT(ISERROR(SEARCH("NA",C33)))</formula>
    </cfRule>
  </conditionalFormatting>
  <conditionalFormatting sqref="C51:G92">
    <cfRule type="containsText" dxfId="38" priority="7" operator="containsText" text="NA">
      <formula>NOT(ISERROR(SEARCH("NA",C51)))</formula>
    </cfRule>
  </conditionalFormatting>
  <conditionalFormatting sqref="C95:G121">
    <cfRule type="containsText" dxfId="37" priority="6" operator="containsText" text="NA">
      <formula>NOT(ISERROR(SEARCH("NA",C95)))</formula>
    </cfRule>
  </conditionalFormatting>
  <conditionalFormatting sqref="C124:G149">
    <cfRule type="containsText" dxfId="36" priority="5" operator="containsText" text="NA">
      <formula>NOT(ISERROR(SEARCH("NA",C124)))</formula>
    </cfRule>
  </conditionalFormatting>
  <conditionalFormatting sqref="C152:G153">
    <cfRule type="containsText" dxfId="35" priority="4" operator="containsText" text="NA">
      <formula>NOT(ISERROR(SEARCH("NA",C152)))</formula>
    </cfRule>
  </conditionalFormatting>
  <conditionalFormatting sqref="C156:G175">
    <cfRule type="containsText" dxfId="34" priority="3" operator="containsText" text="NA">
      <formula>NOT(ISERROR(SEARCH("NA",C156)))</formula>
    </cfRule>
  </conditionalFormatting>
  <conditionalFormatting sqref="C178:G192">
    <cfRule type="containsText" dxfId="33" priority="2" operator="containsText" text="NA">
      <formula>NOT(ISERROR(SEARCH("NA",C178)))</formula>
    </cfRule>
  </conditionalFormatting>
  <conditionalFormatting sqref="C195:G197">
    <cfRule type="containsText" dxfId="32" priority="1" operator="containsText" text="NA">
      <formula>NOT(ISERROR(SEARCH("NA",C195)))</formula>
    </cfRule>
  </conditionalFormatting>
  <conditionalFormatting sqref="C4:L30">
    <cfRule type="containsText" dxfId="31" priority="19" operator="containsText" text="NA">
      <formula>NOT(ISERROR(SEARCH("NA",C4)))</formula>
    </cfRule>
  </conditionalFormatting>
  <conditionalFormatting sqref="I33:L48">
    <cfRule type="containsText" dxfId="30" priority="48" operator="containsText" text="NA">
      <formula>NOT(ISERROR(SEARCH("NA",I33)))</formula>
    </cfRule>
  </conditionalFormatting>
  <conditionalFormatting sqref="I51:L92">
    <cfRule type="containsText" dxfId="29" priority="56" operator="containsText" text="NA">
      <formula>NOT(ISERROR(SEARCH("NA",I51)))</formula>
    </cfRule>
  </conditionalFormatting>
  <conditionalFormatting sqref="I95:L121">
    <cfRule type="containsText" dxfId="28" priority="40" operator="containsText" text="NA">
      <formula>NOT(ISERROR(SEARCH("NA",I95)))</formula>
    </cfRule>
  </conditionalFormatting>
  <conditionalFormatting sqref="I124:L149">
    <cfRule type="containsText" dxfId="27" priority="38" operator="containsText" text="NA">
      <formula>NOT(ISERROR(SEARCH("NA",I124)))</formula>
    </cfRule>
  </conditionalFormatting>
  <conditionalFormatting sqref="I152:L153">
    <cfRule type="containsText" dxfId="26" priority="36" operator="containsText" text="NA">
      <formula>NOT(ISERROR(SEARCH("NA",I152)))</formula>
    </cfRule>
  </conditionalFormatting>
  <conditionalFormatting sqref="I156:L175">
    <cfRule type="containsText" dxfId="25" priority="33" operator="containsText" text="NA">
      <formula>NOT(ISERROR(SEARCH("NA",I156)))</formula>
    </cfRule>
  </conditionalFormatting>
  <conditionalFormatting sqref="I178:L192">
    <cfRule type="containsText" dxfId="24" priority="31" operator="containsText" text="NA">
      <formula>NOT(ISERROR(SEARCH("NA",I178)))</formula>
    </cfRule>
  </conditionalFormatting>
  <conditionalFormatting sqref="I195:L197">
    <cfRule type="containsText" dxfId="23" priority="29" operator="containsText" text="NA">
      <formula>NOT(ISERROR(SEARCH("NA",I195)))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1D3D-7CE8-4B84-BE4C-76C4D4767E92}">
  <dimension ref="B2:AS64"/>
  <sheetViews>
    <sheetView showGridLines="0" zoomScale="96" workbookViewId="0">
      <selection activeCell="G9" sqref="G7:J9"/>
    </sheetView>
  </sheetViews>
  <sheetFormatPr defaultRowHeight="15" x14ac:dyDescent="0.25"/>
  <cols>
    <col min="1" max="1" width="1.85546875" customWidth="1"/>
    <col min="2" max="2" width="29.42578125" bestFit="1" customWidth="1"/>
    <col min="3" max="3" width="14.85546875" bestFit="1" customWidth="1"/>
    <col min="4" max="4" width="17.140625" customWidth="1"/>
    <col min="5" max="5" width="21" customWidth="1"/>
    <col min="6" max="6" width="8.7109375" customWidth="1"/>
    <col min="7" max="7" width="28.7109375" bestFit="1" customWidth="1"/>
    <col min="8" max="8" width="26" bestFit="1" customWidth="1"/>
    <col min="9" max="10" width="14.85546875" customWidth="1"/>
    <col min="11" max="11" width="14.28515625" customWidth="1"/>
    <col min="12" max="12" width="32" bestFit="1" customWidth="1"/>
    <col min="13" max="15" width="14.85546875" customWidth="1"/>
    <col min="16" max="16" width="8.7109375" customWidth="1"/>
    <col min="17" max="17" width="31.28515625" bestFit="1" customWidth="1"/>
    <col min="18" max="20" width="14.85546875" customWidth="1"/>
    <col min="21" max="21" width="8.7109375" customWidth="1"/>
    <col min="22" max="22" width="24.42578125" bestFit="1" customWidth="1"/>
    <col min="23" max="25" width="14.85546875" style="97" customWidth="1"/>
    <col min="26" max="26" width="8.7109375" customWidth="1"/>
    <col min="27" max="27" width="19.42578125" bestFit="1" customWidth="1"/>
    <col min="28" max="30" width="14.85546875" customWidth="1"/>
    <col min="31" max="31" width="8.7109375" customWidth="1"/>
    <col min="32" max="32" width="29.42578125" bestFit="1" customWidth="1"/>
    <col min="33" max="35" width="14.85546875" customWidth="1"/>
    <col min="36" max="36" width="8.7109375" customWidth="1"/>
    <col min="37" max="37" width="34.5703125" bestFit="1" customWidth="1"/>
    <col min="38" max="40" width="14.85546875" customWidth="1"/>
    <col min="41" max="41" width="8.7109375" customWidth="1"/>
    <col min="42" max="42" width="31.85546875" bestFit="1" customWidth="1"/>
    <col min="43" max="45" width="14.85546875" customWidth="1"/>
    <col min="50" max="50" width="21.42578125" bestFit="1" customWidth="1"/>
    <col min="51" max="53" width="11.7109375" customWidth="1"/>
  </cols>
  <sheetData>
    <row r="2" spans="2:45" ht="19.5" x14ac:dyDescent="0.3">
      <c r="B2" s="1" t="s">
        <v>0</v>
      </c>
      <c r="C2" s="2"/>
      <c r="D2" s="2"/>
      <c r="E2" s="2"/>
      <c r="F2" s="2"/>
      <c r="G2" s="2"/>
      <c r="H2" s="2"/>
      <c r="I2" s="2"/>
      <c r="J2" s="2"/>
      <c r="K2" s="2"/>
      <c r="L2" s="2"/>
      <c r="M2" s="2"/>
      <c r="N2" s="2"/>
      <c r="O2" s="2"/>
      <c r="P2" s="2"/>
      <c r="Q2" s="2"/>
      <c r="R2" s="2"/>
      <c r="S2" s="2"/>
      <c r="T2" s="2"/>
      <c r="U2" s="2"/>
      <c r="V2" s="2"/>
      <c r="W2" s="96"/>
      <c r="X2" s="96"/>
      <c r="Y2" s="96"/>
      <c r="Z2" s="2"/>
      <c r="AA2" s="2"/>
      <c r="AB2" s="2"/>
      <c r="AC2" s="2"/>
      <c r="AD2" s="2"/>
      <c r="AE2" s="2"/>
      <c r="AF2" s="2"/>
      <c r="AG2" s="2"/>
      <c r="AH2" s="2"/>
      <c r="AI2" s="2"/>
      <c r="AJ2" s="2"/>
      <c r="AK2" s="2"/>
      <c r="AL2" s="2"/>
      <c r="AM2" s="2"/>
      <c r="AN2" s="2"/>
      <c r="AO2" s="2"/>
      <c r="AP2" s="2"/>
      <c r="AQ2" s="2"/>
      <c r="AR2" s="2"/>
      <c r="AS2" s="2"/>
    </row>
    <row r="3" spans="2:45" ht="3.95" customHeight="1" x14ac:dyDescent="0.25"/>
    <row r="4" spans="2:45" x14ac:dyDescent="0.25">
      <c r="B4" s="3" t="s">
        <v>1589</v>
      </c>
      <c r="C4" s="4" t="s">
        <v>1</v>
      </c>
      <c r="D4" s="4" t="s">
        <v>4</v>
      </c>
      <c r="E4" s="4" t="s">
        <v>2</v>
      </c>
    </row>
    <row r="5" spans="2:45" ht="3.95" customHeight="1" x14ac:dyDescent="0.25">
      <c r="B5" s="29"/>
      <c r="C5" s="87"/>
      <c r="D5" s="88"/>
      <c r="E5" s="88"/>
      <c r="G5" s="129"/>
      <c r="H5" s="129"/>
      <c r="I5" s="129"/>
      <c r="J5" s="129"/>
    </row>
    <row r="6" spans="2:45" x14ac:dyDescent="0.25">
      <c r="B6" s="5" t="str">
        <f>AP21</f>
        <v>Australia &amp; New Zealand</v>
      </c>
      <c r="C6" s="6">
        <f>AQ25</f>
        <v>2017879.04</v>
      </c>
      <c r="D6" s="115">
        <f>AR25</f>
        <v>5.433753094424605E-4</v>
      </c>
      <c r="E6" s="115">
        <f>AS25</f>
        <v>3.0556501817570379E-2</v>
      </c>
      <c r="G6" s="130"/>
      <c r="H6" s="131"/>
      <c r="I6" s="131"/>
      <c r="J6" s="132"/>
    </row>
    <row r="7" spans="2:45" x14ac:dyDescent="0.25">
      <c r="B7" s="89" t="str">
        <f>RegionalERP!AK21</f>
        <v>Central and South America</v>
      </c>
      <c r="C7" s="90">
        <f>AL42</f>
        <v>6563149.5699999994</v>
      </c>
      <c r="D7" s="116">
        <f t="shared" ref="D7" si="0">AM42</f>
        <v>9.7716975957404167E-2</v>
      </c>
      <c r="E7" s="116">
        <f>AN42</f>
        <v>0.12773010246553204</v>
      </c>
      <c r="Q7" s="97"/>
      <c r="R7" s="97"/>
      <c r="S7" s="97"/>
      <c r="W7"/>
      <c r="X7"/>
      <c r="Y7"/>
    </row>
    <row r="8" spans="2:45" x14ac:dyDescent="0.25">
      <c r="B8" s="5" t="str">
        <f>AF21</f>
        <v>Caribbean</v>
      </c>
      <c r="C8" s="6">
        <f>AG37</f>
        <v>356923.7900000001</v>
      </c>
      <c r="D8" s="115">
        <f t="shared" ref="D8" si="1">AH37</f>
        <v>0.19981022774971519</v>
      </c>
      <c r="E8" s="115">
        <f>AI37</f>
        <v>0.22982335425784314</v>
      </c>
      <c r="Q8" s="97"/>
      <c r="R8" s="97"/>
      <c r="S8" s="97"/>
      <c r="W8"/>
      <c r="X8"/>
      <c r="Y8"/>
    </row>
    <row r="9" spans="2:45" x14ac:dyDescent="0.25">
      <c r="B9" s="5" t="str">
        <f>AA21</f>
        <v>North America</v>
      </c>
      <c r="C9" s="6">
        <f>AB24</f>
        <v>30994592.960000001</v>
      </c>
      <c r="D9" s="115">
        <f t="shared" ref="D9" si="2">AC24</f>
        <v>9.7020829354521505E-3</v>
      </c>
      <c r="E9" s="115">
        <f>AD24</f>
        <v>3.971520944358007E-2</v>
      </c>
      <c r="Q9" s="97"/>
      <c r="R9" s="97"/>
      <c r="S9" s="97"/>
      <c r="W9"/>
      <c r="X9"/>
      <c r="Y9"/>
    </row>
    <row r="10" spans="2:45" x14ac:dyDescent="0.25">
      <c r="B10" s="5" t="str">
        <f>V21</f>
        <v>Westeren Europe</v>
      </c>
      <c r="C10" s="6">
        <f>W48</f>
        <v>23566519.619999994</v>
      </c>
      <c r="D10" s="115">
        <f>X48</f>
        <v>1.4673900221870104E-2</v>
      </c>
      <c r="E10" s="115">
        <f>Y48</f>
        <v>4.4687026729998025E-2</v>
      </c>
      <c r="G10" s="130"/>
      <c r="H10" s="136"/>
      <c r="I10" s="131"/>
      <c r="J10" s="132"/>
    </row>
    <row r="11" spans="2:45" x14ac:dyDescent="0.25">
      <c r="B11" s="5" t="str">
        <f>Q21</f>
        <v>Eastern Europe &amp; Russia</v>
      </c>
      <c r="C11" s="6">
        <f>R49</f>
        <v>5665313.0199999986</v>
      </c>
      <c r="D11" s="115">
        <f>S49</f>
        <v>7.9495035965763475E-2</v>
      </c>
      <c r="E11" s="115">
        <f>T49</f>
        <v>0.10950816247389139</v>
      </c>
      <c r="G11" s="130"/>
      <c r="H11" s="131"/>
      <c r="I11" s="131"/>
      <c r="J11" s="132"/>
    </row>
    <row r="12" spans="2:45" x14ac:dyDescent="0.25">
      <c r="B12" s="5" t="str">
        <f>L21</f>
        <v>Africa</v>
      </c>
      <c r="C12" s="6">
        <f>M64</f>
        <v>2794308.18</v>
      </c>
      <c r="D12" s="115">
        <f>N64</f>
        <v>0.1647049268797571</v>
      </c>
      <c r="E12" s="115">
        <f>O64</f>
        <v>0.19471805338788503</v>
      </c>
      <c r="G12" s="130"/>
      <c r="H12" s="131"/>
      <c r="I12" s="131"/>
      <c r="J12" s="132"/>
    </row>
    <row r="13" spans="2:45" x14ac:dyDescent="0.25">
      <c r="B13" s="5" t="str">
        <f>G21</f>
        <v>Middle East</v>
      </c>
      <c r="C13" s="6">
        <f>H38</f>
        <v>4099199.39</v>
      </c>
      <c r="D13" s="115">
        <f>I38</f>
        <v>6.08280794756643E-2</v>
      </c>
      <c r="E13" s="115">
        <f>J38</f>
        <v>9.0841205983792236E-2</v>
      </c>
      <c r="G13" s="130"/>
      <c r="H13" s="131"/>
      <c r="I13" s="131"/>
      <c r="J13" s="132"/>
    </row>
    <row r="14" spans="2:45" x14ac:dyDescent="0.25">
      <c r="B14" s="5" t="str">
        <f>B21</f>
        <v>Asia</v>
      </c>
      <c r="C14" s="6">
        <f>C49</f>
        <v>34857583.550000004</v>
      </c>
      <c r="D14" s="115">
        <f>D49</f>
        <v>2.2846338122670232E-2</v>
      </c>
      <c r="E14" s="115">
        <f>E49</f>
        <v>5.2859464630798172E-2</v>
      </c>
      <c r="G14" s="130"/>
      <c r="H14" s="131"/>
      <c r="I14" s="131"/>
      <c r="J14" s="132"/>
    </row>
    <row r="15" spans="2:45" x14ac:dyDescent="0.25">
      <c r="C15" s="85"/>
      <c r="D15" s="114"/>
      <c r="E15" s="114"/>
      <c r="G15" s="133"/>
      <c r="H15" s="134"/>
      <c r="I15" s="134"/>
      <c r="J15" s="135"/>
    </row>
    <row r="16" spans="2:45" ht="15.75" thickBot="1" x14ac:dyDescent="0.3">
      <c r="B16" s="10" t="s">
        <v>1605</v>
      </c>
      <c r="C16" s="11">
        <f>SUM(C6:C14)</f>
        <v>110915469.12</v>
      </c>
      <c r="D16" s="12">
        <f>SUMPRODUCT(C6:C14,D6:D14)/C16</f>
        <v>2.9901912387415137E-2</v>
      </c>
      <c r="E16" s="12">
        <f>SUMPRODUCT(C6:C14,E6:E14)/C16</f>
        <v>5.9915038895543053E-2</v>
      </c>
    </row>
    <row r="17" spans="2:45" x14ac:dyDescent="0.25">
      <c r="C17" s="85"/>
      <c r="D17" s="86"/>
      <c r="E17" s="86"/>
    </row>
    <row r="18" spans="2:45" ht="15.75" x14ac:dyDescent="0.25">
      <c r="B18" s="13" t="s">
        <v>5</v>
      </c>
    </row>
    <row r="19" spans="2:45" ht="15.75" x14ac:dyDescent="0.25">
      <c r="B19" s="13" t="s">
        <v>6</v>
      </c>
    </row>
    <row r="20" spans="2:45" ht="3.95" customHeight="1" x14ac:dyDescent="0.25">
      <c r="B20" s="14"/>
    </row>
    <row r="21" spans="2:45" ht="19.5" x14ac:dyDescent="0.3">
      <c r="B21" s="15" t="s">
        <v>8</v>
      </c>
      <c r="C21" s="16" t="s">
        <v>1</v>
      </c>
      <c r="D21" s="16" t="s">
        <v>4</v>
      </c>
      <c r="E21" s="16" t="s">
        <v>2</v>
      </c>
      <c r="G21" s="15" t="s">
        <v>9</v>
      </c>
      <c r="H21" s="16" t="s">
        <v>1</v>
      </c>
      <c r="I21" s="16" t="s">
        <v>4</v>
      </c>
      <c r="J21" s="16" t="s">
        <v>2</v>
      </c>
      <c r="L21" s="15" t="s">
        <v>10</v>
      </c>
      <c r="M21" s="16" t="s">
        <v>1</v>
      </c>
      <c r="N21" s="16" t="s">
        <v>4</v>
      </c>
      <c r="O21" s="16" t="s">
        <v>2</v>
      </c>
      <c r="Q21" s="15" t="s">
        <v>11</v>
      </c>
      <c r="R21" s="16" t="s">
        <v>1</v>
      </c>
      <c r="S21" s="16" t="s">
        <v>4</v>
      </c>
      <c r="T21" s="16" t="s">
        <v>2</v>
      </c>
      <c r="V21" s="15" t="s">
        <v>12</v>
      </c>
      <c r="W21" s="98" t="s">
        <v>1</v>
      </c>
      <c r="X21" s="98" t="s">
        <v>4</v>
      </c>
      <c r="Y21" s="98" t="s">
        <v>2</v>
      </c>
      <c r="AA21" s="15" t="s">
        <v>13</v>
      </c>
      <c r="AB21" s="16" t="s">
        <v>1</v>
      </c>
      <c r="AC21" s="16" t="s">
        <v>4</v>
      </c>
      <c r="AD21" s="16" t="s">
        <v>2</v>
      </c>
      <c r="AF21" s="15" t="s">
        <v>14</v>
      </c>
      <c r="AG21" s="16" t="s">
        <v>1</v>
      </c>
      <c r="AH21" s="16" t="s">
        <v>4</v>
      </c>
      <c r="AI21" s="16" t="s">
        <v>2</v>
      </c>
      <c r="AK21" s="15" t="s">
        <v>15</v>
      </c>
      <c r="AL21" s="16" t="s">
        <v>1</v>
      </c>
      <c r="AM21" s="16" t="s">
        <v>4</v>
      </c>
      <c r="AN21" s="16" t="s">
        <v>2</v>
      </c>
      <c r="AP21" s="15" t="s">
        <v>16</v>
      </c>
      <c r="AQ21" s="16" t="s">
        <v>1</v>
      </c>
      <c r="AR21" s="16" t="s">
        <v>4</v>
      </c>
      <c r="AS21" s="16" t="s">
        <v>2</v>
      </c>
    </row>
    <row r="22" spans="2:45" x14ac:dyDescent="0.25">
      <c r="B22" s="5" t="s">
        <v>17</v>
      </c>
      <c r="C22" s="6">
        <f>VLOOKUP(B22,GDP!$B$7:$C$200,2,FALSE)</f>
        <v>450119.43</v>
      </c>
      <c r="D22" s="100">
        <f>VLOOKUP(B22,'CtryERP&amp;CRP'!$B$3:$L$197,11,FALSE)</f>
        <v>0.16486569294547207</v>
      </c>
      <c r="E22" s="100">
        <f>VLOOKUP(B22,'CtryERP&amp;CRP'!$B$3:$L$197,6,FALSE)</f>
        <v>0.1948788194536</v>
      </c>
      <c r="F22" s="30"/>
      <c r="G22" s="5" t="s">
        <v>18</v>
      </c>
      <c r="H22" s="6">
        <f>VLOOKUP(G22,GDP!$B$7:$C$200,2,FALSE)</f>
        <v>308000</v>
      </c>
      <c r="I22" s="100">
        <f>VLOOKUP(G22,'CtryERP&amp;CRP'!$B$3:$L$197,11,FALSE)</f>
        <v>1.5434259032893216E-2</v>
      </c>
      <c r="J22" s="100">
        <f>VLOOKUP(G22,'CtryERP&amp;CRP'!$B$3:$L$197,6,FALSE)</f>
        <v>4.5447385541021137E-2</v>
      </c>
      <c r="K22" s="30"/>
      <c r="L22" s="5" t="s">
        <v>19</v>
      </c>
      <c r="M22" s="6">
        <f>VLOOKUP(L22,GDP!$B$7:$C$200,2,FALSE)</f>
        <v>269322.28000000003</v>
      </c>
      <c r="N22" s="100">
        <f>VLOOKUP(L22,'CtryERP&amp;CRP'!$B$3:$L$197,11,FALSE)</f>
        <v>9.0182943149659939E-2</v>
      </c>
      <c r="O22" s="100">
        <f>VLOOKUP(L22,'CtryERP&amp;CRP'!$B$3:$L$197,6,FALSE)</f>
        <v>0.12019606965778785</v>
      </c>
      <c r="P22" s="30"/>
      <c r="Q22" s="5" t="s">
        <v>20</v>
      </c>
      <c r="R22" s="6">
        <f>VLOOKUP(Q22,GDP!$B$7:$C$200,2,FALSE)</f>
        <v>27046.43</v>
      </c>
      <c r="S22" s="100">
        <f>VLOOKUP(Q22,'CtryERP&amp;CRP'!$B$3:$L$197,11,FALSE)</f>
        <v>0.10779679923357789</v>
      </c>
      <c r="T22" s="100">
        <f>VLOOKUP(Q22,'CtryERP&amp;CRP'!$B$3:$L$197,6,FALSE)</f>
        <v>0.13780992574170581</v>
      </c>
      <c r="V22" s="5" t="s">
        <v>21</v>
      </c>
      <c r="W22" s="6">
        <f>VLOOKUP(V22,GDP!$B$7:$C$200,2,FALSE)</f>
        <v>4039.84</v>
      </c>
      <c r="X22" s="100">
        <f>VLOOKUP(V22,'CtryERP&amp;CRP'!$B$3:$L$197,11,FALSE)</f>
        <v>4.7909688548256828E-2</v>
      </c>
      <c r="Y22" s="100">
        <f>VLOOKUP(V22,'CtryERP&amp;CRP'!$B$3:$L$197,6,FALSE)</f>
        <v>7.792281505638475E-2</v>
      </c>
      <c r="AA22" s="5" t="s">
        <v>22</v>
      </c>
      <c r="AB22" s="6">
        <f>VLOOKUP(AA22,GDP!$B$7:$C$200,2,FALSE)</f>
        <v>2243636.83</v>
      </c>
      <c r="AC22" s="100">
        <f>VLOOKUP(AA22,'CtryERP&amp;CRP'!$B$3:$L$197,11,FALSE)</f>
        <v>6.0526506011345958E-3</v>
      </c>
      <c r="AD22" s="100">
        <f>VLOOKUP(AA22,'CtryERP&amp;CRP'!$B$3:$L$197,6,FALSE)</f>
        <v>3.6065777109262516E-2</v>
      </c>
      <c r="AF22" s="5" t="s">
        <v>23</v>
      </c>
      <c r="AG22" s="6">
        <f>VLOOKUP(AF22,GDP!$B$7:$C$200,2,FALSE)</f>
        <v>4265.6499999999996</v>
      </c>
      <c r="AH22" s="100">
        <f>VLOOKUP(AF22,'CtryERP&amp;CRP'!$B$3:$L$197,11,FALSE)</f>
        <v>6.5875821753853162E-2</v>
      </c>
      <c r="AI22" s="100">
        <f>VLOOKUP(AF22,'CtryERP&amp;CRP'!$B$3:$L$197,6,FALSE)</f>
        <v>9.5888948261981077E-2</v>
      </c>
      <c r="AK22" s="5" t="s">
        <v>24</v>
      </c>
      <c r="AL22" s="6">
        <f>VLOOKUP(AK22,GDP!$B$7:$C$200,2,FALSE)</f>
        <v>638365.46</v>
      </c>
      <c r="AM22" s="100">
        <f>VLOOKUP(AK22,'CtryERP&amp;CRP'!$B$3:$L$197,11,FALSE)</f>
        <v>0.24815867464651842</v>
      </c>
      <c r="AN22" s="100">
        <f>VLOOKUP(AK22,'CtryERP&amp;CRP'!$B$3:$L$197,6,FALSE)</f>
        <v>0.27817180115464635</v>
      </c>
      <c r="AP22" s="5" t="s">
        <v>25</v>
      </c>
      <c r="AQ22" s="6">
        <f>VLOOKUP(AP22,GDP!$B$7:$C$200,2,FALSE)</f>
        <v>1757022.45</v>
      </c>
      <c r="AR22" s="100">
        <f>VLOOKUP(AP22,'CtryERP&amp;CRP'!$B$3:$L$197,11,FALSE)</f>
        <v>3.026325300567299E-4</v>
      </c>
      <c r="AS22" s="100">
        <f>VLOOKUP(AP22,'CtryERP&amp;CRP'!$B$3:$L$197,6,FALSE)</f>
        <v>3.0315759038184648E-2</v>
      </c>
    </row>
    <row r="23" spans="2:45" x14ac:dyDescent="0.25">
      <c r="B23" s="5" t="s">
        <v>26</v>
      </c>
      <c r="C23" s="6">
        <f>VLOOKUP(B23,GDP!$B$7:$C$200,2,FALSE)</f>
        <v>15340.81</v>
      </c>
      <c r="D23" s="100">
        <f>VLOOKUP(B23,'CtryERP&amp;CRP'!$B$3:$L$197,11,FALSE)</f>
        <v>1.7966133205596316E-2</v>
      </c>
      <c r="E23" s="100">
        <f>VLOOKUP(B23,'CtryERP&amp;CRP'!$B$3:$L$197,6,FALSE)</f>
        <v>4.7979259713724236E-2</v>
      </c>
      <c r="F23" s="30"/>
      <c r="G23" s="5" t="s">
        <v>27</v>
      </c>
      <c r="H23" s="6">
        <f>VLOOKUP(G23,GDP!$B$7:$C$200,2,FALSE)</f>
        <v>47109.73</v>
      </c>
      <c r="I23" s="100">
        <f>VLOOKUP(G23,'CtryERP&amp;CRP'!$B$3:$L$197,11,FALSE)</f>
        <v>7.9289722874863203E-2</v>
      </c>
      <c r="J23" s="100">
        <f>VLOOKUP(G23,'CtryERP&amp;CRP'!$B$3:$L$197,6,FALSE)</f>
        <v>0.10930284938299112</v>
      </c>
      <c r="K23" s="30"/>
      <c r="L23" s="5" t="s">
        <v>28</v>
      </c>
      <c r="M23" s="6">
        <f>VLOOKUP(L23,GDP!$B$7:$C$200,2,FALSE)</f>
        <v>100998.92</v>
      </c>
      <c r="N23" s="100">
        <f>VLOOKUP(L23,'CtryERP&amp;CRP'!$B$3:$L$197,11,FALSE)</f>
        <v>0.21154013850965411</v>
      </c>
      <c r="O23" s="100">
        <f>VLOOKUP(L23,'CtryERP&amp;CRP'!$B$3:$L$197,6,FALSE)</f>
        <v>0.24155326501778204</v>
      </c>
      <c r="P23" s="30"/>
      <c r="Q23" s="5" t="s">
        <v>29</v>
      </c>
      <c r="R23" s="6">
        <f>VLOOKUP(Q23,GDP!$B$7:$C$200,2,FALSE)</f>
        <v>25955.279999999999</v>
      </c>
      <c r="S23" s="100">
        <f>VLOOKUP(Q23,'CtryERP&amp;CRP'!$B$3:$L$197,11,FALSE)</f>
        <v>0.10779679923357789</v>
      </c>
      <c r="T23" s="100">
        <f>VLOOKUP(Q23,'CtryERP&amp;CRP'!$B$3:$L$197,6,FALSE)</f>
        <v>0.13780992574170581</v>
      </c>
      <c r="V23" s="5" t="s">
        <v>30</v>
      </c>
      <c r="W23" s="6">
        <f>VLOOKUP(V23,GDP!$B$7:$C$200,2,FALSE)</f>
        <v>534790.72</v>
      </c>
      <c r="X23" s="100">
        <f>VLOOKUP(V23,'CtryERP&amp;CRP'!$B$3:$L$197,11,FALSE)</f>
        <v>4.5394879508509475E-3</v>
      </c>
      <c r="Y23" s="100">
        <f>VLOOKUP(V23,'CtryERP&amp;CRP'!$B$3:$L$197,6,FALSE)</f>
        <v>3.4552614458978864E-2</v>
      </c>
      <c r="AA23" s="9" t="s">
        <v>31</v>
      </c>
      <c r="AB23" s="6">
        <f>VLOOKUP(AA23,GDP!$B$7:$C$200,2,FALSE)</f>
        <v>28750956.129999999</v>
      </c>
      <c r="AC23" s="100">
        <f>VLOOKUP(AA23,'CtryERP&amp;CRP'!$B$3:$L$197,11,FALSE)</f>
        <v>9.9868734918720815E-3</v>
      </c>
      <c r="AD23" s="100">
        <f>VLOOKUP(AA23,'CtryERP&amp;CRP'!$B$3:$L$197,6,FALSE)</f>
        <v>0.04</v>
      </c>
      <c r="AF23" s="5" t="s">
        <v>32</v>
      </c>
      <c r="AG23" s="6">
        <f>VLOOKUP(AF23,GDP!$B$7:$C$200,2,FALSE)</f>
        <v>15832.8</v>
      </c>
      <c r="AH23" s="100">
        <f>VLOOKUP(AF23,'CtryERP&amp;CRP'!$B$3:$L$197,11,FALSE)</f>
        <v>0.13492213760281152</v>
      </c>
      <c r="AI23" s="100">
        <f>VLOOKUP(AF23,'CtryERP&amp;CRP'!$B$3:$L$197,6,FALSE)</f>
        <v>0.16493526411093945</v>
      </c>
      <c r="AK23" s="5" t="s">
        <v>33</v>
      </c>
      <c r="AL23" s="6">
        <f>VLOOKUP(AK23,GDP!$B$7:$C$200,2,FALSE)</f>
        <v>3203.63</v>
      </c>
      <c r="AM23" s="100">
        <f>VLOOKUP(AK23,'CtryERP&amp;CRP'!$B$3:$L$197,11,FALSE)</f>
        <v>0.22475280363079311</v>
      </c>
      <c r="AN23" s="100">
        <f>VLOOKUP(AK23,'CtryERP&amp;CRP'!$B$3:$L$197,6,FALSE)</f>
        <v>0.25476593013892102</v>
      </c>
      <c r="AP23" s="5" t="s">
        <v>34</v>
      </c>
      <c r="AQ23" s="6">
        <f>VLOOKUP(AP23,GDP!$B$7:$C$200,2,FALSE)</f>
        <v>684.2</v>
      </c>
      <c r="AR23" s="100">
        <f>VLOOKUP(AP23,'CtryERP&amp;CRP'!$B$3:$L$197,11,FALSE)</f>
        <v>0.13492213760281152</v>
      </c>
      <c r="AS23" s="100">
        <f>VLOOKUP(AP23,'CtryERP&amp;CRP'!$B$3:$L$197,6,FALSE)</f>
        <v>0.16493526411093945</v>
      </c>
    </row>
    <row r="24" spans="2:45" ht="15.75" thickBot="1" x14ac:dyDescent="0.3">
      <c r="B24" s="5" t="s">
        <v>35</v>
      </c>
      <c r="C24" s="6">
        <f>VLOOKUP(B24,GDP!$B$7:$C$200,2,FALSE)</f>
        <v>46352.65</v>
      </c>
      <c r="D24" s="100">
        <f>VLOOKUP(B24,'CtryERP&amp;CRP'!$B$3:$L$197,11,FALSE)</f>
        <v>0.16486569294547207</v>
      </c>
      <c r="E24" s="100">
        <f>VLOOKUP(B24,'CtryERP&amp;CRP'!$B$3:$L$197,6,FALSE)</f>
        <v>0.1948788194536</v>
      </c>
      <c r="F24" s="30"/>
      <c r="G24" s="5" t="s">
        <v>36</v>
      </c>
      <c r="H24" s="6">
        <f>VLOOKUP(G24,GDP!$B$7:$C$200,2,FALSE)</f>
        <v>475252.09</v>
      </c>
      <c r="I24" s="100">
        <f>VLOOKUP(G24,'CtryERP&amp;CRP'!$B$3:$L$197,11,FALSE)</f>
        <v>0.19480924828813256</v>
      </c>
      <c r="J24" s="100">
        <f>VLOOKUP(G24,'CtryERP&amp;CRP'!$B$3:$L$197,6,FALSE)</f>
        <v>0.22482237479626049</v>
      </c>
      <c r="K24" s="30"/>
      <c r="L24" s="5" t="s">
        <v>37</v>
      </c>
      <c r="M24" s="6">
        <f>VLOOKUP(L24,GDP!$B$7:$C$200,2,FALSE)</f>
        <v>21482.639999999999</v>
      </c>
      <c r="N24" s="100">
        <f>VLOOKUP(L24,'CtryERP&amp;CRP'!$B$3:$L$197,11,FALSE)</f>
        <v>0.13492213760281152</v>
      </c>
      <c r="O24" s="100">
        <f>VLOOKUP(L24,'CtryERP&amp;CRP'!$B$3:$L$197,6,FALSE)</f>
        <v>0.16493526411093945</v>
      </c>
      <c r="P24" s="30"/>
      <c r="Q24" s="5" t="s">
        <v>38</v>
      </c>
      <c r="R24" s="6">
        <f>VLOOKUP(Q24,GDP!$B$7:$C$200,2,FALSE)</f>
        <v>74315.88</v>
      </c>
      <c r="S24" s="100">
        <f>VLOOKUP(Q24,'CtryERP&amp;CRP'!$B$3:$L$197,11,FALSE)</f>
        <v>7.5035026917490505E-2</v>
      </c>
      <c r="T24" s="100">
        <f>VLOOKUP(Q24,'CtryERP&amp;CRP'!$B$3:$L$197,6,FALSE)</f>
        <v>0.10504815342561842</v>
      </c>
      <c r="V24" s="5" t="s">
        <v>39</v>
      </c>
      <c r="W24" s="6">
        <f>VLOOKUP(V24,GDP!$B$7:$C$200,2,FALSE)</f>
        <v>671370.08</v>
      </c>
      <c r="X24" s="100">
        <f>VLOOKUP(V24,'CtryERP&amp;CRP'!$B$3:$L$197,11,FALSE)</f>
        <v>9.9868734918720815E-3</v>
      </c>
      <c r="Y24" s="100">
        <f>VLOOKUP(V24,'CtryERP&amp;CRP'!$B$3:$L$197,6,FALSE)</f>
        <v>0.04</v>
      </c>
      <c r="AA24" s="10" t="str">
        <f>AA21</f>
        <v>North America</v>
      </c>
      <c r="AB24" s="17">
        <f>SUM(AB22:AB23)</f>
        <v>30994592.960000001</v>
      </c>
      <c r="AC24" s="101">
        <f>SUMPRODUCT(AC22:AC23,AB22:AB23)/AB24</f>
        <v>9.7020829354521505E-3</v>
      </c>
      <c r="AD24" s="101">
        <f>SUMPRODUCT(AD22:AD23,AB22:AB23)/AB24</f>
        <v>3.971520944358007E-2</v>
      </c>
      <c r="AF24" s="5" t="s">
        <v>40</v>
      </c>
      <c r="AG24" s="6">
        <f>VLOOKUP(AF24,GDP!$B$7:$C$200,2,FALSE)</f>
        <v>7498.05</v>
      </c>
      <c r="AH24" s="100">
        <f>VLOOKUP(AF24,'CtryERP&amp;CRP'!$B$3:$L$197,11,FALSE)</f>
        <v>0.19480924828813256</v>
      </c>
      <c r="AI24" s="100">
        <f>VLOOKUP(AF24,'CtryERP&amp;CRP'!$B$3:$L$197,6,FALSE)</f>
        <v>0.22482237479626049</v>
      </c>
      <c r="AK24" s="5" t="s">
        <v>41</v>
      </c>
      <c r="AL24" s="6">
        <f>VLOOKUP(AK24,GDP!$B$7:$C$200,2,FALSE)</f>
        <v>54881.33</v>
      </c>
      <c r="AM24" s="100">
        <f>VLOOKUP(AK24,'CtryERP&amp;CRP'!$B$3:$L$197,11,FALSE)</f>
        <v>0.29978783054828367</v>
      </c>
      <c r="AN24" s="100">
        <f>VLOOKUP(AK24,'CtryERP&amp;CRP'!$B$3:$L$197,6,FALSE)</f>
        <v>0.3298009570564116</v>
      </c>
      <c r="AP24" s="9" t="s">
        <v>42</v>
      </c>
      <c r="AQ24" s="6">
        <f>VLOOKUP(AP24,GDP!$B$7:$C$200,2,FALSE)</f>
        <v>260172.39</v>
      </c>
      <c r="AR24" s="100">
        <f>VLOOKUP(AP24,'CtryERP&amp;CRP'!$B$3:$L$197,11,FALSE)</f>
        <v>1.8157951803403787E-3</v>
      </c>
      <c r="AS24" s="100">
        <f>VLOOKUP(AP24,'CtryERP&amp;CRP'!$B$3:$L$197,6,FALSE)</f>
        <v>3.1828921688468299E-2</v>
      </c>
    </row>
    <row r="25" spans="2:45" ht="15.75" thickBot="1" x14ac:dyDescent="0.3">
      <c r="B25" s="5" t="s">
        <v>43</v>
      </c>
      <c r="C25" s="6">
        <f>VLOOKUP(B25,GDP!$B$7:$C$200,2,FALSE)</f>
        <v>18743803.170000002</v>
      </c>
      <c r="D25" s="100">
        <f>VLOOKUP(B25,'CtryERP&amp;CRP'!$B$3:$L$197,11,FALSE)</f>
        <v>1.7552686743290326E-2</v>
      </c>
      <c r="E25" s="100">
        <f>VLOOKUP(B25,'CtryERP&amp;CRP'!$B$3:$L$197,6,FALSE)</f>
        <v>4.7565813251418246E-2</v>
      </c>
      <c r="F25" s="30"/>
      <c r="G25" s="5" t="s">
        <v>44</v>
      </c>
      <c r="H25" s="6">
        <f>VLOOKUP(G25,GDP!$B$7:$C$200,2,FALSE)</f>
        <v>279641.26</v>
      </c>
      <c r="I25" s="100">
        <f>VLOOKUP(G25,'CtryERP&amp;CRP'!$B$3:$L$197,11,FALSE)</f>
        <v>0.11742142166201115</v>
      </c>
      <c r="J25" s="100">
        <f>VLOOKUP(G25,'CtryERP&amp;CRP'!$B$3:$L$197,6,FALSE)</f>
        <v>0.14743454817013907</v>
      </c>
      <c r="K25" s="30"/>
      <c r="L25" s="5" t="s">
        <v>45</v>
      </c>
      <c r="M25" s="6">
        <f>VLOOKUP(L25,GDP!$B$7:$C$200,2,FALSE)</f>
        <v>19402.060000000001</v>
      </c>
      <c r="N25" s="100">
        <f>VLOOKUP(L25,'CtryERP&amp;CRP'!$B$3:$L$197,11,FALSE)</f>
        <v>3.5932266411192633E-2</v>
      </c>
      <c r="O25" s="100">
        <f>VLOOKUP(L25,'CtryERP&amp;CRP'!$B$3:$L$197,6,FALSE)</f>
        <v>6.5945392919320556E-2</v>
      </c>
      <c r="P25" s="30"/>
      <c r="Q25" s="5" t="s">
        <v>46</v>
      </c>
      <c r="R25" s="6">
        <f>VLOOKUP(Q25,GDP!$B$7:$C$200,2,FALSE)</f>
        <v>75961.87</v>
      </c>
      <c r="S25" s="100">
        <f>VLOOKUP(Q25,'CtryERP&amp;CRP'!$B$3:$L$197,11,FALSE)</f>
        <v>0.52960692759927708</v>
      </c>
      <c r="T25" s="100">
        <f>VLOOKUP(Q25,'CtryERP&amp;CRP'!$B$3:$L$197,6,FALSE)</f>
        <v>0.55962005410740501</v>
      </c>
      <c r="V25" s="5" t="s">
        <v>47</v>
      </c>
      <c r="W25" s="6">
        <f>VLOOKUP(V25,GDP!$B$7:$C$200,2,FALSE)</f>
        <v>37634.53</v>
      </c>
      <c r="X25" s="100">
        <f>VLOOKUP(V25,'CtryERP&amp;CRP'!$B$3:$L$197,11,FALSE)</f>
        <v>1.9671114453687435E-2</v>
      </c>
      <c r="Y25" s="100">
        <f>VLOOKUP(V25,'CtryERP&amp;CRP'!$B$3:$L$197,6,FALSE)</f>
        <v>4.9684240961815354E-2</v>
      </c>
      <c r="AF25" s="5" t="s">
        <v>48</v>
      </c>
      <c r="AG25" s="6">
        <f>VLOOKUP(AF25,GDP!$B$7:$C$200,2,FALSE)</f>
        <v>9233.6</v>
      </c>
      <c r="AH25" s="100">
        <f>VLOOKUP(AF25,'CtryERP&amp;CRP'!$B$3:$L$197,11,FALSE)</f>
        <v>2.536395276084186E-2</v>
      </c>
      <c r="AI25" s="100">
        <f>VLOOKUP(AF25,'CtryERP&amp;CRP'!$B$3:$L$197,6,FALSE)</f>
        <v>5.537707926896978E-2</v>
      </c>
      <c r="AK25" s="5" t="s">
        <v>49</v>
      </c>
      <c r="AL25" s="6">
        <f>VLOOKUP(AK25,GDP!$B$7:$C$200,2,FALSE)</f>
        <v>2185821.65</v>
      </c>
      <c r="AM25" s="100">
        <f>VLOOKUP(AK25,'CtryERP&amp;CRP'!$B$3:$L$197,11,FALSE)</f>
        <v>7.2026542153501683E-2</v>
      </c>
      <c r="AN25" s="100">
        <f>VLOOKUP(AK25,'CtryERP&amp;CRP'!$B$3:$L$197,6,FALSE)</f>
        <v>0.1020396686616296</v>
      </c>
      <c r="AP25" s="10" t="str">
        <f>AP21</f>
        <v>Australia &amp; New Zealand</v>
      </c>
      <c r="AQ25" s="17">
        <f>SUM(AQ22:AQ24)</f>
        <v>2017879.04</v>
      </c>
      <c r="AR25" s="101">
        <f>SUMPRODUCT(AR22:AR24,AQ22:AQ24)/AQ25</f>
        <v>5.433753094424605E-4</v>
      </c>
      <c r="AS25" s="101">
        <f>SUMPRODUCT(AS22:AS24,AQ22:AQ24)/AQ25</f>
        <v>3.0556501817570379E-2</v>
      </c>
    </row>
    <row r="26" spans="2:45" x14ac:dyDescent="0.25">
      <c r="B26" s="5" t="s">
        <v>50</v>
      </c>
      <c r="C26" s="6">
        <f>VLOOKUP(B26,GDP!$B$7:$C$200,2,FALSE)</f>
        <v>5968.13</v>
      </c>
      <c r="D26" s="100">
        <f>VLOOKUP(B26,'CtryERP&amp;CRP'!$B$3:$L$197,11,FALSE)</f>
        <v>0.13492213760281152</v>
      </c>
      <c r="E26" s="100">
        <f>VLOOKUP(B26,'CtryERP&amp;CRP'!$B$3:$L$197,6,FALSE)</f>
        <v>0.16493526411093945</v>
      </c>
      <c r="F26" s="30"/>
      <c r="G26" s="5" t="s">
        <v>51</v>
      </c>
      <c r="H26" s="6">
        <f>VLOOKUP(G26,GDP!$B$7:$C$200,2,FALSE)</f>
        <v>540379.92000000004</v>
      </c>
      <c r="I26" s="100">
        <f>VLOOKUP(G26,'CtryERP&amp;CRP'!$B$3:$L$197,11,FALSE)</f>
        <v>3.692116866692103E-2</v>
      </c>
      <c r="J26" s="100">
        <f>VLOOKUP(G26,'CtryERP&amp;CRP'!$B$3:$L$197,6,FALSE)</f>
        <v>6.6934295175048952E-2</v>
      </c>
      <c r="K26" s="30"/>
      <c r="L26" s="5" t="s">
        <v>52</v>
      </c>
      <c r="M26" s="6">
        <f>VLOOKUP(L26,GDP!$B$7:$C$200,2,FALSE)</f>
        <v>23124.73</v>
      </c>
      <c r="N26" s="100">
        <f>VLOOKUP(L26,'CtryERP&amp;CRP'!$B$3:$L$197,11,FALSE)</f>
        <v>0.22475280363079311</v>
      </c>
      <c r="O26" s="100">
        <f>VLOOKUP(L26,'CtryERP&amp;CRP'!$B$3:$L$197,6,FALSE)</f>
        <v>0.25476593013892102</v>
      </c>
      <c r="P26" s="30"/>
      <c r="Q26" s="5" t="s">
        <v>53</v>
      </c>
      <c r="R26" s="6">
        <f>VLOOKUP(Q26,GDP!$B$7:$C$200,2,FALSE)</f>
        <v>29613.57</v>
      </c>
      <c r="S26" s="100">
        <f>VLOOKUP(Q26,'CtryERP&amp;CRP'!$B$3:$L$197,11,FALSE)</f>
        <v>0.19480924828813256</v>
      </c>
      <c r="T26" s="100">
        <f>VLOOKUP(Q26,'CtryERP&amp;CRP'!$B$3:$L$197,6,FALSE)</f>
        <v>0.22482237479626049</v>
      </c>
      <c r="V26" s="5" t="s">
        <v>54</v>
      </c>
      <c r="W26" s="6">
        <f>VLOOKUP(V26,GDP!$B$7:$C$200,2,FALSE)</f>
        <v>424524.72</v>
      </c>
      <c r="X26" s="100">
        <f>VLOOKUP(V26,'CtryERP&amp;CRP'!$B$3:$L$197,11,FALSE)</f>
        <v>1.2105301202269189E-3</v>
      </c>
      <c r="Y26" s="100">
        <f>VLOOKUP(V26,'CtryERP&amp;CRP'!$B$3:$L$197,6,FALSE)</f>
        <v>3.1223656628354839E-2</v>
      </c>
      <c r="AF26" s="5" t="s">
        <v>55</v>
      </c>
      <c r="AG26" s="6">
        <f>VLOOKUP(AF26,GDP!$B$7:$C$200,2,FALSE)</f>
        <v>7241.24</v>
      </c>
      <c r="AH26" s="100">
        <f>VLOOKUP(AF26,'CtryERP&amp;CRP'!$B$3:$L$197,11,FALSE)</f>
        <v>1.7966133205596316E-2</v>
      </c>
      <c r="AI26" s="100">
        <f>VLOOKUP(AF26,'CtryERP&amp;CRP'!$B$3:$L$197,6,FALSE)</f>
        <v>4.7979259713724236E-2</v>
      </c>
      <c r="AK26" s="5" t="s">
        <v>56</v>
      </c>
      <c r="AL26" s="6">
        <f>VLOOKUP(AK26,GDP!$B$7:$C$200,2,FALSE)</f>
        <v>330267.14</v>
      </c>
      <c r="AM26" s="100">
        <f>VLOOKUP(AK26,'CtryERP&amp;CRP'!$B$3:$L$197,11,FALSE)</f>
        <v>2.6329030114935488E-2</v>
      </c>
      <c r="AN26" s="100">
        <f>VLOOKUP(AK26,'CtryERP&amp;CRP'!$B$3:$L$197,6,FALSE)</f>
        <v>5.6342156623063411E-2</v>
      </c>
    </row>
    <row r="27" spans="2:45" x14ac:dyDescent="0.25">
      <c r="B27" s="5" t="s">
        <v>57</v>
      </c>
      <c r="C27" s="6">
        <f>VLOOKUP(B27,GDP!$B$7:$C$200,2,FALSE)</f>
        <v>406863.4</v>
      </c>
      <c r="D27" s="100">
        <f>VLOOKUP(B27,'CtryERP&amp;CRP'!$B$3:$L$197,11,FALSE)</f>
        <v>1.271056626238265E-2</v>
      </c>
      <c r="E27" s="100">
        <f>VLOOKUP(B27,'CtryERP&amp;CRP'!$B$3:$L$197,6,FALSE)</f>
        <v>4.2723692770510566E-2</v>
      </c>
      <c r="F27" s="30"/>
      <c r="G27" s="5" t="s">
        <v>58</v>
      </c>
      <c r="H27" s="6">
        <f>VLOOKUP(G27,GDP!$B$7:$C$200,2,FALSE)</f>
        <v>53352.29</v>
      </c>
      <c r="I27" s="100">
        <f>VLOOKUP(G27,'CtryERP&amp;CRP'!$B$3:$L$197,11,FALSE)</f>
        <v>0.10779679923357789</v>
      </c>
      <c r="J27" s="100">
        <f>VLOOKUP(G27,'CtryERP&amp;CRP'!$B$3:$L$197,6,FALSE)</f>
        <v>0.13780992574170581</v>
      </c>
      <c r="K27" s="30"/>
      <c r="L27" s="5" t="s">
        <v>59</v>
      </c>
      <c r="M27" s="6">
        <f>VLOOKUP(L27,GDP!$B$7:$C$200,2,FALSE)</f>
        <v>53296.69</v>
      </c>
      <c r="N27" s="100">
        <f>VLOOKUP(L27,'CtryERP&amp;CRP'!$B$3:$L$197,11,FALSE)</f>
        <v>0.23786916862458959</v>
      </c>
      <c r="O27" s="100">
        <f>VLOOKUP(L27,'CtryERP&amp;CRP'!$B$3:$L$197,6,FALSE)</f>
        <v>0.2678822951327175</v>
      </c>
      <c r="P27" s="30"/>
      <c r="Q27" s="5" t="s">
        <v>60</v>
      </c>
      <c r="R27" s="6">
        <f>VLOOKUP(Q27,GDP!$B$7:$C$200,2,FALSE)</f>
        <v>113343.36</v>
      </c>
      <c r="S27" s="100">
        <f>VLOOKUP(Q27,'CtryERP&amp;CRP'!$B$3:$L$197,11,FALSE)</f>
        <v>2.8750090355389328E-2</v>
      </c>
      <c r="T27" s="100">
        <f>VLOOKUP(Q27,'CtryERP&amp;CRP'!$B$3:$L$197,6,FALSE)</f>
        <v>5.8763216863517251E-2</v>
      </c>
      <c r="V27" s="5" t="s">
        <v>61</v>
      </c>
      <c r="W27" s="6">
        <f>VLOOKUP(V27,GDP!$B$7:$C$200,2,FALSE)</f>
        <v>298696.96000000002</v>
      </c>
      <c r="X27" s="100">
        <f>VLOOKUP(V27,'CtryERP&amp;CRP'!$B$3:$L$197,11,FALSE)</f>
        <v>4.5394879508509475E-3</v>
      </c>
      <c r="Y27" s="100">
        <f>VLOOKUP(V27,'CtryERP&amp;CRP'!$B$3:$L$197,6,FALSE)</f>
        <v>3.4552614458978864E-2</v>
      </c>
      <c r="AF27" s="5" t="s">
        <v>62</v>
      </c>
      <c r="AG27" s="6">
        <f>VLOOKUP(AF27,GDP!$B$7:$C$200,2,FALSE)</f>
        <v>107352</v>
      </c>
      <c r="AH27" s="100">
        <f>VLOOKUP(AF27,'CtryERP&amp;CRP'!$B$3:$L$197,11,FALSE)</f>
        <v>0.35967494123360472</v>
      </c>
      <c r="AI27" s="100">
        <f>VLOOKUP(AF27,'CtryERP&amp;CRP'!$B$3:$L$197,6,FALSE)</f>
        <v>0.38968806774173265</v>
      </c>
      <c r="AK27" s="5" t="s">
        <v>63</v>
      </c>
      <c r="AL27" s="6">
        <f>VLOOKUP(AK27,GDP!$B$7:$C$200,2,FALSE)</f>
        <v>418818.15</v>
      </c>
      <c r="AM27" s="100">
        <f>VLOOKUP(AK27,'CtryERP&amp;CRP'!$B$3:$L$197,11,FALSE)</f>
        <v>0.10017136744877754</v>
      </c>
      <c r="AN27" s="100">
        <f>VLOOKUP(AK27,'CtryERP&amp;CRP'!$B$3:$L$197,6,FALSE)</f>
        <v>0.13018449395690546</v>
      </c>
    </row>
    <row r="28" spans="2:45" x14ac:dyDescent="0.25">
      <c r="B28" s="5" t="s">
        <v>64</v>
      </c>
      <c r="C28" s="6">
        <f>VLOOKUP(B28,GDP!$B$7:$C$200,2,FALSE)</f>
        <v>3909891.53</v>
      </c>
      <c r="D28" s="100">
        <f>VLOOKUP(B28,'CtryERP&amp;CRP'!$B$3:$L$197,11,FALSE)</f>
        <v>2.0276379513800891E-2</v>
      </c>
      <c r="E28" s="100">
        <f>VLOOKUP(B28,'CtryERP&amp;CRP'!$B$3:$L$197,6,FALSE)</f>
        <v>5.0289506021928811E-2</v>
      </c>
      <c r="F28" s="30"/>
      <c r="G28" s="5" t="s">
        <v>65</v>
      </c>
      <c r="H28" s="6">
        <f>VLOOKUP(G28,GDP!$B$7:$C$200,2,FALSE)</f>
        <v>160227.26999999999</v>
      </c>
      <c r="I28" s="100">
        <f>VLOOKUP(G28,'CtryERP&amp;CRP'!$B$3:$L$197,11,FALSE)</f>
        <v>2.118427710397108E-2</v>
      </c>
      <c r="J28" s="100">
        <f>VLOOKUP(G28,'CtryERP&amp;CRP'!$B$3:$L$197,6,FALSE)</f>
        <v>5.1197403612098999E-2</v>
      </c>
      <c r="K28" s="30"/>
      <c r="L28" s="5" t="s">
        <v>66</v>
      </c>
      <c r="M28" s="6">
        <f>VLOOKUP(L28,GDP!$B$7:$C$200,2,FALSE)</f>
        <v>2725.41</v>
      </c>
      <c r="N28" s="100">
        <f>VLOOKUP(L28,'CtryERP&amp;CRP'!$B$3:$L$197,11,FALSE)</f>
        <v>0.16486569294547207</v>
      </c>
      <c r="O28" s="100">
        <f>VLOOKUP(L28,'CtryERP&amp;CRP'!$B$3:$L$197,6,FALSE)</f>
        <v>0.1948788194536</v>
      </c>
      <c r="P28" s="30"/>
      <c r="Q28" s="5" t="s">
        <v>67</v>
      </c>
      <c r="R28" s="6">
        <f>VLOOKUP(Q28,GDP!$B$7:$C$200,2,FALSE)</f>
        <v>92983.81</v>
      </c>
      <c r="S28" s="100">
        <f>VLOOKUP(Q28,'CtryERP&amp;CRP'!$B$3:$L$197,11,FALSE)</f>
        <v>3.2381680716070081E-2</v>
      </c>
      <c r="T28" s="100">
        <f>VLOOKUP(Q28,'CtryERP&amp;CRP'!$B$3:$L$197,6,FALSE)</f>
        <v>6.2394807224198004E-2</v>
      </c>
      <c r="V28" s="5" t="s">
        <v>68</v>
      </c>
      <c r="W28" s="6">
        <f>VLOOKUP(V28,GDP!$B$7:$C$200,2,FALSE)</f>
        <v>3160442.62</v>
      </c>
      <c r="X28" s="100">
        <f>VLOOKUP(V28,'CtryERP&amp;CRP'!$B$3:$L$197,11,FALSE)</f>
        <v>1.5434259032893216E-2</v>
      </c>
      <c r="Y28" s="100">
        <f>VLOOKUP(V28,'CtryERP&amp;CRP'!$B$3:$L$197,6,FALSE)</f>
        <v>4.5447385541021137E-2</v>
      </c>
      <c r="AF28" s="5" t="s">
        <v>69</v>
      </c>
      <c r="AG28" s="6">
        <f>VLOOKUP(AF28,GDP!$B$7:$C$200,2,FALSE)</f>
        <v>3561.18</v>
      </c>
      <c r="AH28" s="100">
        <f>VLOOKUP(AF28,'CtryERP&amp;CRP'!$B$3:$L$197,11,FALSE)</f>
        <v>6.5875821753853162E-2</v>
      </c>
      <c r="AI28" s="100">
        <f>VLOOKUP(AF28,'CtryERP&amp;CRP'!$B$3:$L$197,6,FALSE)</f>
        <v>9.5888948261981077E-2</v>
      </c>
      <c r="AK28" s="5" t="s">
        <v>70</v>
      </c>
      <c r="AL28" s="6">
        <f>VLOOKUP(AK28,GDP!$B$7:$C$200,2,FALSE)</f>
        <v>95350.42</v>
      </c>
      <c r="AM28" s="100">
        <f>VLOOKUP(AK28,'CtryERP&amp;CRP'!$B$3:$L$197,11,FALSE)</f>
        <v>7.0513379503218038E-2</v>
      </c>
      <c r="AN28" s="100">
        <f>VLOOKUP(AK28,'CtryERP&amp;CRP'!$B$3:$L$197,6,FALSE)</f>
        <v>0.10052650601134595</v>
      </c>
    </row>
    <row r="29" spans="2:45" x14ac:dyDescent="0.25">
      <c r="B29" s="5" t="s">
        <v>71</v>
      </c>
      <c r="C29" s="6">
        <f>VLOOKUP(B29,GDP!$B$7:$C$200,2,FALSE)</f>
        <v>1396300.1</v>
      </c>
      <c r="D29" s="100">
        <f>VLOOKUP(B29,'CtryERP&amp;CRP'!$B$3:$L$197,11,FALSE)</f>
        <v>3.5408006016637385E-2</v>
      </c>
      <c r="E29" s="100">
        <f>VLOOKUP(B29,'CtryERP&amp;CRP'!$B$3:$L$197,6,FALSE)</f>
        <v>6.5421132524765307E-2</v>
      </c>
      <c r="F29" s="30"/>
      <c r="G29" s="5" t="s">
        <v>72</v>
      </c>
      <c r="H29" s="6">
        <f>VLOOKUP(G29,GDP!$B$7:$C$200,2,FALSE)</f>
        <v>20078.62</v>
      </c>
      <c r="I29" s="100">
        <f>VLOOKUP(G29,'CtryERP&amp;CRP'!$B$3:$L$197,11,FALSE)</f>
        <v>0.52960692759927708</v>
      </c>
      <c r="J29" s="100">
        <f>VLOOKUP(G29,'CtryERP&amp;CRP'!$B$3:$L$197,6,FALSE)</f>
        <v>0.55962005410740501</v>
      </c>
      <c r="K29" s="30"/>
      <c r="L29" s="5" t="s">
        <v>73</v>
      </c>
      <c r="M29" s="6">
        <f>VLOOKUP(L29,GDP!$B$7:$C$200,2,FALSE)</f>
        <v>70962.19</v>
      </c>
      <c r="N29" s="100">
        <f>VLOOKUP(L29,'CtryERP&amp;CRP'!$B$3:$L$197,11,FALSE)</f>
        <v>0.19480924828813256</v>
      </c>
      <c r="O29" s="100">
        <f>VLOOKUP(L29,'CtryERP&amp;CRP'!$B$3:$L$197,6,FALSE)</f>
        <v>0.22482237479626049</v>
      </c>
      <c r="P29" s="30"/>
      <c r="Q29" s="5" t="s">
        <v>74</v>
      </c>
      <c r="R29" s="6">
        <f>VLOOKUP(Q29,GDP!$B$7:$C$200,2,FALSE)</f>
        <v>347034.06</v>
      </c>
      <c r="S29" s="100">
        <f>VLOOKUP(Q29,'CtryERP&amp;CRP'!$B$3:$L$197,11,FALSE)</f>
        <v>1.1197403612099002E-2</v>
      </c>
      <c r="T29" s="100">
        <f>VLOOKUP(Q29,'CtryERP&amp;CRP'!$B$3:$L$197,6,FALSE)</f>
        <v>4.1210530120226921E-2</v>
      </c>
      <c r="V29" s="5" t="s">
        <v>75</v>
      </c>
      <c r="W29" s="6">
        <f>VLOOKUP(V29,GDP!$B$7:$C$200,2,FALSE)</f>
        <v>4685592.58</v>
      </c>
      <c r="X29" s="100">
        <f>VLOOKUP(V29,'CtryERP&amp;CRP'!$B$3:$L$197,11,FALSE)</f>
        <v>2.1184277103971079E-3</v>
      </c>
      <c r="Y29" s="100">
        <f>VLOOKUP(V29,'CtryERP&amp;CRP'!$B$3:$L$197,6,FALSE)</f>
        <v>3.2131554218525024E-2</v>
      </c>
      <c r="AF29" s="5" t="s">
        <v>76</v>
      </c>
      <c r="AG29" s="6">
        <f>VLOOKUP(AF29,GDP!$B$7:$C$200,2,FALSE)</f>
        <v>124282.25</v>
      </c>
      <c r="AH29" s="100">
        <f>VLOOKUP(AF29,'CtryERP&amp;CRP'!$B$3:$L$197,11,FALSE)</f>
        <v>0.10779679923357789</v>
      </c>
      <c r="AI29" s="100">
        <f>VLOOKUP(AF29,'CtryERP&amp;CRP'!$B$3:$L$197,6,FALSE)</f>
        <v>0.13780992574170581</v>
      </c>
      <c r="AK29" s="5" t="s">
        <v>77</v>
      </c>
      <c r="AL29" s="6">
        <f>VLOOKUP(AK29,GDP!$B$7:$C$200,2,FALSE)</f>
        <v>124676.07</v>
      </c>
      <c r="AM29" s="100">
        <f>VLOOKUP(AK29,'CtryERP&amp;CRP'!$B$3:$L$197,11,FALSE)</f>
        <v>0.37072484931949401</v>
      </c>
      <c r="AN29" s="100">
        <f>VLOOKUP(AK29,'CtryERP&amp;CRP'!$B$3:$L$197,6,FALSE)</f>
        <v>0.40073797582762194</v>
      </c>
    </row>
    <row r="30" spans="2:45" x14ac:dyDescent="0.25">
      <c r="B30" s="5" t="s">
        <v>78</v>
      </c>
      <c r="C30" s="6">
        <f>VLOOKUP(B30,GDP!$B$7:$C$200,2,FALSE)</f>
        <v>4027597.52</v>
      </c>
      <c r="D30" s="100">
        <f>VLOOKUP(B30,'CtryERP&amp;CRP'!$B$3:$L$197,11,FALSE)</f>
        <v>5.7500180710778658E-3</v>
      </c>
      <c r="E30" s="100">
        <f>VLOOKUP(B30,'CtryERP&amp;CRP'!$B$3:$L$197,6,FALSE)</f>
        <v>3.5763144579205784E-2</v>
      </c>
      <c r="F30" s="30"/>
      <c r="G30" s="5" t="s">
        <v>79</v>
      </c>
      <c r="H30" s="6">
        <f>VLOOKUP(G30,GDP!$B$7:$C$200,2,FALSE)</f>
        <v>107137.2</v>
      </c>
      <c r="I30" s="100">
        <f>VLOOKUP(G30,'CtryERP&amp;CRP'!$B$3:$L$197,11,FALSE)</f>
        <v>4.5092246978452738E-2</v>
      </c>
      <c r="J30" s="100">
        <f>VLOOKUP(G30,'CtryERP&amp;CRP'!$B$3:$L$197,6,FALSE)</f>
        <v>7.5105373486580654E-2</v>
      </c>
      <c r="K30" s="30"/>
      <c r="L30" s="5" t="s">
        <v>80</v>
      </c>
      <c r="M30" s="6">
        <f>VLOOKUP(L30,GDP!$B$7:$C$200,2,FALSE)</f>
        <v>15719.99</v>
      </c>
      <c r="N30" s="100">
        <f>VLOOKUP(L30,'CtryERP&amp;CRP'!$B$3:$L$197,11,FALSE)</f>
        <v>0.26984427520562304</v>
      </c>
      <c r="O30" s="100">
        <f>VLOOKUP(L30,'CtryERP&amp;CRP'!$B$3:$L$197,6,FALSE)</f>
        <v>0.29985740171375097</v>
      </c>
      <c r="P30" s="30"/>
      <c r="Q30" s="5" t="s">
        <v>81</v>
      </c>
      <c r="R30" s="6">
        <f>VLOOKUP(Q30,GDP!$B$7:$C$200,2,FALSE)</f>
        <v>43130.42</v>
      </c>
      <c r="S30" s="100">
        <f>VLOOKUP(Q30,'CtryERP&amp;CRP'!$B$3:$L$197,11,FALSE)</f>
        <v>2.300007228431146E-2</v>
      </c>
      <c r="T30" s="100">
        <f>VLOOKUP(Q30,'CtryERP&amp;CRP'!$B$3:$L$197,6,FALSE)</f>
        <v>5.3013198792439375E-2</v>
      </c>
      <c r="V30" s="5" t="s">
        <v>82</v>
      </c>
      <c r="W30" s="6">
        <f>VLOOKUP(V30,GDP!$B$7:$C$200,2,FALSE)</f>
        <v>256238.37</v>
      </c>
      <c r="X30" s="100">
        <f>VLOOKUP(V30,'CtryERP&amp;CRP'!$B$3:$L$197,11,FALSE)</f>
        <v>2.6329030114935488E-2</v>
      </c>
      <c r="Y30" s="100">
        <f>VLOOKUP(V30,'CtryERP&amp;CRP'!$B$3:$L$197,6,FALSE)</f>
        <v>5.6342156623063411E-2</v>
      </c>
      <c r="AF30" s="5" t="s">
        <v>83</v>
      </c>
      <c r="AG30" s="6">
        <f>VLOOKUP(AF30,GDP!$B$7:$C$200,2,FALSE)</f>
        <v>25224.15</v>
      </c>
      <c r="AH30" s="100">
        <f>VLOOKUP(AF30,'CtryERP&amp;CRP'!$B$3:$L$197,11,FALSE)</f>
        <v>0.35967494123360472</v>
      </c>
      <c r="AI30" s="100">
        <f>VLOOKUP(AF30,'CtryERP&amp;CRP'!$B$3:$L$197,6,FALSE)</f>
        <v>0.38968806774173265</v>
      </c>
      <c r="AK30" s="5" t="s">
        <v>84</v>
      </c>
      <c r="AL30" s="6">
        <f>VLOOKUP(AK30,GDP!$B$7:$C$200,2,FALSE)</f>
        <v>35364.959999999999</v>
      </c>
      <c r="AM30" s="100">
        <f>VLOOKUP(AK30,'CtryERP&amp;CRP'!$B$3:$L$197,11,FALSE)</f>
        <v>0.13013198792439379</v>
      </c>
      <c r="AN30" s="100">
        <f>VLOOKUP(AK30,'CtryERP&amp;CRP'!$B$3:$L$197,6,FALSE)</f>
        <v>0.16014511443252172</v>
      </c>
    </row>
    <row r="31" spans="2:45" x14ac:dyDescent="0.25">
      <c r="B31" s="5" t="s">
        <v>85</v>
      </c>
      <c r="C31" s="6">
        <f>VLOOKUP(B31,GDP!$B$7:$C$200,2,FALSE)</f>
        <v>1875388.21</v>
      </c>
      <c r="D31" s="100">
        <f>VLOOKUP(B31,'CtryERP&amp;CRP'!$B$3:$L$197,11,FALSE)</f>
        <v>6.0526506011345958E-3</v>
      </c>
      <c r="E31" s="100">
        <f>VLOOKUP(B31,'CtryERP&amp;CRP'!$B$3:$L$197,6,FALSE)</f>
        <v>3.6065777109262516E-2</v>
      </c>
      <c r="F31" s="30"/>
      <c r="G31" s="5" t="s">
        <v>86</v>
      </c>
      <c r="H31" s="6">
        <f>VLOOKUP(G31,GDP!$B$7:$C$200,2,FALSE)</f>
        <v>219162.64</v>
      </c>
      <c r="I31" s="100">
        <f>VLOOKUP(G31,'CtryERP&amp;CRP'!$B$3:$L$197,11,FALSE)</f>
        <v>1.5434259032893216E-2</v>
      </c>
      <c r="J31" s="100">
        <f>VLOOKUP(G31,'CtryERP&amp;CRP'!$B$3:$L$197,6,FALSE)</f>
        <v>4.5447385541021137E-2</v>
      </c>
      <c r="K31" s="30"/>
      <c r="L31" s="5" t="s">
        <v>87</v>
      </c>
      <c r="M31" s="6">
        <f>VLOOKUP(L31,GDP!$B$7:$C$200,2,FALSE)</f>
        <v>87113.18</v>
      </c>
      <c r="N31" s="100">
        <f>VLOOKUP(L31,'CtryERP&amp;CRP'!$B$3:$L$197,11,FALSE)</f>
        <v>9.0182943149659939E-2</v>
      </c>
      <c r="O31" s="100">
        <f>VLOOKUP(L31,'CtryERP&amp;CRP'!$B$3:$L$197,6,FALSE)</f>
        <v>0.12019606965778785</v>
      </c>
      <c r="P31" s="30"/>
      <c r="Q31" s="5" t="s">
        <v>88</v>
      </c>
      <c r="R31" s="6">
        <f>VLOOKUP(Q31,GDP!$B$7:$C$200,2,FALSE)</f>
        <v>34189.42</v>
      </c>
      <c r="S31" s="100">
        <f>VLOOKUP(Q31,'CtryERP&amp;CRP'!$B$3:$L$197,11,FALSE)</f>
        <v>9.0182943149659939E-2</v>
      </c>
      <c r="T31" s="100">
        <f>VLOOKUP(Q31,'CtryERP&amp;CRP'!$B$3:$L$197,6,FALSE)</f>
        <v>0.12019606965778785</v>
      </c>
      <c r="V31" s="5" t="s">
        <v>89</v>
      </c>
      <c r="W31" s="6">
        <f>VLOOKUP(V31,GDP!$B$7:$C$200,2,FALSE)</f>
        <v>4430</v>
      </c>
      <c r="X31" s="100">
        <f>VLOOKUP(V31,'CtryERP&amp;CRP'!$B$3:$L$197,11,FALSE)</f>
        <v>2.1136627300701552E-2</v>
      </c>
      <c r="Y31" s="100">
        <f>VLOOKUP(V31,'CtryERP&amp;CRP'!$B$3:$L$197,6,FALSE)</f>
        <v>5.1149753808829468E-2</v>
      </c>
      <c r="AF31" s="5" t="s">
        <v>90</v>
      </c>
      <c r="AG31" s="6">
        <f>VLOOKUP(AF31,GDP!$B$7:$C$200,2,FALSE)</f>
        <v>22014.400000000001</v>
      </c>
      <c r="AH31" s="100">
        <f>VLOOKUP(AF31,'CtryERP&amp;CRP'!$B$3:$L$197,11,FALSE)</f>
        <v>0.13492213760281152</v>
      </c>
      <c r="AI31" s="100">
        <f>VLOOKUP(AF31,'CtryERP&amp;CRP'!$B$3:$L$197,6,FALSE)</f>
        <v>0.16493526411093945</v>
      </c>
      <c r="AK31" s="5" t="s">
        <v>91</v>
      </c>
      <c r="AL31" s="6">
        <f>VLOOKUP(AK31,GDP!$B$7:$C$200,2,FALSE)</f>
        <v>113199.58</v>
      </c>
      <c r="AM31" s="100">
        <f>VLOOKUP(AK31,'CtryERP&amp;CRP'!$B$3:$L$197,11,FALSE)</f>
        <v>6.173703613157288E-2</v>
      </c>
      <c r="AN31" s="100">
        <f>VLOOKUP(AK31,'CtryERP&amp;CRP'!$B$3:$L$197,6,FALSE)</f>
        <v>9.1750162639700802E-2</v>
      </c>
    </row>
    <row r="32" spans="2:45" x14ac:dyDescent="0.25">
      <c r="B32" s="5" t="s">
        <v>92</v>
      </c>
      <c r="C32" s="6">
        <f>VLOOKUP(B32,GDP!$B$7:$C$200,2,FALSE)</f>
        <v>26600</v>
      </c>
      <c r="D32" s="100">
        <f>VLOOKUP(B32,'CtryERP&amp;CRP'!$B$3:$L$197,11,FALSE)</f>
        <v>0.35967494123360472</v>
      </c>
      <c r="E32" s="100">
        <f>VLOOKUP(B32,'CtryERP&amp;CRP'!$B$3:$L$197,6,FALSE)</f>
        <v>0.38968806774173265</v>
      </c>
      <c r="F32" s="30"/>
      <c r="G32" s="5" t="s">
        <v>93</v>
      </c>
      <c r="H32" s="6">
        <f>VLOOKUP(G32,GDP!$B$7:$C$200,2,FALSE)</f>
        <v>12000</v>
      </c>
      <c r="I32" s="100">
        <f>VLOOKUP(G32,'CtryERP&amp;CRP'!$B$3:$L$197,11,FALSE)</f>
        <v>3.5932266411192633E-2</v>
      </c>
      <c r="J32" s="100">
        <f>VLOOKUP(G32,'CtryERP&amp;CRP'!$B$3:$L$197,6,FALSE)</f>
        <v>6.5945392919320556E-2</v>
      </c>
      <c r="K32" s="30"/>
      <c r="L32" s="5" t="s">
        <v>101</v>
      </c>
      <c r="M32" s="6">
        <f>VLOOKUP(L32,GDP!$B$7:$C$200,2,FALSE)</f>
        <v>389059.91</v>
      </c>
      <c r="N32" s="100">
        <f>VLOOKUP(L32,'CtryERP&amp;CRP'!$B$3:$L$197,11,FALSE)</f>
        <v>0.19489534935653402</v>
      </c>
      <c r="O32" s="100">
        <f>VLOOKUP(L32,'CtryERP&amp;CRP'!$B$3:$L$197,6,FALSE)</f>
        <v>0.22490847586466195</v>
      </c>
      <c r="P32" s="30"/>
      <c r="Q32" s="5" t="s">
        <v>95</v>
      </c>
      <c r="R32" s="6">
        <f>VLOOKUP(Q32,GDP!$B$7:$C$200,2,FALSE)</f>
        <v>222722.74</v>
      </c>
      <c r="S32" s="100">
        <f>VLOOKUP(Q32,'CtryERP&amp;CRP'!$B$3:$L$197,11,FALSE)</f>
        <v>5.0236999989417143E-2</v>
      </c>
      <c r="T32" s="100">
        <f>VLOOKUP(Q32,'CtryERP&amp;CRP'!$B$3:$L$197,6,FALSE)</f>
        <v>8.0250126497545066E-2</v>
      </c>
      <c r="V32" s="5" t="s">
        <v>96</v>
      </c>
      <c r="W32" s="6">
        <f>VLOOKUP(V32,GDP!$B$7:$C$200,2,FALSE)</f>
        <v>33255.18</v>
      </c>
      <c r="X32" s="100">
        <f>VLOOKUP(V32,'CtryERP&amp;CRP'!$B$3:$L$197,11,FALSE)</f>
        <v>9.0789759017018933E-3</v>
      </c>
      <c r="Y32" s="100">
        <f>VLOOKUP(V32,'CtryERP&amp;CRP'!$B$3:$L$197,6,FALSE)</f>
        <v>3.9092102409829813E-2</v>
      </c>
      <c r="AF32" s="5" t="s">
        <v>97</v>
      </c>
      <c r="AG32" s="6">
        <f>VLOOKUP(AF32,GDP!$B$7:$C$200,2,FALSE)</f>
        <v>84.5</v>
      </c>
      <c r="AH32" s="100">
        <f>VLOOKUP(AF32,'CtryERP&amp;CRP'!$B$3:$L$197,11,FALSE)</f>
        <v>6.5875821753853162E-2</v>
      </c>
      <c r="AI32" s="100">
        <f>VLOOKUP(AF32,'CtryERP&amp;CRP'!$B$3:$L$197,6,FALSE)</f>
        <v>9.5888948261981077E-2</v>
      </c>
      <c r="AK32" s="5" t="s">
        <v>98</v>
      </c>
      <c r="AL32" s="6">
        <f>VLOOKUP(AK32,GDP!$B$7:$C$200,2,FALSE)</f>
        <v>24662.71</v>
      </c>
      <c r="AM32" s="100">
        <f>VLOOKUP(AK32,'CtryERP&amp;CRP'!$B$3:$L$197,11,FALSE)</f>
        <v>6.5875821753853162E-2</v>
      </c>
      <c r="AN32" s="100">
        <f>VLOOKUP(AK32,'CtryERP&amp;CRP'!$B$3:$L$197,6,FALSE)</f>
        <v>9.5888948261981077E-2</v>
      </c>
    </row>
    <row r="33" spans="2:40" x14ac:dyDescent="0.25">
      <c r="B33" s="5" t="s">
        <v>99</v>
      </c>
      <c r="C33" s="6">
        <f>VLOOKUP(B33,GDP!$B$7:$C$200,2,FALSE)</f>
        <v>16502.93</v>
      </c>
      <c r="D33" s="100">
        <f>VLOOKUP(B33,'CtryERP&amp;CRP'!$B$3:$L$197,11,FALSE)</f>
        <v>0.29978783054828367</v>
      </c>
      <c r="E33" s="100">
        <f>VLOOKUP(B33,'CtryERP&amp;CRP'!$B$3:$L$197,6,FALSE)</f>
        <v>0.3298009570564116</v>
      </c>
      <c r="F33" s="30"/>
      <c r="G33" s="5" t="s">
        <v>100</v>
      </c>
      <c r="H33" s="6">
        <f>VLOOKUP(G33,GDP!$B$7:$C$200,2,FALSE)</f>
        <v>1239804.53</v>
      </c>
      <c r="I33" s="100">
        <f>VLOOKUP(G33,'CtryERP&amp;CRP'!$B$3:$L$197,11,FALSE)</f>
        <v>2.8750090355389328E-2</v>
      </c>
      <c r="J33" s="100">
        <f>VLOOKUP(G33,'CtryERP&amp;CRP'!$B$3:$L$197,6,FALSE)</f>
        <v>5.8763216863517251E-2</v>
      </c>
      <c r="K33" s="30"/>
      <c r="L33" s="5" t="s">
        <v>108</v>
      </c>
      <c r="M33" s="6">
        <f>VLOOKUP(L33,GDP!$B$7:$C$200,2,FALSE)</f>
        <v>149740.29999999999</v>
      </c>
      <c r="N33" s="100">
        <f>VLOOKUP(L33,'CtryERP&amp;CRP'!$B$3:$L$197,11,FALSE)</f>
        <v>0.26984427520562304</v>
      </c>
      <c r="O33" s="100">
        <f>VLOOKUP(L33,'CtryERP&amp;CRP'!$B$3:$L$197,6,FALSE)</f>
        <v>0.29985740171375097</v>
      </c>
      <c r="P33" s="30"/>
      <c r="Q33" s="5" t="s">
        <v>102</v>
      </c>
      <c r="R33" s="6">
        <f>VLOOKUP(Q33,GDP!$B$7:$C$200,2,FALSE)</f>
        <v>291480.27</v>
      </c>
      <c r="S33" s="100">
        <f>VLOOKUP(Q33,'CtryERP&amp;CRP'!$B$3:$L$197,11,FALSE)</f>
        <v>3.9039596377318138E-2</v>
      </c>
      <c r="T33" s="100">
        <f>VLOOKUP(Q33,'CtryERP&amp;CRP'!$B$3:$L$197,6,FALSE)</f>
        <v>6.9052722885446061E-2</v>
      </c>
      <c r="V33" s="5" t="s">
        <v>103</v>
      </c>
      <c r="W33" s="6">
        <f>VLOOKUP(V33,GDP!$B$7:$C$200,2,FALSE)</f>
        <v>609157.46</v>
      </c>
      <c r="X33" s="100">
        <f>VLOOKUP(V33,'CtryERP&amp;CRP'!$B$3:$L$197,11,FALSE)</f>
        <v>6.3552831311913258E-3</v>
      </c>
      <c r="Y33" s="100">
        <f>VLOOKUP(V33,'CtryERP&amp;CRP'!$B$3:$L$197,6,FALSE)</f>
        <v>3.6368409639319248E-2</v>
      </c>
      <c r="AF33" s="5" t="s">
        <v>104</v>
      </c>
      <c r="AG33" s="6">
        <f>VLOOKUP(AF33,GDP!$B$7:$C$200,2,FALSE)</f>
        <v>1797.84</v>
      </c>
      <c r="AH33" s="100">
        <f>VLOOKUP(AF33,'CtryERP&amp;CRP'!$B$3:$L$197,11,FALSE)</f>
        <v>9.0182943149659939E-2</v>
      </c>
      <c r="AI33" s="100">
        <f>VLOOKUP(AF33,'CtryERP&amp;CRP'!$B$3:$L$197,6,FALSE)</f>
        <v>0.12019606965778785</v>
      </c>
      <c r="AK33" s="5" t="s">
        <v>105</v>
      </c>
      <c r="AL33" s="6">
        <f>VLOOKUP(AK33,GDP!$B$7:$C$200,2,FALSE)</f>
        <v>37093.57</v>
      </c>
      <c r="AM33" s="100">
        <f>VLOOKUP(AK33,'CtryERP&amp;CRP'!$B$3:$L$197,11,FALSE)</f>
        <v>0.13492213760281152</v>
      </c>
      <c r="AN33" s="100">
        <f>VLOOKUP(AK33,'CtryERP&amp;CRP'!$B$3:$L$197,6,FALSE)</f>
        <v>0.16493526411093945</v>
      </c>
    </row>
    <row r="34" spans="2:40" x14ac:dyDescent="0.25">
      <c r="B34" s="5" t="s">
        <v>106</v>
      </c>
      <c r="C34" s="6">
        <f>VLOOKUP(B34,GDP!$B$7:$C$200,2,FALSE)</f>
        <v>49467.26</v>
      </c>
      <c r="D34" s="100">
        <f>VLOOKUP(B34,'CtryERP&amp;CRP'!$B$3:$L$197,11,FALSE)</f>
        <v>1.7966133205596316E-2</v>
      </c>
      <c r="E34" s="100">
        <f>VLOOKUP(B34,'CtryERP&amp;CRP'!$B$3:$L$197,6,FALSE)</f>
        <v>4.7979259713724236E-2</v>
      </c>
      <c r="F34" s="30"/>
      <c r="G34" s="5" t="s">
        <v>107</v>
      </c>
      <c r="H34" s="6">
        <f>VLOOKUP(G34,GDP!$B$7:$C$200,2,FALSE)</f>
        <v>39500</v>
      </c>
      <c r="I34" s="100">
        <f>VLOOKUP(G34,'CtryERP&amp;CRP'!$B$3:$L$197,11,FALSE)</f>
        <v>7.5035026917490505E-2</v>
      </c>
      <c r="J34" s="100">
        <f>VLOOKUP(G34,'CtryERP&amp;CRP'!$B$3:$L$197,6,FALSE)</f>
        <v>0.10504815342561842</v>
      </c>
      <c r="K34" s="30"/>
      <c r="L34" s="5" t="s">
        <v>115</v>
      </c>
      <c r="M34" s="6">
        <f>VLOOKUP(L34,GDP!$B$7:$C$200,2,FALSE)</f>
        <v>20895.68</v>
      </c>
      <c r="N34" s="100">
        <f>VLOOKUP(L34,'CtryERP&amp;CRP'!$B$3:$L$197,11,FALSE)</f>
        <v>0.23272441561362522</v>
      </c>
      <c r="O34" s="100">
        <f>VLOOKUP(L34,'CtryERP&amp;CRP'!$B$3:$L$197,6,FALSE)</f>
        <v>0.26273754212175315</v>
      </c>
      <c r="P34" s="30"/>
      <c r="Q34" s="5" t="s">
        <v>109</v>
      </c>
      <c r="R34" s="6">
        <f>VLOOKUP(Q34,GDP!$B$7:$C$200,2,FALSE)</f>
        <v>17478.259999999998</v>
      </c>
      <c r="S34" s="100">
        <f>VLOOKUP(Q34,'CtryERP&amp;CRP'!$B$3:$L$197,11,FALSE)</f>
        <v>0.19480924828813256</v>
      </c>
      <c r="T34" s="100">
        <f>VLOOKUP(Q34,'CtryERP&amp;CRP'!$B$3:$L$197,6,FALSE)</f>
        <v>0.22482237479626049</v>
      </c>
      <c r="V34" s="5" t="s">
        <v>110</v>
      </c>
      <c r="W34" s="6">
        <f>VLOOKUP(V34,GDP!$B$7:$C$200,2,FALSE)</f>
        <v>7431.26</v>
      </c>
      <c r="X34" s="100">
        <f>VLOOKUP(V34,'CtryERP&amp;CRP'!$B$3:$L$197,11,FALSE)</f>
        <v>1.7966133205596316E-2</v>
      </c>
      <c r="Y34" s="100">
        <f>VLOOKUP(V34,'CtryERP&amp;CRP'!$B$3:$L$197,6,FALSE)</f>
        <v>4.7979259713724236E-2</v>
      </c>
      <c r="AF34" s="5" t="s">
        <v>111</v>
      </c>
      <c r="AG34" s="6">
        <f>VLOOKUP(AF34,GDP!$B$7:$C$200,2,FALSE)</f>
        <v>1157.21</v>
      </c>
      <c r="AH34" s="100">
        <f>VLOOKUP(AF34,'CtryERP&amp;CRP'!$B$3:$L$197,11,FALSE)</f>
        <v>0.19480924828813256</v>
      </c>
      <c r="AI34" s="100">
        <f>VLOOKUP(AF34,'CtryERP&amp;CRP'!$B$3:$L$197,6,FALSE)</f>
        <v>0.22482237479626049</v>
      </c>
      <c r="AK34" s="5" t="s">
        <v>112</v>
      </c>
      <c r="AL34" s="6">
        <f>VLOOKUP(AK34,GDP!$B$7:$C$200,2,FALSE)</f>
        <v>1856365.62</v>
      </c>
      <c r="AM34" s="100">
        <f>VLOOKUP(AK34,'CtryERP&amp;CRP'!$B$3:$L$197,11,FALSE)</f>
        <v>5.1144897579587324E-2</v>
      </c>
      <c r="AN34" s="100">
        <f>VLOOKUP(AK34,'CtryERP&amp;CRP'!$B$3:$L$197,6,FALSE)</f>
        <v>8.1158024087715247E-2</v>
      </c>
    </row>
    <row r="35" spans="2:40" x14ac:dyDescent="0.25">
      <c r="B35" s="5" t="s">
        <v>113</v>
      </c>
      <c r="C35" s="6">
        <f>VLOOKUP(B35,GDP!$B$7:$C$200,2,FALSE)</f>
        <v>422227.01</v>
      </c>
      <c r="D35" s="100">
        <f>VLOOKUP(B35,'CtryERP&amp;CRP'!$B$3:$L$197,11,FALSE)</f>
        <v>1.9368481923630703E-2</v>
      </c>
      <c r="E35" s="100">
        <f>VLOOKUP(B35,'CtryERP&amp;CRP'!$B$3:$L$197,6,FALSE)</f>
        <v>4.9381608431758622E-2</v>
      </c>
      <c r="F35" s="30"/>
      <c r="G35" s="5" t="s">
        <v>114</v>
      </c>
      <c r="H35" s="6">
        <f>VLOOKUP(G35,GDP!$B$7:$C$200,2,FALSE)</f>
        <v>23622.83</v>
      </c>
      <c r="I35" s="100">
        <f>VLOOKUP(G35,'CtryERP&amp;CRP'!$B$3:$L$197,11,FALSE)</f>
        <v>0.52960692759927708</v>
      </c>
      <c r="J35" s="100">
        <f>VLOOKUP(G35,'CtryERP&amp;CRP'!$B$3:$L$197,6,FALSE)</f>
        <v>0.55962005410740501</v>
      </c>
      <c r="K35" s="30"/>
      <c r="L35" s="5" t="s">
        <v>122</v>
      </c>
      <c r="M35" s="6">
        <f>VLOOKUP(L35,GDP!$B$7:$C$200,2,FALSE)</f>
        <v>2404.89</v>
      </c>
      <c r="N35" s="100">
        <f>VLOOKUP(L35,'CtryERP&amp;CRP'!$B$3:$L$197,11,FALSE)</f>
        <v>0.13492213760281152</v>
      </c>
      <c r="O35" s="100">
        <f>VLOOKUP(L35,'CtryERP&amp;CRP'!$B$3:$L$197,6,FALSE)</f>
        <v>0.16493526411093945</v>
      </c>
      <c r="P35" s="30"/>
      <c r="Q35" s="5" t="s">
        <v>116</v>
      </c>
      <c r="R35" s="6">
        <f>VLOOKUP(Q35,GDP!$B$7:$C$200,2,FALSE)</f>
        <v>43684.25</v>
      </c>
      <c r="S35" s="100">
        <f>VLOOKUP(Q35,'CtryERP&amp;CRP'!$B$3:$L$197,11,FALSE)</f>
        <v>2.4513234934595108E-2</v>
      </c>
      <c r="T35" s="100">
        <f>VLOOKUP(Q35,'CtryERP&amp;CRP'!$B$3:$L$197,6,FALSE)</f>
        <v>5.4526361442723027E-2</v>
      </c>
      <c r="V35" s="5" t="s">
        <v>117</v>
      </c>
      <c r="W35" s="6">
        <f>VLOOKUP(V35,GDP!$B$7:$C$200,2,FALSE)</f>
        <v>2380825.08</v>
      </c>
      <c r="X35" s="100">
        <f>VLOOKUP(V35,'CtryERP&amp;CRP'!$B$3:$L$197,11,FALSE)</f>
        <v>2.4513234934595108E-2</v>
      </c>
      <c r="Y35" s="100">
        <f>VLOOKUP(V35,'CtryERP&amp;CRP'!$B$3:$L$197,6,FALSE)</f>
        <v>5.4526361442723027E-2</v>
      </c>
      <c r="AF35" s="5" t="s">
        <v>118</v>
      </c>
      <c r="AG35" s="6">
        <f>VLOOKUP(AF35,GDP!$B$7:$C$200,2,FALSE)</f>
        <v>25633.54</v>
      </c>
      <c r="AH35" s="100">
        <f>VLOOKUP(AF35,'CtryERP&amp;CRP'!$B$3:$L$197,11,FALSE)</f>
        <v>9.0182943149659939E-2</v>
      </c>
      <c r="AI35" s="100">
        <f>VLOOKUP(AF35,'CtryERP&amp;CRP'!$B$3:$L$197,6,FALSE)</f>
        <v>0.12019606965778785</v>
      </c>
      <c r="AK35" s="5" t="s">
        <v>119</v>
      </c>
      <c r="AL35" s="6">
        <f>VLOOKUP(AK35,GDP!$B$7:$C$200,2,FALSE)</f>
        <v>19693.98</v>
      </c>
      <c r="AM35" s="100">
        <f>VLOOKUP(AK35,'CtryERP&amp;CRP'!$B$3:$L$197,11,FALSE)</f>
        <v>0.18763216863517249</v>
      </c>
      <c r="AN35" s="100">
        <f>VLOOKUP(AK35,'CtryERP&amp;CRP'!$B$3:$L$197,6,FALSE)</f>
        <v>0.21764529514330042</v>
      </c>
    </row>
    <row r="36" spans="2:40" x14ac:dyDescent="0.25">
      <c r="B36" s="5" t="s">
        <v>120</v>
      </c>
      <c r="C36" s="6">
        <f>VLOOKUP(B36,GDP!$B$7:$C$200,2,FALSE)</f>
        <v>7061.61</v>
      </c>
      <c r="D36" s="100">
        <f>VLOOKUP(B36,'CtryERP&amp;CRP'!$B$3:$L$197,11,FALSE)</f>
        <v>0.26984427520562304</v>
      </c>
      <c r="E36" s="100">
        <f>VLOOKUP(B36,'CtryERP&amp;CRP'!$B$3:$L$197,6,FALSE)</f>
        <v>0.29985740171375097</v>
      </c>
      <c r="F36" s="30"/>
      <c r="G36" s="5" t="s">
        <v>121</v>
      </c>
      <c r="H36" s="6">
        <f>VLOOKUP(G36,GDP!$B$7:$C$200,2,FALSE)</f>
        <v>552324.85</v>
      </c>
      <c r="I36" s="100">
        <f>VLOOKUP(G36,'CtryERP&amp;CRP'!$B$3:$L$197,11,FALSE)</f>
        <v>1.4795639110491083E-2</v>
      </c>
      <c r="J36" s="100">
        <f>VLOOKUP(G36,'CtryERP&amp;CRP'!$B$3:$L$197,6,FALSE)</f>
        <v>4.4808765618619004E-2</v>
      </c>
      <c r="K36" s="30"/>
      <c r="L36" s="5" t="s">
        <v>129</v>
      </c>
      <c r="M36" s="6">
        <f>VLOOKUP(L36,GDP!$B$7:$C$200,2,FALSE)</f>
        <v>82308.11</v>
      </c>
      <c r="N36" s="100">
        <f>VLOOKUP(L36,'CtryERP&amp;CRP'!$B$3:$L$197,11,FALSE)</f>
        <v>0.26984427520562304</v>
      </c>
      <c r="O36" s="100">
        <f>VLOOKUP(L36,'CtryERP&amp;CRP'!$B$3:$L$197,6,FALSE)</f>
        <v>0.29985740171375097</v>
      </c>
      <c r="P36" s="30"/>
      <c r="Q36" s="5" t="s">
        <v>123</v>
      </c>
      <c r="R36" s="6">
        <f>VLOOKUP(Q36,GDP!$B$7:$C$200,2,FALSE)</f>
        <v>84869.22</v>
      </c>
      <c r="S36" s="100">
        <f>VLOOKUP(Q36,'CtryERP&amp;CRP'!$B$3:$L$197,11,FALSE)</f>
        <v>2.2092174694141271E-2</v>
      </c>
      <c r="T36" s="100">
        <f>VLOOKUP(Q36,'CtryERP&amp;CRP'!$B$3:$L$197,6,FALSE)</f>
        <v>5.2105301202269194E-2</v>
      </c>
      <c r="V36" s="5" t="s">
        <v>124</v>
      </c>
      <c r="W36" s="6">
        <f>VLOOKUP(V36,GDP!$B$7:$C$200,2,FALSE)</f>
        <v>8700</v>
      </c>
      <c r="X36" s="100">
        <f>VLOOKUP(V36,'CtryERP&amp;CRP'!$B$3:$L$197,11,FALSE)</f>
        <v>1.4795639110491083E-2</v>
      </c>
      <c r="Y36" s="100">
        <f>VLOOKUP(V36,'CtryERP&amp;CRP'!$B$3:$L$197,6,FALSE)</f>
        <v>4.4808765618619004E-2</v>
      </c>
      <c r="AF36" s="9" t="s">
        <v>125</v>
      </c>
      <c r="AG36" s="6">
        <f>VLOOKUP(AF36,GDP!$B$7:$C$200,2,FALSE)</f>
        <v>1745.38</v>
      </c>
      <c r="AH36" s="100">
        <f>VLOOKUP(AF36,'CtryERP&amp;CRP'!$B$3:$L$197,11,FALSE)</f>
        <v>4.7909688548256828E-2</v>
      </c>
      <c r="AI36" s="100">
        <f>VLOOKUP(AF36,'CtryERP&amp;CRP'!$B$3:$L$197,6,FALSE)</f>
        <v>7.792281505638475E-2</v>
      </c>
      <c r="AK36" s="5" t="s">
        <v>126</v>
      </c>
      <c r="AL36" s="6">
        <f>VLOOKUP(AK36,GDP!$B$7:$C$200,2,FALSE)</f>
        <v>86523.96</v>
      </c>
      <c r="AM36" s="100">
        <f>VLOOKUP(AK36,'CtryERP&amp;CRP'!$B$3:$L$197,11,FALSE)</f>
        <v>8.4434475885827615E-2</v>
      </c>
      <c r="AN36" s="100">
        <f>VLOOKUP(AK36,'CtryERP&amp;CRP'!$B$3:$L$197,6,FALSE)</f>
        <v>0.11444760239395553</v>
      </c>
    </row>
    <row r="37" spans="2:40" ht="15.75" thickBot="1" x14ac:dyDescent="0.3">
      <c r="B37" s="5" t="s">
        <v>127</v>
      </c>
      <c r="C37" s="6">
        <f>VLOOKUP(B37,GDP!$B$7:$C$200,2,FALSE)</f>
        <v>23794.54</v>
      </c>
      <c r="D37" s="100">
        <f>VLOOKUP(B37,'CtryERP&amp;CRP'!$B$3:$L$197,11,FALSE)</f>
        <v>0.12740829515388322</v>
      </c>
      <c r="E37" s="100">
        <f>VLOOKUP(B37,'CtryERP&amp;CRP'!$B$3:$L$197,6,FALSE)</f>
        <v>0.15742142166201115</v>
      </c>
      <c r="F37" s="30"/>
      <c r="G37" s="5" t="s">
        <v>128</v>
      </c>
      <c r="H37" s="6">
        <f>VLOOKUP(G37,GDP!$B$7:$C$200,2,FALSE)</f>
        <v>21606.16</v>
      </c>
      <c r="I37" s="100">
        <f>VLOOKUP(G37,'CtryERP&amp;CRP'!$B$3:$L$197,11,FALSE)</f>
        <v>0.35967494123360472</v>
      </c>
      <c r="J37" s="100">
        <f>VLOOKUP(G37,'CtryERP&amp;CRP'!$B$3:$L$197,6,FALSE)</f>
        <v>0.38968806774173265</v>
      </c>
      <c r="K37" s="30"/>
      <c r="L37" s="5" t="s">
        <v>134</v>
      </c>
      <c r="M37" s="6">
        <f>VLOOKUP(L37,GDP!$B$7:$C$200,2,FALSE)</f>
        <v>25008.68</v>
      </c>
      <c r="N37" s="100">
        <f>VLOOKUP(L37,'CtryERP&amp;CRP'!$B$3:$L$197,11,FALSE)</f>
        <v>0.26984427520562304</v>
      </c>
      <c r="O37" s="100">
        <f>VLOOKUP(L37,'CtryERP&amp;CRP'!$B$3:$L$197,6,FALSE)</f>
        <v>0.29985740171375097</v>
      </c>
      <c r="P37" s="30"/>
      <c r="Q37" s="5" t="s">
        <v>130</v>
      </c>
      <c r="R37" s="6">
        <f>VLOOKUP(Q37,GDP!$B$7:$C$200,2,FALSE)</f>
        <v>16951.68</v>
      </c>
      <c r="S37" s="100">
        <f>VLOOKUP(Q37,'CtryERP&amp;CRP'!$B$3:$L$197,11,FALSE)</f>
        <v>0.10779679923357789</v>
      </c>
      <c r="T37" s="100">
        <f>VLOOKUP(Q37,'CtryERP&amp;CRP'!$B$3:$L$197,6,FALSE)</f>
        <v>0.13780992574170581</v>
      </c>
      <c r="V37" s="5" t="s">
        <v>131</v>
      </c>
      <c r="W37" s="6">
        <f>VLOOKUP(V37,GDP!$B$7:$C$200,2,FALSE)</f>
        <v>8239.3799999999992</v>
      </c>
      <c r="X37" s="100">
        <f>VLOOKUP(V37,'CtryERP&amp;CRP'!$B$3:$L$197,11,FALSE)</f>
        <v>0</v>
      </c>
      <c r="Y37" s="100">
        <f>VLOOKUP(V37,'CtryERP&amp;CRP'!$B$3:$L$197,6,FALSE)</f>
        <v>3.0013126508127919E-2</v>
      </c>
      <c r="AF37" s="10" t="str">
        <f>AF21</f>
        <v>Caribbean</v>
      </c>
      <c r="AG37" s="17">
        <f>SUM(AG22:AG36)</f>
        <v>356923.7900000001</v>
      </c>
      <c r="AH37" s="101">
        <f>SUMPRODUCT(AH22:AH36,AG22:AG36)/AG37</f>
        <v>0.19981022774971519</v>
      </c>
      <c r="AI37" s="101">
        <f>SUMPRODUCT(AI22:AI36,AG22:AG36)/AG37</f>
        <v>0.22982335425784314</v>
      </c>
      <c r="AK37" s="5" t="s">
        <v>132</v>
      </c>
      <c r="AL37" s="6">
        <f>VLOOKUP(AK37,GDP!$B$7:$C$200,2,FALSE)</f>
        <v>44458.12</v>
      </c>
      <c r="AM37" s="100">
        <f>VLOOKUP(AK37,'CtryERP&amp;CRP'!$B$3:$L$197,11,FALSE)</f>
        <v>6.5875821753853162E-2</v>
      </c>
      <c r="AN37" s="100">
        <f>VLOOKUP(AK37,'CtryERP&amp;CRP'!$B$3:$L$197,6,FALSE)</f>
        <v>9.5888948261981077E-2</v>
      </c>
    </row>
    <row r="38" spans="2:40" ht="15.75" thickBot="1" x14ac:dyDescent="0.3">
      <c r="B38" s="5" t="s">
        <v>133</v>
      </c>
      <c r="C38" s="6">
        <f>VLOOKUP(B38,GDP!$B$7:$C$200,2,FALSE)</f>
        <v>74068.350000000006</v>
      </c>
      <c r="D38" s="100">
        <f>VLOOKUP(B38,'CtryERP&amp;CRP'!$B$3:$L$197,11,FALSE)</f>
        <v>0.29978783054828367</v>
      </c>
      <c r="E38" s="100">
        <f>VLOOKUP(B38,'CtryERP&amp;CRP'!$B$3:$L$197,6,FALSE)</f>
        <v>0.3298009570564116</v>
      </c>
      <c r="F38" s="30"/>
      <c r="G38" s="10" t="str">
        <f>G21</f>
        <v>Middle East</v>
      </c>
      <c r="H38" s="17">
        <f>SUM(H22:H37)</f>
        <v>4099199.39</v>
      </c>
      <c r="I38" s="101">
        <f>SUMPRODUCT(I22:I37,H22:H37)/H38</f>
        <v>6.08280794756643E-2</v>
      </c>
      <c r="J38" s="101">
        <f>SUMPRODUCT(J22:J37,H22:H37)/H38</f>
        <v>9.0841205983792236E-2</v>
      </c>
      <c r="K38" s="30"/>
      <c r="L38" s="5" t="s">
        <v>139</v>
      </c>
      <c r="M38" s="6">
        <f>VLOOKUP(L38,GDP!$B$7:$C$200,2,FALSE)</f>
        <v>2218.39</v>
      </c>
      <c r="N38" s="100">
        <f>VLOOKUP(L38,'CtryERP&amp;CRP'!$B$3:$L$197,11,FALSE)</f>
        <v>0.19480924828813256</v>
      </c>
      <c r="O38" s="100">
        <f>VLOOKUP(L38,'CtryERP&amp;CRP'!$B$3:$L$197,6,FALSE)</f>
        <v>0.22482237479626049</v>
      </c>
      <c r="P38" s="30"/>
      <c r="Q38" s="5" t="s">
        <v>135</v>
      </c>
      <c r="R38" s="6">
        <f>VLOOKUP(Q38,GDP!$B$7:$C$200,2,FALSE)</f>
        <v>18200.34</v>
      </c>
      <c r="S38" s="100">
        <f>VLOOKUP(Q38,'CtryERP&amp;CRP'!$B$3:$L$197,11,FALSE)</f>
        <v>0.19480924828813256</v>
      </c>
      <c r="T38" s="100">
        <f>VLOOKUP(Q38,'CtryERP&amp;CRP'!$B$3:$L$197,6,FALSE)</f>
        <v>0.22482237479626049</v>
      </c>
      <c r="V38" s="5" t="s">
        <v>136</v>
      </c>
      <c r="W38" s="6">
        <f>VLOOKUP(V38,GDP!$B$7:$C$200,2,FALSE)</f>
        <v>93279.85</v>
      </c>
      <c r="X38" s="100">
        <f>VLOOKUP(V38,'CtryERP&amp;CRP'!$B$3:$L$197,11,FALSE)</f>
        <v>0</v>
      </c>
      <c r="Y38" s="100">
        <f>VLOOKUP(V38,'CtryERP&amp;CRP'!$B$3:$L$197,6,FALSE)</f>
        <v>3.0013126508127919E-2</v>
      </c>
      <c r="AK38" s="5" t="s">
        <v>137</v>
      </c>
      <c r="AL38" s="6">
        <f>VLOOKUP(AK38,GDP!$B$7:$C$200,2,FALSE)</f>
        <v>289221.96999999997</v>
      </c>
      <c r="AM38" s="100">
        <f>VLOOKUP(AK38,'CtryERP&amp;CRP'!$B$3:$L$197,11,FALSE)</f>
        <v>3.692116866692103E-2</v>
      </c>
      <c r="AN38" s="100">
        <f>VLOOKUP(AK38,'CtryERP&amp;CRP'!$B$3:$L$197,6,FALSE)</f>
        <v>6.6934295175048952E-2</v>
      </c>
    </row>
    <row r="39" spans="2:40" x14ac:dyDescent="0.25">
      <c r="B39" s="5" t="s">
        <v>138</v>
      </c>
      <c r="C39" s="6">
        <f>VLOOKUP(B39,GDP!$B$7:$C$200,2,FALSE)</f>
        <v>42914.27</v>
      </c>
      <c r="D39" s="100">
        <f>VLOOKUP(B39,'CtryERP&amp;CRP'!$B$3:$L$197,11,FALSE)</f>
        <v>0.10779679923357789</v>
      </c>
      <c r="E39" s="100">
        <f>VLOOKUP(B39,'CtryERP&amp;CRP'!$B$3:$L$197,6,FALSE)</f>
        <v>0.13780992574170581</v>
      </c>
      <c r="F39" s="30"/>
      <c r="K39" s="30"/>
      <c r="L39" s="5" t="s">
        <v>144</v>
      </c>
      <c r="M39" s="6">
        <f>VLOOKUP(L39,GDP!$B$7:$C$200,2,FALSE)</f>
        <v>120339.56</v>
      </c>
      <c r="N39" s="100">
        <f>VLOOKUP(L39,'CtryERP&amp;CRP'!$B$3:$L$197,11,FALSE)</f>
        <v>0.18672427104500225</v>
      </c>
      <c r="O39" s="100">
        <f>VLOOKUP(L39,'CtryERP&amp;CRP'!$B$3:$L$197,6,FALSE)</f>
        <v>0.21673739755313018</v>
      </c>
      <c r="P39" s="30"/>
      <c r="Q39" s="5" t="s">
        <v>140</v>
      </c>
      <c r="R39" s="6">
        <f>VLOOKUP(Q39,GDP!$B$7:$C$200,2,FALSE)</f>
        <v>8270.02</v>
      </c>
      <c r="S39" s="100">
        <f>VLOOKUP(Q39,'CtryERP&amp;CRP'!$B$3:$L$197,11,FALSE)</f>
        <v>0.13492213760281152</v>
      </c>
      <c r="T39" s="100">
        <f>VLOOKUP(Q39,'CtryERP&amp;CRP'!$B$3:$L$197,6,FALSE)</f>
        <v>0.16493526411093945</v>
      </c>
      <c r="V39" s="5" t="s">
        <v>141</v>
      </c>
      <c r="W39" s="6">
        <f>VLOOKUP(V39,GDP!$B$7:$C$200,2,FALSE)</f>
        <v>24971.57</v>
      </c>
      <c r="X39" s="100">
        <f>VLOOKUP(V39,'CtryERP&amp;CRP'!$B$3:$L$197,11,FALSE)</f>
        <v>2.536395276084186E-2</v>
      </c>
      <c r="Y39" s="100">
        <f>VLOOKUP(V39,'CtryERP&amp;CRP'!$B$3:$L$197,6,FALSE)</f>
        <v>5.537707926896978E-2</v>
      </c>
      <c r="AK39" s="5" t="s">
        <v>142</v>
      </c>
      <c r="AL39" s="6">
        <f>VLOOKUP(AK39,GDP!$B$7:$C$200,2,FALSE)</f>
        <v>4416.78</v>
      </c>
      <c r="AM39" s="100">
        <f>VLOOKUP(AK39,'CtryERP&amp;CRP'!$B$3:$L$197,11,FALSE)</f>
        <v>0.22475280363079311</v>
      </c>
      <c r="AN39" s="100">
        <f>VLOOKUP(AK39,'CtryERP&amp;CRP'!$B$3:$L$197,6,FALSE)</f>
        <v>0.25476593013892102</v>
      </c>
    </row>
    <row r="40" spans="2:40" x14ac:dyDescent="0.25">
      <c r="B40" s="5" t="s">
        <v>143</v>
      </c>
      <c r="C40" s="6">
        <f>VLOOKUP(B40,GDP!$B$7:$C$200,2,FALSE)</f>
        <v>371570</v>
      </c>
      <c r="D40" s="100">
        <f>VLOOKUP(B40,'CtryERP&amp;CRP'!$B$3:$L$197,11,FALSE)</f>
        <v>0.22606649995237715</v>
      </c>
      <c r="E40" s="100">
        <f>VLOOKUP(B40,'CtryERP&amp;CRP'!$B$3:$L$197,6,FALSE)</f>
        <v>0.25607962646050508</v>
      </c>
      <c r="F40" s="30"/>
      <c r="K40" s="30"/>
      <c r="L40" s="5" t="s">
        <v>149</v>
      </c>
      <c r="M40" s="6">
        <f>VLOOKUP(L40,GDP!$B$7:$C$200,2,FALSE)</f>
        <v>4779.3</v>
      </c>
      <c r="N40" s="100">
        <f>VLOOKUP(L40,'CtryERP&amp;CRP'!$B$3:$L$197,11,FALSE)</f>
        <v>0.26984427520562304</v>
      </c>
      <c r="O40" s="100">
        <f>VLOOKUP(L40,'CtryERP&amp;CRP'!$B$3:$L$197,6,FALSE)</f>
        <v>0.29985740171375097</v>
      </c>
      <c r="P40" s="30"/>
      <c r="Q40" s="5" t="s">
        <v>145</v>
      </c>
      <c r="R40" s="6">
        <f>VLOOKUP(Q40,GDP!$B$7:$C$200,2,FALSE)</f>
        <v>917767.11</v>
      </c>
      <c r="S40" s="100">
        <f>VLOOKUP(Q40,'CtryERP&amp;CRP'!$B$3:$L$197,11,FALSE)</f>
        <v>2.8144825295275865E-2</v>
      </c>
      <c r="T40" s="100">
        <f>VLOOKUP(Q40,'CtryERP&amp;CRP'!$B$3:$L$197,6,FALSE)</f>
        <v>5.8157951803403787E-2</v>
      </c>
      <c r="V40" s="5" t="s">
        <v>146</v>
      </c>
      <c r="W40" s="6">
        <f>VLOOKUP(V40,GDP!$B$7:$C$200,2,FALSE)</f>
        <v>1214927.7</v>
      </c>
      <c r="X40" s="100">
        <f>VLOOKUP(V40,'CtryERP&amp;CRP'!$B$3:$L$197,11,FALSE)</f>
        <v>2.4210602404538388E-3</v>
      </c>
      <c r="Y40" s="100">
        <f>VLOOKUP(V40,'CtryERP&amp;CRP'!$B$3:$L$197,6,FALSE)</f>
        <v>3.2434186748581756E-2</v>
      </c>
      <c r="AK40" s="5" t="s">
        <v>147</v>
      </c>
      <c r="AL40" s="6">
        <f>VLOOKUP(AK40,GDP!$B$7:$C$200,2,FALSE)</f>
        <v>80961.509999999995</v>
      </c>
      <c r="AM40" s="100">
        <f>VLOOKUP(AK40,'CtryERP&amp;CRP'!$B$3:$L$197,11,FALSE)</f>
        <v>3.086851806578644E-2</v>
      </c>
      <c r="AN40" s="100">
        <f>VLOOKUP(AK40,'CtryERP&amp;CRP'!$B$3:$L$197,6,FALSE)</f>
        <v>6.0881644573914359E-2</v>
      </c>
    </row>
    <row r="41" spans="2:40" x14ac:dyDescent="0.25">
      <c r="B41" s="5" t="s">
        <v>148</v>
      </c>
      <c r="C41" s="6">
        <f>VLOOKUP(B41,GDP!$B$7:$C$200,2,FALSE)</f>
        <v>31800.43</v>
      </c>
      <c r="D41" s="100">
        <f>VLOOKUP(B41,'CtryERP&amp;CRP'!$B$3:$L$197,11,FALSE)</f>
        <v>0.16486569294547207</v>
      </c>
      <c r="E41" s="100">
        <f>VLOOKUP(B41,'CtryERP&amp;CRP'!$B$3:$L$197,6,FALSE)</f>
        <v>0.1948788194536</v>
      </c>
      <c r="F41" s="30"/>
      <c r="K41" s="30"/>
      <c r="L41" s="5" t="s">
        <v>154</v>
      </c>
      <c r="M41" s="6">
        <f>VLOOKUP(L41,GDP!$B$7:$C$200,2,FALSE)</f>
        <v>48487.15</v>
      </c>
      <c r="N41" s="100">
        <f>VLOOKUP(L41,'CtryERP&amp;CRP'!$B$3:$L$197,11,FALSE)</f>
        <v>6.5875821753853162E-2</v>
      </c>
      <c r="O41" s="100">
        <f>VLOOKUP(L41,'CtryERP&amp;CRP'!$B$3:$L$197,6,FALSE)</f>
        <v>9.5888948261981077E-2</v>
      </c>
      <c r="P41" s="30"/>
      <c r="Q41" s="5" t="s">
        <v>150</v>
      </c>
      <c r="R41" s="6">
        <f>VLOOKUP(Q41,GDP!$B$7:$C$200,2,FALSE)</f>
        <v>382564.22</v>
      </c>
      <c r="S41" s="100">
        <f>VLOOKUP(Q41,'CtryERP&amp;CRP'!$B$3:$L$197,11,FALSE)</f>
        <v>7.565813251418245E-2</v>
      </c>
      <c r="T41" s="100">
        <f>VLOOKUP(Q41,'CtryERP&amp;CRP'!$B$3:$L$197,6,FALSE)</f>
        <v>0.10567125902231037</v>
      </c>
      <c r="V41" s="5" t="s">
        <v>151</v>
      </c>
      <c r="W41" s="6">
        <f>VLOOKUP(V41,GDP!$B$7:$C$200,2,FALSE)</f>
        <v>483592.65</v>
      </c>
      <c r="X41" s="100">
        <f>VLOOKUP(V41,'CtryERP&amp;CRP'!$B$3:$L$197,11,FALSE)</f>
        <v>1.5131626502836496E-3</v>
      </c>
      <c r="Y41" s="100">
        <f>VLOOKUP(V41,'CtryERP&amp;CRP'!$B$3:$L$197,6,FALSE)</f>
        <v>3.1526289158411568E-2</v>
      </c>
      <c r="AK41" s="9" t="s">
        <v>152</v>
      </c>
      <c r="AL41" s="6">
        <f>VLOOKUP(AK41,GDP!$B$7:$C$200,2,FALSE)</f>
        <v>119802.96</v>
      </c>
      <c r="AM41" s="100">
        <f>VLOOKUP(AK41,'CtryERP&amp;CRP'!$B$3:$L$197,11,FALSE)</f>
        <v>0.52960692759927708</v>
      </c>
      <c r="AN41" s="100">
        <f>VLOOKUP(AK41,'CtryERP&amp;CRP'!$B$3:$L$197,6,FALSE)</f>
        <v>0.55962005410740501</v>
      </c>
    </row>
    <row r="42" spans="2:40" ht="15.75" thickBot="1" x14ac:dyDescent="0.3">
      <c r="B42" s="5" t="s">
        <v>153</v>
      </c>
      <c r="C42" s="6">
        <f>VLOOKUP(B42,GDP!$B$7:$C$200,2,FALSE)</f>
        <v>461617.51</v>
      </c>
      <c r="D42" s="100">
        <f>VLOOKUP(B42,'CtryERP&amp;CRP'!$B$3:$L$197,11,FALSE)</f>
        <v>2.9657987945559516E-2</v>
      </c>
      <c r="E42" s="100">
        <f>VLOOKUP(B42,'CtryERP&amp;CRP'!$B$3:$L$197,6,FALSE)</f>
        <v>5.9671114453687432E-2</v>
      </c>
      <c r="F42" s="30"/>
      <c r="K42" s="30"/>
      <c r="L42" s="5" t="s">
        <v>158</v>
      </c>
      <c r="M42" s="6">
        <f>VLOOKUP(L42,GDP!$B$7:$C$200,2,FALSE)</f>
        <v>17420.5</v>
      </c>
      <c r="N42" s="100">
        <f>VLOOKUP(L42,'CtryERP&amp;CRP'!$B$3:$L$197,11,FALSE)</f>
        <v>0.16486569294547207</v>
      </c>
      <c r="O42" s="100">
        <f>VLOOKUP(L42,'CtryERP&amp;CRP'!$B$3:$L$197,6,FALSE)</f>
        <v>0.1948788194536</v>
      </c>
      <c r="P42" s="30"/>
      <c r="Q42" s="5" t="s">
        <v>155</v>
      </c>
      <c r="R42" s="6">
        <f>VLOOKUP(Q42,GDP!$B$7:$C$200,2,FALSE)</f>
        <v>2173835.81</v>
      </c>
      <c r="S42" s="100">
        <f>VLOOKUP(Q42,'CtryERP&amp;CRP'!$B$3:$L$197,11,FALSE)</f>
        <v>9.0182943149659939E-2</v>
      </c>
      <c r="T42" s="100">
        <f>VLOOKUP(Q42,'CtryERP&amp;CRP'!$B$3:$L$197,6,FALSE)</f>
        <v>0.12019606965778785</v>
      </c>
      <c r="V42" s="5" t="s">
        <v>156</v>
      </c>
      <c r="W42" s="6">
        <f>VLOOKUP(V42,GDP!$B$7:$C$200,2,FALSE)</f>
        <v>313271.19</v>
      </c>
      <c r="X42" s="100">
        <f>VLOOKUP(V42,'CtryERP&amp;CRP'!$B$3:$L$197,11,FALSE)</f>
        <v>1.150003614215573E-2</v>
      </c>
      <c r="Y42" s="100">
        <f>VLOOKUP(V42,'CtryERP&amp;CRP'!$B$3:$L$197,6,FALSE)</f>
        <v>4.1513162650283653E-2</v>
      </c>
      <c r="AK42" s="10" t="str">
        <f>AK21</f>
        <v>Central and South America</v>
      </c>
      <c r="AL42" s="17">
        <f>SUM(AL22:AL41)</f>
        <v>6563149.5699999994</v>
      </c>
      <c r="AM42" s="101">
        <f>SUMPRODUCT(AM22:AM41,AL22:AL41)/AL42</f>
        <v>9.7716975957404167E-2</v>
      </c>
      <c r="AN42" s="101">
        <f>SUMPRODUCT(AN22:AN41,AL22:AL41)/AL42</f>
        <v>0.12773010246553204</v>
      </c>
    </row>
    <row r="43" spans="2:40" x14ac:dyDescent="0.25">
      <c r="B43" s="5" t="s">
        <v>157</v>
      </c>
      <c r="C43" s="6">
        <f>VLOOKUP(B43,GDP!$B$7:$C$200,2,FALSE)</f>
        <v>547386.65</v>
      </c>
      <c r="D43" s="100">
        <f>VLOOKUP(B43,'CtryERP&amp;CRP'!$B$3:$L$197,11,FALSE)</f>
        <v>0</v>
      </c>
      <c r="E43" s="100">
        <f>VLOOKUP(B43,'CtryERP&amp;CRP'!$B$3:$L$197,6,FALSE)</f>
        <v>3.0013126508127919E-2</v>
      </c>
      <c r="F43" s="30"/>
      <c r="K43" s="30"/>
      <c r="L43" s="5" t="s">
        <v>161</v>
      </c>
      <c r="M43" s="6">
        <f>VLOOKUP(L43,GDP!$B$7:$C$200,2,FALSE)</f>
        <v>11316.41</v>
      </c>
      <c r="N43" s="100">
        <f>VLOOKUP(L43,'CtryERP&amp;CRP'!$B$3:$L$197,11,FALSE)</f>
        <v>0.26984427520562304</v>
      </c>
      <c r="O43" s="100">
        <f>VLOOKUP(L43,'CtryERP&amp;CRP'!$B$3:$L$197,6,FALSE)</f>
        <v>0.29985740171375097</v>
      </c>
      <c r="P43" s="30"/>
      <c r="Q43" s="5" t="s">
        <v>162</v>
      </c>
      <c r="R43" s="6">
        <f>VLOOKUP(Q43,GDP!$B$7:$C$200,2,FALSE)</f>
        <v>90097.77</v>
      </c>
      <c r="S43" s="100">
        <f>VLOOKUP(Q43,'CtryERP&amp;CRP'!$B$3:$L$197,11,FALSE)</f>
        <v>6.4460728902083445E-2</v>
      </c>
      <c r="T43" s="100">
        <f>VLOOKUP(Q43,'CtryERP&amp;CRP'!$B$3:$L$197,6,FALSE)</f>
        <v>9.447385541021136E-2</v>
      </c>
      <c r="V43" s="5" t="s">
        <v>159</v>
      </c>
      <c r="W43" s="6">
        <f>VLOOKUP(V43,GDP!$B$7:$C$200,2,FALSE)</f>
        <v>1725671.65</v>
      </c>
      <c r="X43" s="100">
        <f>VLOOKUP(V43,'CtryERP&amp;CRP'!$B$3:$L$197,11,FALSE)</f>
        <v>1.42237289126663E-2</v>
      </c>
      <c r="Y43" s="100">
        <f>VLOOKUP(V43,'CtryERP&amp;CRP'!$B$3:$L$197,6,FALSE)</f>
        <v>4.4236855420794217E-2</v>
      </c>
    </row>
    <row r="44" spans="2:40" x14ac:dyDescent="0.25">
      <c r="B44" s="5" t="s">
        <v>160</v>
      </c>
      <c r="C44" s="6">
        <f>VLOOKUP(B44,GDP!$B$7:$C$200,2,FALSE)</f>
        <v>1583.96</v>
      </c>
      <c r="D44" s="100">
        <f>VLOOKUP(B44,'CtryERP&amp;CRP'!$B$3:$L$197,11,FALSE)</f>
        <v>0.22475280363079311</v>
      </c>
      <c r="E44" s="100">
        <f>VLOOKUP(B44,'CtryERP&amp;CRP'!$B$3:$L$197,6,FALSE)</f>
        <v>0.25476593013892102</v>
      </c>
      <c r="F44" s="30"/>
      <c r="K44" s="30"/>
      <c r="L44" s="5" t="s">
        <v>165</v>
      </c>
      <c r="M44" s="6">
        <f>VLOOKUP(L44,GDP!$B$7:$C$200,2,FALSE)</f>
        <v>26794.75</v>
      </c>
      <c r="N44" s="100">
        <f>VLOOKUP(L44,'CtryERP&amp;CRP'!$B$3:$L$197,11,FALSE)</f>
        <v>0.26984427520562304</v>
      </c>
      <c r="O44" s="100">
        <f>VLOOKUP(L44,'CtryERP&amp;CRP'!$B$3:$L$197,6,FALSE)</f>
        <v>0.29985740171375097</v>
      </c>
      <c r="P44" s="30"/>
      <c r="Q44" s="5" t="s">
        <v>166</v>
      </c>
      <c r="R44" s="6">
        <f>VLOOKUP(Q44,GDP!$B$7:$C$200,2,FALSE)</f>
        <v>140934.07999999999</v>
      </c>
      <c r="S44" s="100">
        <f>VLOOKUP(Q44,'CtryERP&amp;CRP'!$B$3:$L$197,11,FALSE)</f>
        <v>1.331583132249611E-2</v>
      </c>
      <c r="T44" s="100">
        <f>VLOOKUP(Q44,'CtryERP&amp;CRP'!$B$3:$L$197,6,FALSE)</f>
        <v>4.3328957830624029E-2</v>
      </c>
      <c r="V44" s="5" t="s">
        <v>163</v>
      </c>
      <c r="W44" s="6">
        <f>VLOOKUP(V44,GDP!$B$7:$C$200,2,FALSE)</f>
        <v>603715.22</v>
      </c>
      <c r="X44" s="100">
        <f>VLOOKUP(V44,'CtryERP&amp;CRP'!$B$3:$L$197,11,FALSE)</f>
        <v>2.4210602404538388E-3</v>
      </c>
      <c r="Y44" s="100">
        <f>VLOOKUP(V44,'CtryERP&amp;CRP'!$B$3:$L$197,6,FALSE)</f>
        <v>3.2434186748581756E-2</v>
      </c>
    </row>
    <row r="45" spans="2:40" x14ac:dyDescent="0.25">
      <c r="B45" s="5" t="s">
        <v>164</v>
      </c>
      <c r="C45" s="6">
        <f>VLOOKUP(B45,GDP!$B$7:$C$200,2,FALSE)</f>
        <v>98963.19</v>
      </c>
      <c r="D45" s="100">
        <f>VLOOKUP(B45,'CtryERP&amp;CRP'!$B$3:$L$197,11,FALSE)</f>
        <v>0.14193465659660626</v>
      </c>
      <c r="E45" s="100">
        <f>VLOOKUP(B45,'CtryERP&amp;CRP'!$B$3:$L$197,6,FALSE)</f>
        <v>0.17194778310473419</v>
      </c>
      <c r="F45" s="30"/>
      <c r="K45" s="30"/>
      <c r="L45" s="5" t="s">
        <v>169</v>
      </c>
      <c r="M45" s="6">
        <f>VLOOKUP(L45,GDP!$B$7:$C$200,2,FALSE)</f>
        <v>14937.86</v>
      </c>
      <c r="N45" s="100">
        <f>VLOOKUP(L45,'CtryERP&amp;CRP'!$B$3:$L$197,11,FALSE)</f>
        <v>6.5875821753853162E-2</v>
      </c>
      <c r="O45" s="100">
        <f>VLOOKUP(L45,'CtryERP&amp;CRP'!$B$3:$L$197,6,FALSE)</f>
        <v>9.5888948261981077E-2</v>
      </c>
      <c r="P45" s="30"/>
      <c r="Q45" s="5" t="s">
        <v>170</v>
      </c>
      <c r="R45" s="6">
        <f>VLOOKUP(Q45,GDP!$B$7:$C$200,2,FALSE)</f>
        <v>72972.02</v>
      </c>
      <c r="S45" s="100">
        <f>VLOOKUP(Q45,'CtryERP&amp;CRP'!$B$3:$L$197,11,FALSE)</f>
        <v>1.6039524093006678E-2</v>
      </c>
      <c r="T45" s="100">
        <f>VLOOKUP(Q45,'CtryERP&amp;CRP'!$B$3:$L$197,6,FALSE)</f>
        <v>4.6052650601134601E-2</v>
      </c>
      <c r="V45" s="5" t="s">
        <v>167</v>
      </c>
      <c r="W45" s="6">
        <f>VLOOKUP(V45,GDP!$B$7:$C$200,2,FALSE)</f>
        <v>936564.2</v>
      </c>
      <c r="X45" s="100">
        <f>VLOOKUP(V45,'CtryERP&amp;CRP'!$B$3:$L$197,11,FALSE)</f>
        <v>0</v>
      </c>
      <c r="Y45" s="100">
        <f>VLOOKUP(V45,'CtryERP&amp;CRP'!$B$3:$L$197,6,FALSE)</f>
        <v>3.0013126508127919E-2</v>
      </c>
    </row>
    <row r="46" spans="2:40" x14ac:dyDescent="0.25">
      <c r="B46" s="5" t="s">
        <v>168</v>
      </c>
      <c r="C46" s="6">
        <f>VLOOKUP(B46,GDP!$B$7:$C$200,2,FALSE)</f>
        <v>801495</v>
      </c>
      <c r="D46" s="100">
        <f>VLOOKUP(B46,'CtryERP&amp;CRP'!$B$3:$L$197,11,FALSE)</f>
        <v>1.7966133205596316E-2</v>
      </c>
      <c r="E46" s="100">
        <f>VLOOKUP(B46,'CtryERP&amp;CRP'!$B$3:$L$197,6,FALSE)</f>
        <v>4.7979259713724236E-2</v>
      </c>
      <c r="F46" s="30"/>
      <c r="K46" s="30"/>
      <c r="L46" s="5" t="s">
        <v>173</v>
      </c>
      <c r="M46" s="6">
        <f>VLOOKUP(L46,GDP!$B$7:$C$200,2,FALSE)</f>
        <v>160610.99</v>
      </c>
      <c r="N46" s="100">
        <f>VLOOKUP(L46,'CtryERP&amp;CRP'!$B$3:$L$197,11,FALSE)</f>
        <v>4.3276451798112354E-2</v>
      </c>
      <c r="O46" s="100">
        <f>VLOOKUP(L46,'CtryERP&amp;CRP'!$B$3:$L$197,6,FALSE)</f>
        <v>7.3289578306240277E-2</v>
      </c>
      <c r="P46" s="30"/>
      <c r="Q46" s="5" t="s">
        <v>174</v>
      </c>
      <c r="R46" s="6">
        <f>VLOOKUP(Q46,GDP!$B$7:$C$200,2,FALSE)</f>
        <v>14204.58</v>
      </c>
      <c r="S46" s="100">
        <f>VLOOKUP(Q46,'CtryERP&amp;CRP'!$B$3:$L$197,11,FALSE)</f>
        <v>0.19480924828813256</v>
      </c>
      <c r="T46" s="100">
        <f>VLOOKUP(Q46,'CtryERP&amp;CRP'!$B$3:$L$197,6,FALSE)</f>
        <v>0.22482237479626049</v>
      </c>
      <c r="V46" s="5" t="s">
        <v>171</v>
      </c>
      <c r="W46" s="6">
        <f>VLOOKUP(V46,GDP!$B$7:$C$200,2,FALSE)</f>
        <v>1359123.77</v>
      </c>
      <c r="X46" s="100">
        <f>VLOOKUP(V46,'CtryERP&amp;CRP'!$B$3:$L$197,11,FALSE)</f>
        <v>0.1098556084105929</v>
      </c>
      <c r="Y46" s="100">
        <f>VLOOKUP(V46,'CtryERP&amp;CRP'!$B$3:$L$197,6,FALSE)</f>
        <v>0.13986873491872082</v>
      </c>
    </row>
    <row r="47" spans="2:40" x14ac:dyDescent="0.25">
      <c r="B47" s="5" t="s">
        <v>172</v>
      </c>
      <c r="C47" s="6">
        <f>VLOOKUP(B47,GDP!$B$7:$C$200,2,FALSE)</f>
        <v>526517.66</v>
      </c>
      <c r="D47" s="100">
        <f>VLOOKUP(B47,'CtryERP&amp;CRP'!$B$3:$L$197,11,FALSE)</f>
        <v>1.6644789153120135E-2</v>
      </c>
      <c r="E47" s="100">
        <f>VLOOKUP(B47,'CtryERP&amp;CRP'!$B$3:$L$197,6,FALSE)</f>
        <v>4.6657915661248051E-2</v>
      </c>
      <c r="F47" s="30"/>
      <c r="K47" s="30"/>
      <c r="L47" s="5" t="s">
        <v>177</v>
      </c>
      <c r="M47" s="6">
        <f>VLOOKUP(L47,GDP!$B$7:$C$200,2,FALSE)</f>
        <v>22745.34</v>
      </c>
      <c r="N47" s="100">
        <f>VLOOKUP(L47,'CtryERP&amp;CRP'!$B$3:$L$197,11,FALSE)</f>
        <v>0.26984427520562304</v>
      </c>
      <c r="O47" s="100">
        <f>VLOOKUP(L47,'CtryERP&amp;CRP'!$B$3:$L$197,6,FALSE)</f>
        <v>0.29985740171375097</v>
      </c>
      <c r="P47" s="30"/>
      <c r="Q47" s="5" t="s">
        <v>180</v>
      </c>
      <c r="R47" s="6">
        <f>VLOOKUP(Q47,GDP!$B$7:$C$200,2,FALSE)</f>
        <v>190741.26</v>
      </c>
      <c r="S47" s="100">
        <f>VLOOKUP(Q47,'CtryERP&amp;CRP'!$B$3:$L$197,11,FALSE)</f>
        <v>0.35967494123360472</v>
      </c>
      <c r="T47" s="100">
        <f>VLOOKUP(Q47,'CtryERP&amp;CRP'!$B$3:$L$197,6,FALSE)</f>
        <v>0.38968806774173265</v>
      </c>
      <c r="V47" s="5" t="s">
        <v>175</v>
      </c>
      <c r="W47" s="6">
        <f>VLOOKUP(V47,GDP!$B$7:$C$200,2,FALSE)</f>
        <v>3686033.04</v>
      </c>
      <c r="X47" s="100">
        <f>VLOOKUP(V47,'CtryERP&amp;CRP'!$B$3:$L$197,11,FALSE)</f>
        <v>6.0526506011345958E-3</v>
      </c>
      <c r="Y47" s="100">
        <f>VLOOKUP(V47,'CtryERP&amp;CRP'!$B$3:$L$197,6,FALSE)</f>
        <v>3.6065777109262516E-2</v>
      </c>
    </row>
    <row r="48" spans="2:40" ht="15.75" thickBot="1" x14ac:dyDescent="0.3">
      <c r="B48" s="5" t="s">
        <v>176</v>
      </c>
      <c r="C48" s="6">
        <f>VLOOKUP(B48,GDP!$B$7:$C$200,2,FALSE)</f>
        <v>476388.23</v>
      </c>
      <c r="D48" s="100">
        <f>VLOOKUP(B48,'CtryERP&amp;CRP'!$B$3:$L$197,11,FALSE)</f>
        <v>4.2368554207942159E-2</v>
      </c>
      <c r="E48" s="100">
        <f>VLOOKUP(B48,'CtryERP&amp;CRP'!$B$3:$L$197,6,FALSE)</f>
        <v>7.2381680716070082E-2</v>
      </c>
      <c r="F48" s="30"/>
      <c r="K48" s="30"/>
      <c r="L48" s="5" t="s">
        <v>179</v>
      </c>
      <c r="M48" s="6">
        <f>VLOOKUP(L48,GDP!$B$7:$C$200,2,FALSE)</f>
        <v>13372.35</v>
      </c>
      <c r="N48" s="100">
        <f>VLOOKUP(L48,'CtryERP&amp;CRP'!$B$3:$L$197,11,FALSE)</f>
        <v>0.10531612045974195</v>
      </c>
      <c r="O48" s="100">
        <f>VLOOKUP(L48,'CtryERP&amp;CRP'!$B$3:$L$197,6,FALSE)</f>
        <v>0.13532924696786988</v>
      </c>
      <c r="P48" s="30"/>
      <c r="Q48" s="5" t="s">
        <v>182</v>
      </c>
      <c r="R48" s="6">
        <f>VLOOKUP(Q48,GDP!$B$7:$C$200,2,FALSE)</f>
        <v>114965.29</v>
      </c>
      <c r="S48" s="100">
        <f>VLOOKUP(Q48,'CtryERP&amp;CRP'!$B$3:$L$197,11,FALSE)</f>
        <v>0.10779679923357789</v>
      </c>
      <c r="T48" s="100">
        <f>VLOOKUP(Q48,'CtryERP&amp;CRP'!$B$3:$L$197,6,FALSE)</f>
        <v>0.13780992574170581</v>
      </c>
      <c r="V48" s="10" t="str">
        <f>V21</f>
        <v>Westeren Europe</v>
      </c>
      <c r="W48" s="99">
        <f>SUM(W22:W47)</f>
        <v>23566519.619999994</v>
      </c>
      <c r="X48" s="102">
        <f>SUMPRODUCT(X22:X47,W22:W47)/W48</f>
        <v>1.4673900221870104E-2</v>
      </c>
      <c r="Y48" s="102">
        <f>SUMPRODUCT(Y22:Y47,W22:W47)/W48</f>
        <v>4.4687026729998025E-2</v>
      </c>
    </row>
    <row r="49" spans="2:20" ht="15.75" thickBot="1" x14ac:dyDescent="0.3">
      <c r="B49" s="10" t="str">
        <f>B21</f>
        <v>Asia</v>
      </c>
      <c r="C49" s="17">
        <f>SUM(C22:C48)</f>
        <v>34857583.550000004</v>
      </c>
      <c r="D49" s="101">
        <f>SUMPRODUCT(D22:D48,C22:C48)/C49</f>
        <v>2.2846338122670232E-2</v>
      </c>
      <c r="E49" s="101">
        <f>SUMPRODUCT(E22:E48,C22:C48)/C49</f>
        <v>5.2859464630798172E-2</v>
      </c>
      <c r="F49" s="30"/>
      <c r="K49" s="30"/>
      <c r="L49" s="5" t="s">
        <v>181</v>
      </c>
      <c r="M49" s="6">
        <f>VLOOKUP(L49,GDP!$B$7:$C$200,2,FALSE)</f>
        <v>19876.13</v>
      </c>
      <c r="N49" s="100">
        <f>VLOOKUP(L49,'CtryERP&amp;CRP'!$B$3:$L$197,11,FALSE)</f>
        <v>0.29978783054828367</v>
      </c>
      <c r="O49" s="100">
        <f>VLOOKUP(L49,'CtryERP&amp;CRP'!$B$3:$L$197,6,FALSE)</f>
        <v>0.3298009570564116</v>
      </c>
      <c r="P49" s="30"/>
      <c r="Q49" s="10" t="str">
        <f>Q21</f>
        <v>Eastern Europe &amp; Russia</v>
      </c>
      <c r="R49" s="17">
        <f>SUM(R22:R48)</f>
        <v>5665313.0199999986</v>
      </c>
      <c r="S49" s="101">
        <f>SUMPRODUCT(S22:S48,R22:R48)/R49</f>
        <v>7.9495035965763475E-2</v>
      </c>
      <c r="T49" s="101">
        <f>SUMPRODUCT(T22:T48,R22:R48)/R49</f>
        <v>0.10950816247389139</v>
      </c>
    </row>
    <row r="50" spans="2:20" x14ac:dyDescent="0.25">
      <c r="L50" s="5" t="s">
        <v>183</v>
      </c>
      <c r="M50" s="6">
        <f>VLOOKUP(L50,GDP!$B$7:$C$200,2,FALSE)</f>
        <v>252261.88</v>
      </c>
      <c r="N50" s="100">
        <f>VLOOKUP(L50,'CtryERP&amp;CRP'!$B$3:$L$197,11,FALSE)</f>
        <v>0.1779479276733571</v>
      </c>
      <c r="O50" s="100">
        <f>VLOOKUP(L50,'CtryERP&amp;CRP'!$B$3:$L$197,6,FALSE)</f>
        <v>0.20796105418148503</v>
      </c>
      <c r="P50" s="30"/>
    </row>
    <row r="51" spans="2:20" x14ac:dyDescent="0.25">
      <c r="L51" s="5" t="s">
        <v>185</v>
      </c>
      <c r="M51" s="6">
        <f>VLOOKUP(L51,GDP!$B$7:$C$200,2,FALSE)</f>
        <v>14251.64</v>
      </c>
      <c r="N51" s="100">
        <f>VLOOKUP(L51,'CtryERP&amp;CRP'!$B$3:$L$197,11,FALSE)</f>
        <v>0.15918471080983987</v>
      </c>
      <c r="O51" s="100">
        <f>VLOOKUP(L51,'CtryERP&amp;CRP'!$B$3:$L$197,6,FALSE)</f>
        <v>0.1891978373179678</v>
      </c>
      <c r="P51" s="30"/>
    </row>
    <row r="52" spans="2:20" x14ac:dyDescent="0.25">
      <c r="L52" s="5" t="s">
        <v>186</v>
      </c>
      <c r="M52" s="6">
        <f>VLOOKUP(L52,GDP!$B$7:$C$200,2,FALSE)</f>
        <v>32808.06</v>
      </c>
      <c r="N52" s="100">
        <f>VLOOKUP(L52,'CtryERP&amp;CRP'!$B$3:$L$197,11,FALSE)</f>
        <v>0.23181651802345501</v>
      </c>
      <c r="O52" s="100">
        <f>VLOOKUP(L52,'CtryERP&amp;CRP'!$B$3:$L$197,6,FALSE)</f>
        <v>0.26182964453158292</v>
      </c>
      <c r="P52" s="30"/>
    </row>
    <row r="53" spans="2:20" x14ac:dyDescent="0.25">
      <c r="L53" s="5" t="s">
        <v>187</v>
      </c>
      <c r="M53" s="6">
        <f>VLOOKUP(L53,GDP!$B$7:$C$200,2,FALSE)</f>
        <v>6971.13</v>
      </c>
      <c r="N53" s="100">
        <f>VLOOKUP(L53,'CtryERP&amp;CRP'!$B$3:$L$197,11,FALSE)</f>
        <v>0.26984427520562304</v>
      </c>
      <c r="O53" s="100">
        <f>VLOOKUP(L53,'CtryERP&amp;CRP'!$B$3:$L$197,6,FALSE)</f>
        <v>0.29985740171375097</v>
      </c>
      <c r="P53" s="30"/>
    </row>
    <row r="54" spans="2:20" x14ac:dyDescent="0.25">
      <c r="L54" s="5" t="s">
        <v>188</v>
      </c>
      <c r="M54" s="6">
        <f>VLOOKUP(L54,GDP!$B$7:$C$200,2,FALSE)</f>
        <v>11967</v>
      </c>
      <c r="N54" s="100">
        <f>VLOOKUP(L54,'CtryERP&amp;CRP'!$B$3:$L$197,11,FALSE)</f>
        <v>0.29978783054828367</v>
      </c>
      <c r="O54" s="100">
        <f>VLOOKUP(L54,'CtryERP&amp;CRP'!$B$3:$L$197,6,FALSE)</f>
        <v>0.3298009570564116</v>
      </c>
      <c r="P54" s="30"/>
    </row>
    <row r="55" spans="2:20" x14ac:dyDescent="0.25">
      <c r="L55" s="5" t="s">
        <v>189</v>
      </c>
      <c r="M55" s="6">
        <f>VLOOKUP(L55,GDP!$B$7:$C$200,2,FALSE)</f>
        <v>401145</v>
      </c>
      <c r="N55" s="100">
        <f>VLOOKUP(L55,'CtryERP&amp;CRP'!$B$3:$L$197,11,FALSE)</f>
        <v>8.5947638536111245E-2</v>
      </c>
      <c r="O55" s="100">
        <f>VLOOKUP(L55,'CtryERP&amp;CRP'!$B$3:$L$197,6,FALSE)</f>
        <v>0.11596076504423916</v>
      </c>
      <c r="P55" s="30"/>
    </row>
    <row r="56" spans="2:20" x14ac:dyDescent="0.25">
      <c r="L56" s="5" t="s">
        <v>190</v>
      </c>
      <c r="M56" s="6">
        <f>VLOOKUP(L56,GDP!$B$7:$C$200,2,FALSE)</f>
        <v>11997.8</v>
      </c>
      <c r="N56" s="100">
        <f>VLOOKUP(L56,'CtryERP&amp;CRP'!$B$3:$L$197,11,FALSE)</f>
        <v>0.52960692759927708</v>
      </c>
      <c r="O56" s="100">
        <f>VLOOKUP(L56,'CtryERP&amp;CRP'!$B$3:$L$197,6,FALSE)</f>
        <v>0.55962005410740501</v>
      </c>
      <c r="P56" s="30"/>
    </row>
    <row r="57" spans="2:20" x14ac:dyDescent="0.25">
      <c r="L57" s="5" t="s">
        <v>191</v>
      </c>
      <c r="M57" s="6">
        <f>VLOOKUP(L57,GDP!$B$7:$C$200,2,FALSE)</f>
        <v>4858.8900000000003</v>
      </c>
      <c r="N57" s="100">
        <f>VLOOKUP(L57,'CtryERP&amp;CRP'!$B$3:$L$197,11,FALSE)</f>
        <v>0.16486569294547207</v>
      </c>
      <c r="O57" s="100">
        <f>VLOOKUP(L57,'CtryERP&amp;CRP'!$B$3:$L$197,6,FALSE)</f>
        <v>0.1948788194536</v>
      </c>
      <c r="P57" s="30"/>
    </row>
    <row r="58" spans="2:20" x14ac:dyDescent="0.25">
      <c r="L58" s="5" t="s">
        <v>192</v>
      </c>
      <c r="M58" s="6">
        <f>VLOOKUP(L58,GDP!$B$7:$C$200,2,FALSE)</f>
        <v>78844.41</v>
      </c>
      <c r="N58" s="100">
        <f>VLOOKUP(L58,'CtryERP&amp;CRP'!$B$3:$L$197,11,FALSE)</f>
        <v>0.13492213760281152</v>
      </c>
      <c r="O58" s="100">
        <f>VLOOKUP(L58,'CtryERP&amp;CRP'!$B$3:$L$197,6,FALSE)</f>
        <v>0.16493526411093945</v>
      </c>
      <c r="P58" s="30"/>
    </row>
    <row r="59" spans="2:20" x14ac:dyDescent="0.25">
      <c r="L59" s="5" t="s">
        <v>193</v>
      </c>
      <c r="M59" s="6">
        <f>VLOOKUP(L59,GDP!$B$7:$C$200,2,FALSE)</f>
        <v>10651.18</v>
      </c>
      <c r="N59" s="100">
        <f>VLOOKUP(L59,'CtryERP&amp;CRP'!$B$3:$L$197,11,FALSE)</f>
        <v>0.19480924828813256</v>
      </c>
      <c r="O59" s="100">
        <f>VLOOKUP(L59,'CtryERP&amp;CRP'!$B$3:$L$197,6,FALSE)</f>
        <v>0.22482237479626049</v>
      </c>
      <c r="P59" s="30"/>
    </row>
    <row r="60" spans="2:20" x14ac:dyDescent="0.25">
      <c r="L60" s="5" t="s">
        <v>194</v>
      </c>
      <c r="M60" s="6">
        <f>VLOOKUP(L60,GDP!$B$7:$C$200,2,FALSE)</f>
        <v>51332.29</v>
      </c>
      <c r="N60" s="100">
        <f>VLOOKUP(L60,'CtryERP&amp;CRP'!$B$3:$L$197,11,FALSE)</f>
        <v>0.21940858429112911</v>
      </c>
      <c r="O60" s="100">
        <f>VLOOKUP(L60,'CtryERP&amp;CRP'!$B$3:$L$197,6,FALSE)</f>
        <v>0.24942171079925704</v>
      </c>
      <c r="P60" s="30"/>
    </row>
    <row r="61" spans="2:20" x14ac:dyDescent="0.25">
      <c r="L61" s="5" t="s">
        <v>195</v>
      </c>
      <c r="M61" s="6">
        <f>VLOOKUP(L61,GDP!$B$7:$C$200,2,FALSE)</f>
        <v>53911.91</v>
      </c>
      <c r="N61" s="100">
        <f>VLOOKUP(L61,'CtryERP&amp;CRP'!$B$3:$L$197,11,FALSE)</f>
        <v>0.19480924828813256</v>
      </c>
      <c r="O61" s="100">
        <f>VLOOKUP(L61,'CtryERP&amp;CRP'!$B$3:$L$197,6,FALSE)</f>
        <v>0.22482237479626049</v>
      </c>
      <c r="P61" s="30"/>
    </row>
    <row r="62" spans="2:20" x14ac:dyDescent="0.25">
      <c r="L62" s="5" t="s">
        <v>196</v>
      </c>
      <c r="M62" s="6">
        <f>VLOOKUP(L62,GDP!$B$7:$C$200,2,FALSE)</f>
        <v>25303.19</v>
      </c>
      <c r="N62" s="100">
        <f>VLOOKUP(L62,'CtryERP&amp;CRP'!$B$3:$L$197,11,FALSE)</f>
        <v>0.26984427520562304</v>
      </c>
      <c r="O62" s="100">
        <f>VLOOKUP(L62,'CtryERP&amp;CRP'!$B$3:$L$197,6,FALSE)</f>
        <v>0.29985740171375097</v>
      </c>
      <c r="P62" s="30"/>
    </row>
    <row r="63" spans="2:20" x14ac:dyDescent="0.25">
      <c r="L63" s="19" t="s">
        <v>197</v>
      </c>
      <c r="M63" s="6">
        <f>VLOOKUP(L63,GDP!$B$7:$C$200,2,FALSE)</f>
        <v>41539.410000000003</v>
      </c>
      <c r="N63" s="100">
        <f>VLOOKUP(L63,'CtryERP&amp;CRP'!$B$3:$L$197,11,FALSE)</f>
        <v>0.26984427520562304</v>
      </c>
      <c r="O63" s="100">
        <f>VLOOKUP(L63,'CtryERP&amp;CRP'!$B$3:$L$197,6,FALSE)</f>
        <v>0.29985740171375097</v>
      </c>
      <c r="P63" s="30"/>
    </row>
    <row r="64" spans="2:20" ht="15.75" thickBot="1" x14ac:dyDescent="0.3">
      <c r="L64" s="10" t="str">
        <f>L21</f>
        <v>Africa</v>
      </c>
      <c r="M64" s="17">
        <f>SUM(M22:M63)</f>
        <v>2794308.18</v>
      </c>
      <c r="N64" s="101">
        <f>SUMPRODUCT(N22:N63,M22:M63)/M64</f>
        <v>0.1647049268797571</v>
      </c>
      <c r="O64" s="101">
        <f>SUMPRODUCT(O22:O63,M22:M63)/M64</f>
        <v>0.19471805338788503</v>
      </c>
      <c r="P64" s="30"/>
    </row>
  </sheetData>
  <conditionalFormatting sqref="C22:C48">
    <cfRule type="containsText" dxfId="22" priority="9" operator="containsText" text="NA">
      <formula>NOT(ISERROR(SEARCH("NA",C22)))</formula>
    </cfRule>
  </conditionalFormatting>
  <conditionalFormatting sqref="D22:E22 C23:E49">
    <cfRule type="containsText" dxfId="21" priority="36" operator="containsText" text="NA">
      <formula>NOT(ISERROR(SEARCH("NA",C22)))</formula>
    </cfRule>
  </conditionalFormatting>
  <conditionalFormatting sqref="H22:J37">
    <cfRule type="containsText" dxfId="20" priority="8" operator="containsText" text="NA">
      <formula>NOT(ISERROR(SEARCH("NA",H22)))</formula>
    </cfRule>
  </conditionalFormatting>
  <conditionalFormatting sqref="M22:O63">
    <cfRule type="containsText" dxfId="19" priority="7" operator="containsText" text="NA">
      <formula>NOT(ISERROR(SEARCH("NA",M22)))</formula>
    </cfRule>
  </conditionalFormatting>
  <conditionalFormatting sqref="R22:T48">
    <cfRule type="containsText" dxfId="18" priority="6" operator="containsText" text="NA">
      <formula>NOT(ISERROR(SEARCH("NA",R22)))</formula>
    </cfRule>
  </conditionalFormatting>
  <conditionalFormatting sqref="W22:Y48">
    <cfRule type="containsText" dxfId="17" priority="5" operator="containsText" text="NA">
      <formula>NOT(ISERROR(SEARCH("NA",W22)))</formula>
    </cfRule>
  </conditionalFormatting>
  <conditionalFormatting sqref="AB22:AD23">
    <cfRule type="containsText" dxfId="16" priority="4" operator="containsText" text="NA">
      <formula>NOT(ISERROR(SEARCH("NA",AB22)))</formula>
    </cfRule>
  </conditionalFormatting>
  <conditionalFormatting sqref="AG22:AI36">
    <cfRule type="containsText" dxfId="15" priority="3" operator="containsText" text="NA">
      <formula>NOT(ISERROR(SEARCH("NA",AG22)))</formula>
    </cfRule>
  </conditionalFormatting>
  <conditionalFormatting sqref="AL22:AN41">
    <cfRule type="containsText" dxfId="14" priority="2" operator="containsText" text="NA">
      <formula>NOT(ISERROR(SEARCH("NA",AL22)))</formula>
    </cfRule>
  </conditionalFormatting>
  <conditionalFormatting sqref="AQ22:AS24">
    <cfRule type="containsText" dxfId="13" priority="1" operator="containsText" text="NA">
      <formula>NOT(ISERROR(SEARCH("NA",AQ22)))</formula>
    </cfRule>
  </conditionalFormatting>
  <conditionalFormatting sqref="AR23:AR24">
    <cfRule type="containsText" dxfId="12" priority="21" operator="containsText" text="NA">
      <formula>NOT(ISERROR(SEARCH("NA",AR23)))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1FA2-B707-4039-B27E-7E8C8E821E23}">
  <sheetPr>
    <tabColor rgb="FFC00000"/>
  </sheetPr>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3BEB-FD6B-44F2-9723-B0A45909EB6E}">
  <dimension ref="B2:J160"/>
  <sheetViews>
    <sheetView showGridLines="0" workbookViewId="0">
      <selection activeCell="J14" sqref="J14"/>
    </sheetView>
  </sheetViews>
  <sheetFormatPr defaultRowHeight="15" x14ac:dyDescent="0.25"/>
  <cols>
    <col min="1" max="1" width="1.85546875" customWidth="1"/>
    <col min="2" max="2" width="29.42578125" bestFit="1" customWidth="1"/>
    <col min="3" max="4" width="14.5703125" bestFit="1" customWidth="1"/>
    <col min="5" max="5" width="12" bestFit="1" customWidth="1"/>
    <col min="7" max="7" width="20.7109375" bestFit="1" customWidth="1"/>
    <col min="8" max="8" width="22" customWidth="1"/>
  </cols>
  <sheetData>
    <row r="2" spans="2:10" x14ac:dyDescent="0.25">
      <c r="B2" s="47" t="s">
        <v>199</v>
      </c>
      <c r="C2" s="42" t="s">
        <v>1570</v>
      </c>
      <c r="D2" s="42" t="s">
        <v>1569</v>
      </c>
      <c r="E2" s="42" t="s">
        <v>1568</v>
      </c>
      <c r="G2" s="47" t="s">
        <v>199</v>
      </c>
      <c r="H2" s="51" t="s">
        <v>1567</v>
      </c>
    </row>
    <row r="3" spans="2:10" ht="3.95" customHeight="1" x14ac:dyDescent="0.25">
      <c r="C3" s="40"/>
      <c r="D3" s="40"/>
      <c r="E3" s="40"/>
    </row>
    <row r="4" spans="2:10" x14ac:dyDescent="0.25">
      <c r="B4" s="5" t="s">
        <v>18</v>
      </c>
      <c r="C4" s="70" t="s">
        <v>1516</v>
      </c>
      <c r="D4" s="70" t="s">
        <v>1500</v>
      </c>
      <c r="E4" s="70" t="s">
        <v>1500</v>
      </c>
      <c r="G4" s="5" t="s">
        <v>20</v>
      </c>
      <c r="H4" s="53">
        <v>74</v>
      </c>
      <c r="J4" s="24" t="s">
        <v>1566</v>
      </c>
    </row>
    <row r="5" spans="2:10" x14ac:dyDescent="0.25">
      <c r="B5" s="5" t="s">
        <v>20</v>
      </c>
      <c r="C5" s="70" t="s">
        <v>1507</v>
      </c>
      <c r="D5" s="70" t="s">
        <v>1506</v>
      </c>
      <c r="E5" s="70" t="s">
        <v>1500</v>
      </c>
      <c r="G5" s="5" t="s">
        <v>19</v>
      </c>
      <c r="H5" s="53">
        <v>69.25</v>
      </c>
    </row>
    <row r="6" spans="2:10" x14ac:dyDescent="0.25">
      <c r="B6" s="5" t="s">
        <v>21</v>
      </c>
      <c r="C6" s="70" t="s">
        <v>1510</v>
      </c>
      <c r="D6" s="70" t="s">
        <v>1530</v>
      </c>
      <c r="E6" s="70" t="s">
        <v>1529</v>
      </c>
      <c r="G6" s="5" t="s">
        <v>28</v>
      </c>
      <c r="H6" s="53">
        <v>64.25</v>
      </c>
    </row>
    <row r="7" spans="2:10" x14ac:dyDescent="0.25">
      <c r="B7" s="5" t="s">
        <v>28</v>
      </c>
      <c r="C7" s="70" t="s">
        <v>1520</v>
      </c>
      <c r="D7" s="70" t="s">
        <v>1519</v>
      </c>
      <c r="E7" s="70" t="s">
        <v>1519</v>
      </c>
      <c r="G7" s="5" t="s">
        <v>24</v>
      </c>
      <c r="H7" s="53">
        <v>65.25</v>
      </c>
    </row>
    <row r="8" spans="2:10" x14ac:dyDescent="0.25">
      <c r="B8" s="5" t="s">
        <v>24</v>
      </c>
      <c r="C8" s="70" t="s">
        <v>1517</v>
      </c>
      <c r="D8" s="70" t="s">
        <v>1547</v>
      </c>
      <c r="E8" s="70" t="s">
        <v>1547</v>
      </c>
      <c r="G8" s="5" t="s">
        <v>29</v>
      </c>
      <c r="H8" s="53">
        <v>66.25</v>
      </c>
    </row>
    <row r="9" spans="2:10" x14ac:dyDescent="0.25">
      <c r="B9" s="5" t="s">
        <v>29</v>
      </c>
      <c r="C9" s="70" t="s">
        <v>1507</v>
      </c>
      <c r="D9" s="70" t="s">
        <v>1506</v>
      </c>
      <c r="E9" s="70" t="s">
        <v>1521</v>
      </c>
      <c r="G9" s="5" t="s">
        <v>25</v>
      </c>
      <c r="H9" s="53">
        <v>80.75</v>
      </c>
    </row>
    <row r="10" spans="2:10" x14ac:dyDescent="0.25">
      <c r="B10" s="5" t="s">
        <v>23</v>
      </c>
      <c r="C10" s="70" t="s">
        <v>1540</v>
      </c>
      <c r="D10" s="70" t="s">
        <v>1562</v>
      </c>
      <c r="E10" s="70" t="s">
        <v>1500</v>
      </c>
      <c r="G10" s="5" t="s">
        <v>30</v>
      </c>
      <c r="H10" s="53">
        <v>78.5</v>
      </c>
    </row>
    <row r="11" spans="2:10" x14ac:dyDescent="0.25">
      <c r="B11" s="5" t="s">
        <v>25</v>
      </c>
      <c r="C11" s="70" t="s">
        <v>1512</v>
      </c>
      <c r="D11" s="70" t="s">
        <v>1526</v>
      </c>
      <c r="E11" s="70" t="s">
        <v>1526</v>
      </c>
      <c r="G11" s="5" t="s">
        <v>38</v>
      </c>
      <c r="H11" s="53">
        <v>73.5</v>
      </c>
    </row>
    <row r="12" spans="2:10" x14ac:dyDescent="0.25">
      <c r="B12" s="5" t="s">
        <v>30</v>
      </c>
      <c r="C12" s="70" t="s">
        <v>1557</v>
      </c>
      <c r="D12" s="70" t="s">
        <v>1565</v>
      </c>
      <c r="E12" s="70" t="s">
        <v>1511</v>
      </c>
      <c r="G12" s="5" t="s">
        <v>32</v>
      </c>
      <c r="H12" s="53">
        <v>77.25</v>
      </c>
    </row>
    <row r="13" spans="2:10" x14ac:dyDescent="0.25">
      <c r="B13" s="5" t="s">
        <v>38</v>
      </c>
      <c r="C13" s="70" t="s">
        <v>1537</v>
      </c>
      <c r="D13" s="70" t="s">
        <v>1503</v>
      </c>
      <c r="E13" s="70" t="s">
        <v>1503</v>
      </c>
      <c r="G13" s="5" t="s">
        <v>27</v>
      </c>
      <c r="H13" s="53">
        <v>72.75</v>
      </c>
    </row>
    <row r="14" spans="2:10" x14ac:dyDescent="0.25">
      <c r="B14" s="5" t="s">
        <v>32</v>
      </c>
      <c r="C14" s="70" t="s">
        <v>1522</v>
      </c>
      <c r="D14" s="70" t="s">
        <v>1521</v>
      </c>
      <c r="E14" s="70" t="s">
        <v>1500</v>
      </c>
      <c r="G14" s="5" t="s">
        <v>17</v>
      </c>
      <c r="H14" s="53">
        <v>64.5</v>
      </c>
    </row>
    <row r="15" spans="2:10" x14ac:dyDescent="0.25">
      <c r="B15" s="5" t="s">
        <v>27</v>
      </c>
      <c r="C15" s="70" t="s">
        <v>1527</v>
      </c>
      <c r="D15" s="70" t="s">
        <v>1521</v>
      </c>
      <c r="E15" s="70" t="s">
        <v>1521</v>
      </c>
      <c r="G15" s="5" t="s">
        <v>46</v>
      </c>
      <c r="H15" s="53">
        <v>65.25</v>
      </c>
    </row>
    <row r="16" spans="2:10" x14ac:dyDescent="0.25">
      <c r="B16" s="5" t="s">
        <v>17</v>
      </c>
      <c r="C16" s="70" t="s">
        <v>1527</v>
      </c>
      <c r="D16" s="70" t="s">
        <v>1521</v>
      </c>
      <c r="E16" s="70" t="s">
        <v>1521</v>
      </c>
      <c r="G16" s="5" t="s">
        <v>39</v>
      </c>
      <c r="H16" s="53">
        <v>75.25</v>
      </c>
    </row>
    <row r="17" spans="2:8" x14ac:dyDescent="0.25">
      <c r="B17" s="5" t="s">
        <v>40</v>
      </c>
      <c r="C17" s="70" t="s">
        <v>1520</v>
      </c>
      <c r="D17" s="70" t="s">
        <v>1525</v>
      </c>
      <c r="E17" s="70" t="s">
        <v>1521</v>
      </c>
      <c r="G17" s="5" t="s">
        <v>41</v>
      </c>
      <c r="H17" s="53">
        <v>64</v>
      </c>
    </row>
    <row r="18" spans="2:8" x14ac:dyDescent="0.25">
      <c r="B18" s="5" t="s">
        <v>46</v>
      </c>
      <c r="C18" s="70" t="s">
        <v>1505</v>
      </c>
      <c r="D18" s="70" t="s">
        <v>1500</v>
      </c>
      <c r="E18" s="70" t="s">
        <v>1500</v>
      </c>
      <c r="G18" s="5" t="s">
        <v>45</v>
      </c>
      <c r="H18" s="53">
        <v>79.5</v>
      </c>
    </row>
    <row r="19" spans="2:8" x14ac:dyDescent="0.25">
      <c r="B19" s="5" t="s">
        <v>39</v>
      </c>
      <c r="C19" s="70" t="s">
        <v>1515</v>
      </c>
      <c r="D19" s="70" t="s">
        <v>1514</v>
      </c>
      <c r="E19" s="70" t="s">
        <v>1513</v>
      </c>
      <c r="G19" s="5" t="s">
        <v>49</v>
      </c>
      <c r="H19" s="53">
        <v>69.25</v>
      </c>
    </row>
    <row r="20" spans="2:8" x14ac:dyDescent="0.25">
      <c r="B20" s="5" t="s">
        <v>33</v>
      </c>
      <c r="C20" s="70" t="s">
        <v>1528</v>
      </c>
      <c r="D20" s="70" t="s">
        <v>1519</v>
      </c>
      <c r="E20" s="70" t="s">
        <v>1500</v>
      </c>
      <c r="G20" s="5" t="s">
        <v>26</v>
      </c>
      <c r="H20" s="53">
        <v>81.75</v>
      </c>
    </row>
    <row r="21" spans="2:8" x14ac:dyDescent="0.25">
      <c r="B21" s="5" t="s">
        <v>37</v>
      </c>
      <c r="C21" s="70" t="s">
        <v>1522</v>
      </c>
      <c r="D21" s="70" t="s">
        <v>1531</v>
      </c>
      <c r="E21" s="70" t="s">
        <v>1521</v>
      </c>
      <c r="G21" s="5" t="s">
        <v>60</v>
      </c>
      <c r="H21" s="53">
        <v>72</v>
      </c>
    </row>
    <row r="22" spans="2:8" x14ac:dyDescent="0.25">
      <c r="B22" s="5" t="s">
        <v>48</v>
      </c>
      <c r="C22" s="70" t="s">
        <v>1541</v>
      </c>
      <c r="D22" s="70" t="s">
        <v>1536</v>
      </c>
      <c r="E22" s="70" t="s">
        <v>1500</v>
      </c>
      <c r="G22" s="5" t="s">
        <v>52</v>
      </c>
      <c r="H22" s="53">
        <v>58.75</v>
      </c>
    </row>
    <row r="23" spans="2:8" x14ac:dyDescent="0.25">
      <c r="B23" s="5" t="s">
        <v>41</v>
      </c>
      <c r="C23" s="70" t="s">
        <v>1545</v>
      </c>
      <c r="D23" s="70" t="s">
        <v>1564</v>
      </c>
      <c r="E23" s="70" t="s">
        <v>1547</v>
      </c>
      <c r="G23" s="5" t="s">
        <v>59</v>
      </c>
      <c r="H23" s="53">
        <v>61.75</v>
      </c>
    </row>
    <row r="24" spans="2:8" x14ac:dyDescent="0.25">
      <c r="B24" s="5" t="s">
        <v>53</v>
      </c>
      <c r="C24" s="70" t="s">
        <v>1520</v>
      </c>
      <c r="D24" s="70" t="s">
        <v>1521</v>
      </c>
      <c r="E24" s="70" t="s">
        <v>1500</v>
      </c>
      <c r="G24" s="5" t="s">
        <v>22</v>
      </c>
      <c r="H24" s="53">
        <v>81</v>
      </c>
    </row>
    <row r="25" spans="2:8" x14ac:dyDescent="0.25">
      <c r="B25" s="5" t="s">
        <v>45</v>
      </c>
      <c r="C25" s="70" t="s">
        <v>1534</v>
      </c>
      <c r="D25" s="70" t="s">
        <v>1509</v>
      </c>
      <c r="E25" s="70" t="s">
        <v>1500</v>
      </c>
      <c r="G25" s="5" t="s">
        <v>56</v>
      </c>
      <c r="H25" s="53">
        <v>74.25</v>
      </c>
    </row>
    <row r="26" spans="2:8" x14ac:dyDescent="0.25">
      <c r="B26" s="5" t="s">
        <v>49</v>
      </c>
      <c r="C26" s="70" t="s">
        <v>1537</v>
      </c>
      <c r="D26" s="70" t="s">
        <v>1546</v>
      </c>
      <c r="E26" s="70" t="s">
        <v>1546</v>
      </c>
      <c r="G26" s="5" t="s">
        <v>1563</v>
      </c>
      <c r="H26" s="53">
        <v>70.75</v>
      </c>
    </row>
    <row r="27" spans="2:8" x14ac:dyDescent="0.25">
      <c r="B27" s="5" t="s">
        <v>60</v>
      </c>
      <c r="C27" s="70" t="s">
        <v>1510</v>
      </c>
      <c r="D27" s="70" t="s">
        <v>1562</v>
      </c>
      <c r="E27" s="70" t="s">
        <v>1508</v>
      </c>
      <c r="G27" s="5" t="s">
        <v>63</v>
      </c>
      <c r="H27" s="53">
        <v>63.5</v>
      </c>
    </row>
    <row r="28" spans="2:8" x14ac:dyDescent="0.25">
      <c r="B28" s="5" t="s">
        <v>52</v>
      </c>
      <c r="C28" s="70" t="s">
        <v>1528</v>
      </c>
      <c r="D28" s="70" t="s">
        <v>1523</v>
      </c>
      <c r="E28" s="70" t="s">
        <v>1500</v>
      </c>
      <c r="G28" s="5" t="s">
        <v>1561</v>
      </c>
      <c r="H28" s="53">
        <v>56.75</v>
      </c>
    </row>
    <row r="29" spans="2:8" x14ac:dyDescent="0.25">
      <c r="B29" s="5" t="s">
        <v>35</v>
      </c>
      <c r="C29" s="70" t="s">
        <v>1527</v>
      </c>
      <c r="D29" s="70" t="s">
        <v>1500</v>
      </c>
      <c r="E29" s="70" t="s">
        <v>1500</v>
      </c>
      <c r="G29" s="5" t="s">
        <v>1560</v>
      </c>
      <c r="H29" s="53">
        <v>66.25</v>
      </c>
    </row>
    <row r="30" spans="2:8" x14ac:dyDescent="0.25">
      <c r="B30" s="5" t="s">
        <v>59</v>
      </c>
      <c r="C30" s="70" t="s">
        <v>1528</v>
      </c>
      <c r="D30" s="70" t="s">
        <v>1519</v>
      </c>
      <c r="E30" s="70" t="s">
        <v>1518</v>
      </c>
      <c r="G30" s="5" t="s">
        <v>70</v>
      </c>
      <c r="H30" s="53">
        <v>76</v>
      </c>
    </row>
    <row r="31" spans="2:8" x14ac:dyDescent="0.25">
      <c r="B31" s="5" t="s">
        <v>22</v>
      </c>
      <c r="C31" s="70" t="s">
        <v>1512</v>
      </c>
      <c r="D31" s="70" t="s">
        <v>1526</v>
      </c>
      <c r="E31" s="70" t="s">
        <v>1511</v>
      </c>
      <c r="G31" s="5" t="s">
        <v>1559</v>
      </c>
      <c r="H31" s="53">
        <v>65.25</v>
      </c>
    </row>
    <row r="32" spans="2:8" x14ac:dyDescent="0.25">
      <c r="B32" s="5" t="s">
        <v>66</v>
      </c>
      <c r="C32" s="70" t="s">
        <v>1527</v>
      </c>
      <c r="D32" s="70" t="s">
        <v>1518</v>
      </c>
      <c r="E32" s="70" t="s">
        <v>1518</v>
      </c>
      <c r="G32" s="5" t="s">
        <v>67</v>
      </c>
      <c r="H32" s="53">
        <v>74.5</v>
      </c>
    </row>
    <row r="33" spans="2:8" x14ac:dyDescent="0.25">
      <c r="B33" s="5" t="s">
        <v>55</v>
      </c>
      <c r="C33" s="70" t="s">
        <v>1515</v>
      </c>
      <c r="D33" s="70" t="s">
        <v>1500</v>
      </c>
      <c r="E33" s="70" t="s">
        <v>1500</v>
      </c>
      <c r="G33" s="5" t="s">
        <v>62</v>
      </c>
      <c r="H33" s="53">
        <v>59.5</v>
      </c>
    </row>
    <row r="34" spans="2:8" x14ac:dyDescent="0.25">
      <c r="B34" s="5" t="s">
        <v>56</v>
      </c>
      <c r="C34" s="70" t="s">
        <v>1541</v>
      </c>
      <c r="D34" s="70" t="s">
        <v>1532</v>
      </c>
      <c r="E34" s="70" t="s">
        <v>1529</v>
      </c>
      <c r="G34" s="5" t="s">
        <v>47</v>
      </c>
      <c r="H34" s="53">
        <v>71.5</v>
      </c>
    </row>
    <row r="35" spans="2:8" x14ac:dyDescent="0.25">
      <c r="B35" s="5" t="s">
        <v>43</v>
      </c>
      <c r="C35" s="70" t="s">
        <v>1552</v>
      </c>
      <c r="D35" s="70" t="s">
        <v>1536</v>
      </c>
      <c r="E35" s="70" t="s">
        <v>1500</v>
      </c>
      <c r="G35" s="5" t="s">
        <v>74</v>
      </c>
      <c r="H35" s="53">
        <v>78.75</v>
      </c>
    </row>
    <row r="36" spans="2:8" x14ac:dyDescent="0.25">
      <c r="B36" s="5" t="s">
        <v>63</v>
      </c>
      <c r="C36" s="70" t="s">
        <v>1543</v>
      </c>
      <c r="D36" s="70" t="s">
        <v>1548</v>
      </c>
      <c r="E36" s="70" t="s">
        <v>1503</v>
      </c>
      <c r="G36" s="5" t="s">
        <v>54</v>
      </c>
      <c r="H36" s="53">
        <v>85.5</v>
      </c>
    </row>
    <row r="37" spans="2:8" x14ac:dyDescent="0.25">
      <c r="B37" s="5" t="s">
        <v>73</v>
      </c>
      <c r="C37" s="70" t="s">
        <v>1520</v>
      </c>
      <c r="D37" s="70" t="s">
        <v>1519</v>
      </c>
      <c r="E37" s="70" t="s">
        <v>1500</v>
      </c>
      <c r="G37" s="5" t="s">
        <v>76</v>
      </c>
      <c r="H37" s="53">
        <v>72</v>
      </c>
    </row>
    <row r="38" spans="2:8" x14ac:dyDescent="0.25">
      <c r="B38" s="5" t="s">
        <v>80</v>
      </c>
      <c r="C38" s="70" t="s">
        <v>1502</v>
      </c>
      <c r="D38" s="70" t="s">
        <v>1523</v>
      </c>
      <c r="E38" s="70" t="s">
        <v>1500</v>
      </c>
      <c r="G38" s="5" t="s">
        <v>77</v>
      </c>
      <c r="H38" s="53">
        <v>65.75</v>
      </c>
    </row>
    <row r="39" spans="2:8" x14ac:dyDescent="0.25">
      <c r="B39" s="5" t="s">
        <v>34</v>
      </c>
      <c r="C39" s="70" t="s">
        <v>1522</v>
      </c>
      <c r="D39" s="70" t="s">
        <v>1521</v>
      </c>
      <c r="E39" s="70" t="s">
        <v>1500</v>
      </c>
      <c r="G39" s="5" t="s">
        <v>101</v>
      </c>
      <c r="H39" s="53">
        <v>56</v>
      </c>
    </row>
    <row r="40" spans="2:8" x14ac:dyDescent="0.25">
      <c r="B40" s="5" t="s">
        <v>70</v>
      </c>
      <c r="C40" s="70" t="s">
        <v>1507</v>
      </c>
      <c r="D40" s="70" t="s">
        <v>1531</v>
      </c>
      <c r="E40" s="70" t="s">
        <v>1546</v>
      </c>
      <c r="G40" s="5" t="s">
        <v>84</v>
      </c>
      <c r="H40" s="53">
        <v>70.75</v>
      </c>
    </row>
    <row r="41" spans="2:8" x14ac:dyDescent="0.25">
      <c r="B41" s="5" t="s">
        <v>87</v>
      </c>
      <c r="C41" s="70" t="s">
        <v>1504</v>
      </c>
      <c r="D41" s="70" t="s">
        <v>1500</v>
      </c>
      <c r="E41" s="70" t="s">
        <v>1500</v>
      </c>
      <c r="G41" s="5" t="s">
        <v>81</v>
      </c>
      <c r="H41" s="53">
        <v>71.5</v>
      </c>
    </row>
    <row r="42" spans="2:8" x14ac:dyDescent="0.25">
      <c r="B42" s="5" t="s">
        <v>67</v>
      </c>
      <c r="C42" s="70" t="s">
        <v>1534</v>
      </c>
      <c r="D42" s="70" t="s">
        <v>1530</v>
      </c>
      <c r="E42" s="70" t="s">
        <v>1509</v>
      </c>
      <c r="G42" s="5" t="s">
        <v>108</v>
      </c>
      <c r="H42" s="53">
        <v>54.25</v>
      </c>
    </row>
    <row r="43" spans="2:8" x14ac:dyDescent="0.25">
      <c r="B43" s="5" t="s">
        <v>62</v>
      </c>
      <c r="C43" s="70" t="s">
        <v>1517</v>
      </c>
      <c r="D43" s="70">
        <v>0</v>
      </c>
      <c r="E43" s="70" t="s">
        <v>1500</v>
      </c>
      <c r="G43" s="5" t="s">
        <v>61</v>
      </c>
      <c r="H43" s="53">
        <v>78</v>
      </c>
    </row>
    <row r="44" spans="2:8" x14ac:dyDescent="0.25">
      <c r="B44" s="5" t="s">
        <v>69</v>
      </c>
      <c r="C44" s="70" t="s">
        <v>1540</v>
      </c>
      <c r="D44" s="70" t="s">
        <v>1524</v>
      </c>
      <c r="E44" s="70" t="s">
        <v>1500</v>
      </c>
      <c r="G44" s="5" t="s">
        <v>68</v>
      </c>
      <c r="H44" s="53">
        <v>72.25</v>
      </c>
    </row>
    <row r="45" spans="2:8" x14ac:dyDescent="0.25">
      <c r="B45" s="5" t="s">
        <v>47</v>
      </c>
      <c r="C45" s="70" t="s">
        <v>1534</v>
      </c>
      <c r="D45" s="70" t="s">
        <v>1529</v>
      </c>
      <c r="E45" s="70" t="s">
        <v>1529</v>
      </c>
      <c r="G45" s="5" t="s">
        <v>115</v>
      </c>
      <c r="H45" s="53">
        <v>68.5</v>
      </c>
    </row>
    <row r="46" spans="2:8" x14ac:dyDescent="0.25">
      <c r="B46" s="5" t="s">
        <v>74</v>
      </c>
      <c r="C46" s="70" t="s">
        <v>1515</v>
      </c>
      <c r="D46" s="70" t="s">
        <v>1513</v>
      </c>
      <c r="E46" s="70" t="s">
        <v>1513</v>
      </c>
      <c r="G46" s="5" t="s">
        <v>122</v>
      </c>
      <c r="H46" s="53">
        <v>67.5</v>
      </c>
    </row>
    <row r="47" spans="2:8" x14ac:dyDescent="0.25">
      <c r="B47" s="5" t="s">
        <v>54</v>
      </c>
      <c r="C47" s="70" t="s">
        <v>1512</v>
      </c>
      <c r="D47" s="70" t="s">
        <v>1526</v>
      </c>
      <c r="E47" s="70" t="s">
        <v>1526</v>
      </c>
      <c r="G47" s="5" t="s">
        <v>75</v>
      </c>
      <c r="H47" s="53">
        <v>80</v>
      </c>
    </row>
    <row r="48" spans="2:8" x14ac:dyDescent="0.25">
      <c r="B48" s="5" t="s">
        <v>76</v>
      </c>
      <c r="C48" s="70" t="s">
        <v>1507</v>
      </c>
      <c r="D48" s="70" t="s">
        <v>1546</v>
      </c>
      <c r="E48" s="70" t="s">
        <v>1506</v>
      </c>
      <c r="G48" s="5" t="s">
        <v>129</v>
      </c>
      <c r="H48" s="53">
        <v>64.5</v>
      </c>
    </row>
    <row r="49" spans="2:8" x14ac:dyDescent="0.25">
      <c r="B49" s="5" t="s">
        <v>77</v>
      </c>
      <c r="C49" s="70" t="s">
        <v>1545</v>
      </c>
      <c r="D49" s="70" t="s">
        <v>1558</v>
      </c>
      <c r="E49" s="70" t="s">
        <v>1523</v>
      </c>
      <c r="G49" s="5" t="s">
        <v>82</v>
      </c>
      <c r="H49" s="53">
        <v>69.5</v>
      </c>
    </row>
    <row r="50" spans="2:8" x14ac:dyDescent="0.25">
      <c r="B50" s="5" t="s">
        <v>101</v>
      </c>
      <c r="C50" s="70" t="s">
        <v>1528</v>
      </c>
      <c r="D50" s="70" t="s">
        <v>1558</v>
      </c>
      <c r="E50" s="70" t="s">
        <v>1519</v>
      </c>
      <c r="G50" s="5" t="s">
        <v>91</v>
      </c>
      <c r="H50" s="53">
        <v>72.5</v>
      </c>
    </row>
    <row r="51" spans="2:8" x14ac:dyDescent="0.25">
      <c r="B51" s="5" t="s">
        <v>84</v>
      </c>
      <c r="C51" s="70" t="s">
        <v>1520</v>
      </c>
      <c r="D51" s="70" t="s">
        <v>1519</v>
      </c>
      <c r="E51" s="70" t="s">
        <v>1549</v>
      </c>
      <c r="G51" s="5" t="s">
        <v>134</v>
      </c>
      <c r="H51" s="53">
        <v>57.75</v>
      </c>
    </row>
    <row r="52" spans="2:8" x14ac:dyDescent="0.25">
      <c r="B52" s="5" t="s">
        <v>81</v>
      </c>
      <c r="C52" s="70" t="s">
        <v>1552</v>
      </c>
      <c r="D52" s="70" t="s">
        <v>1500</v>
      </c>
      <c r="E52" s="70" t="s">
        <v>1513</v>
      </c>
      <c r="G52" s="5" t="s">
        <v>139</v>
      </c>
      <c r="H52" s="53">
        <v>63.25</v>
      </c>
    </row>
    <row r="53" spans="2:8" x14ac:dyDescent="0.25">
      <c r="B53" s="5" t="s">
        <v>108</v>
      </c>
      <c r="C53" s="70" t="s">
        <v>1502</v>
      </c>
      <c r="D53" s="70" t="s">
        <v>1501</v>
      </c>
      <c r="E53" s="70" t="s">
        <v>1500</v>
      </c>
      <c r="G53" s="5" t="s">
        <v>98</v>
      </c>
      <c r="H53" s="53">
        <v>75.75</v>
      </c>
    </row>
    <row r="54" spans="2:8" x14ac:dyDescent="0.25">
      <c r="B54" s="5" t="s">
        <v>50</v>
      </c>
      <c r="C54" s="70" t="s">
        <v>1522</v>
      </c>
      <c r="D54" s="70" t="s">
        <v>1521</v>
      </c>
      <c r="E54" s="70" t="s">
        <v>1500</v>
      </c>
      <c r="G54" s="5" t="s">
        <v>83</v>
      </c>
      <c r="H54" s="53">
        <v>54.75</v>
      </c>
    </row>
    <row r="55" spans="2:8" x14ac:dyDescent="0.25">
      <c r="B55" s="5" t="s">
        <v>61</v>
      </c>
      <c r="C55" s="70" t="s">
        <v>1557</v>
      </c>
      <c r="D55" s="70" t="s">
        <v>1511</v>
      </c>
      <c r="E55" s="70" t="s">
        <v>1511</v>
      </c>
      <c r="G55" s="5" t="s">
        <v>105</v>
      </c>
      <c r="H55" s="53">
        <v>66.5</v>
      </c>
    </row>
    <row r="56" spans="2:8" x14ac:dyDescent="0.25">
      <c r="B56" s="5" t="s">
        <v>68</v>
      </c>
      <c r="C56" s="70" t="s">
        <v>1515</v>
      </c>
      <c r="D56" s="70" t="s">
        <v>1513</v>
      </c>
      <c r="E56" s="70" t="s">
        <v>1513</v>
      </c>
      <c r="G56" s="5" t="s">
        <v>57</v>
      </c>
      <c r="H56" s="53">
        <v>77.25</v>
      </c>
    </row>
    <row r="57" spans="2:8" x14ac:dyDescent="0.25">
      <c r="B57" s="5" t="s">
        <v>115</v>
      </c>
      <c r="C57" s="70" t="s">
        <v>1502</v>
      </c>
      <c r="D57" s="70" t="s">
        <v>1500</v>
      </c>
      <c r="E57" s="70" t="s">
        <v>1519</v>
      </c>
      <c r="G57" s="5" t="s">
        <v>95</v>
      </c>
      <c r="H57" s="53">
        <v>72.75</v>
      </c>
    </row>
    <row r="58" spans="2:8" x14ac:dyDescent="0.25">
      <c r="B58" s="5" t="s">
        <v>88</v>
      </c>
      <c r="C58" s="70" t="s">
        <v>1504</v>
      </c>
      <c r="D58" s="70" t="s">
        <v>1546</v>
      </c>
      <c r="E58" s="70" t="s">
        <v>1546</v>
      </c>
      <c r="G58" s="5" t="s">
        <v>96</v>
      </c>
      <c r="H58" s="53">
        <v>81.25</v>
      </c>
    </row>
    <row r="59" spans="2:8" x14ac:dyDescent="0.25">
      <c r="B59" s="5" t="s">
        <v>75</v>
      </c>
      <c r="C59" s="70" t="s">
        <v>1512</v>
      </c>
      <c r="D59" s="70" t="s">
        <v>1526</v>
      </c>
      <c r="E59" s="70" t="s">
        <v>1526</v>
      </c>
      <c r="G59" s="5" t="s">
        <v>64</v>
      </c>
      <c r="H59" s="53">
        <v>73</v>
      </c>
    </row>
    <row r="60" spans="2:8" x14ac:dyDescent="0.25">
      <c r="B60" s="5" t="s">
        <v>129</v>
      </c>
      <c r="C60" s="70" t="s">
        <v>1502</v>
      </c>
      <c r="D60" s="70" t="s">
        <v>1501</v>
      </c>
      <c r="E60" s="70" t="s">
        <v>1500</v>
      </c>
      <c r="G60" s="5" t="s">
        <v>71</v>
      </c>
      <c r="H60" s="53">
        <v>70</v>
      </c>
    </row>
    <row r="61" spans="2:8" x14ac:dyDescent="0.25">
      <c r="B61" s="5" t="s">
        <v>82</v>
      </c>
      <c r="C61" s="70" t="s">
        <v>1537</v>
      </c>
      <c r="D61" s="70" t="s">
        <v>1555</v>
      </c>
      <c r="E61" s="70" t="s">
        <v>1524</v>
      </c>
      <c r="G61" s="5" t="s">
        <v>36</v>
      </c>
      <c r="H61" s="53">
        <v>63.75</v>
      </c>
    </row>
    <row r="62" spans="2:8" x14ac:dyDescent="0.25">
      <c r="B62" s="5" t="s">
        <v>91</v>
      </c>
      <c r="C62" s="70" t="s">
        <v>1537</v>
      </c>
      <c r="D62" s="70" t="s">
        <v>1556</v>
      </c>
      <c r="E62" s="70" t="s">
        <v>1546</v>
      </c>
      <c r="G62" s="5" t="s">
        <v>44</v>
      </c>
      <c r="H62" s="53">
        <v>60</v>
      </c>
    </row>
    <row r="63" spans="2:8" x14ac:dyDescent="0.25">
      <c r="B63" s="5" t="s">
        <v>89</v>
      </c>
      <c r="C63" s="70" t="s">
        <v>1552</v>
      </c>
      <c r="D63" s="70" t="s">
        <v>1500</v>
      </c>
      <c r="E63" s="70" t="s">
        <v>1500</v>
      </c>
      <c r="G63" s="5" t="s">
        <v>103</v>
      </c>
      <c r="H63" s="53">
        <v>84.25</v>
      </c>
    </row>
    <row r="64" spans="2:8" x14ac:dyDescent="0.25">
      <c r="B64" s="5" t="s">
        <v>105</v>
      </c>
      <c r="C64" s="70" t="s">
        <v>1522</v>
      </c>
      <c r="D64" s="70" t="s">
        <v>1531</v>
      </c>
      <c r="E64" s="70" t="s">
        <v>1500</v>
      </c>
      <c r="G64" s="5" t="s">
        <v>51</v>
      </c>
      <c r="H64" s="53">
        <v>72</v>
      </c>
    </row>
    <row r="65" spans="2:8" x14ac:dyDescent="0.25">
      <c r="B65" s="5" t="s">
        <v>57</v>
      </c>
      <c r="C65" s="70" t="s">
        <v>1515</v>
      </c>
      <c r="D65" s="70" t="s">
        <v>1511</v>
      </c>
      <c r="E65" s="70" t="s">
        <v>1513</v>
      </c>
      <c r="G65" s="5" t="s">
        <v>117</v>
      </c>
      <c r="H65" s="53">
        <v>76.25</v>
      </c>
    </row>
    <row r="66" spans="2:8" x14ac:dyDescent="0.25">
      <c r="B66" s="5" t="s">
        <v>95</v>
      </c>
      <c r="C66" s="70" t="s">
        <v>1543</v>
      </c>
      <c r="D66" s="70" t="s">
        <v>1524</v>
      </c>
      <c r="E66" s="70" t="s">
        <v>1508</v>
      </c>
      <c r="G66" s="5" t="s">
        <v>90</v>
      </c>
      <c r="H66" s="53">
        <v>74.75</v>
      </c>
    </row>
    <row r="67" spans="2:8" x14ac:dyDescent="0.25">
      <c r="B67" s="5" t="s">
        <v>96</v>
      </c>
      <c r="C67" s="70" t="s">
        <v>1552</v>
      </c>
      <c r="D67" s="70" t="s">
        <v>1536</v>
      </c>
      <c r="E67" s="70" t="s">
        <v>1532</v>
      </c>
      <c r="G67" s="5" t="s">
        <v>78</v>
      </c>
      <c r="H67" s="53">
        <v>77.75</v>
      </c>
    </row>
    <row r="68" spans="2:8" x14ac:dyDescent="0.25">
      <c r="B68" s="5" t="s">
        <v>64</v>
      </c>
      <c r="C68" s="70" t="s">
        <v>1540</v>
      </c>
      <c r="D68" s="70" t="s">
        <v>1555</v>
      </c>
      <c r="E68" s="70" t="s">
        <v>1524</v>
      </c>
      <c r="G68" s="5" t="s">
        <v>58</v>
      </c>
      <c r="H68" s="53">
        <v>63</v>
      </c>
    </row>
    <row r="69" spans="2:8" x14ac:dyDescent="0.25">
      <c r="B69" s="5" t="s">
        <v>71</v>
      </c>
      <c r="C69" s="70" t="s">
        <v>1543</v>
      </c>
      <c r="D69" s="70" t="s">
        <v>1508</v>
      </c>
      <c r="E69" s="70" t="s">
        <v>1508</v>
      </c>
      <c r="G69" s="5" t="s">
        <v>102</v>
      </c>
      <c r="H69" s="53">
        <v>73.75</v>
      </c>
    </row>
    <row r="70" spans="2:8" x14ac:dyDescent="0.25">
      <c r="B70" s="5" t="s">
        <v>44</v>
      </c>
      <c r="C70" s="70" t="s">
        <v>1528</v>
      </c>
      <c r="D70" s="70" t="s">
        <v>1519</v>
      </c>
      <c r="E70" s="70" t="s">
        <v>1519</v>
      </c>
      <c r="G70" s="5" t="s">
        <v>144</v>
      </c>
      <c r="H70" s="53">
        <v>61</v>
      </c>
    </row>
    <row r="71" spans="2:8" x14ac:dyDescent="0.25">
      <c r="B71" s="5" t="s">
        <v>103</v>
      </c>
      <c r="C71" s="70" t="s">
        <v>1515</v>
      </c>
      <c r="D71" s="70" t="s">
        <v>1554</v>
      </c>
      <c r="E71" s="70" t="s">
        <v>1513</v>
      </c>
      <c r="G71" s="5" t="s">
        <v>92</v>
      </c>
      <c r="H71" s="53">
        <v>51</v>
      </c>
    </row>
    <row r="72" spans="2:8" x14ac:dyDescent="0.25">
      <c r="B72" s="5" t="s">
        <v>110</v>
      </c>
      <c r="C72" s="70" t="s">
        <v>1515</v>
      </c>
      <c r="D72" s="70" t="s">
        <v>1500</v>
      </c>
      <c r="E72" s="70" t="s">
        <v>1500</v>
      </c>
      <c r="G72" s="5" t="s">
        <v>1553</v>
      </c>
      <c r="H72" s="53">
        <v>79.75</v>
      </c>
    </row>
    <row r="73" spans="2:8" x14ac:dyDescent="0.25">
      <c r="B73" s="5" t="s">
        <v>51</v>
      </c>
      <c r="C73" s="70" t="s">
        <v>1510</v>
      </c>
      <c r="D73" s="70" t="s">
        <v>1539</v>
      </c>
      <c r="E73" s="70" t="s">
        <v>1532</v>
      </c>
      <c r="G73" s="5" t="s">
        <v>65</v>
      </c>
      <c r="H73" s="53">
        <v>78</v>
      </c>
    </row>
    <row r="74" spans="2:8" x14ac:dyDescent="0.25">
      <c r="B74" s="5" t="s">
        <v>117</v>
      </c>
      <c r="C74" s="70" t="s">
        <v>1540</v>
      </c>
      <c r="D74" s="70" t="s">
        <v>1508</v>
      </c>
      <c r="E74" s="70" t="s">
        <v>1508</v>
      </c>
      <c r="G74" s="5" t="s">
        <v>116</v>
      </c>
      <c r="H74" s="53">
        <v>71.75</v>
      </c>
    </row>
    <row r="75" spans="2:8" x14ac:dyDescent="0.25">
      <c r="B75" s="5" t="s">
        <v>90</v>
      </c>
      <c r="C75" s="70" t="s">
        <v>1522</v>
      </c>
      <c r="D75" s="70" t="s">
        <v>1531</v>
      </c>
      <c r="E75" s="70" t="s">
        <v>1506</v>
      </c>
      <c r="G75" s="5" t="s">
        <v>72</v>
      </c>
      <c r="H75" s="53">
        <v>38.5</v>
      </c>
    </row>
    <row r="76" spans="2:8" x14ac:dyDescent="0.25">
      <c r="B76" s="5" t="s">
        <v>78</v>
      </c>
      <c r="C76" s="70" t="s">
        <v>1552</v>
      </c>
      <c r="D76" s="70" t="s">
        <v>1536</v>
      </c>
      <c r="E76" s="70" t="s">
        <v>1532</v>
      </c>
      <c r="G76" s="5" t="s">
        <v>149</v>
      </c>
      <c r="H76" s="53">
        <v>58.25</v>
      </c>
    </row>
    <row r="77" spans="2:8" x14ac:dyDescent="0.25">
      <c r="B77" s="5" t="s">
        <v>124</v>
      </c>
      <c r="C77" s="70" t="s">
        <v>1516</v>
      </c>
      <c r="D77" s="70" t="s">
        <v>1514</v>
      </c>
      <c r="E77" s="70" t="s">
        <v>1500</v>
      </c>
      <c r="G77" s="5" t="s">
        <v>154</v>
      </c>
      <c r="H77" s="53">
        <v>74.5</v>
      </c>
    </row>
    <row r="78" spans="2:8" x14ac:dyDescent="0.25">
      <c r="B78" s="5" t="s">
        <v>58</v>
      </c>
      <c r="C78" s="70" t="s">
        <v>1507</v>
      </c>
      <c r="D78" s="70" t="s">
        <v>1506</v>
      </c>
      <c r="E78" s="70" t="s">
        <v>1506</v>
      </c>
      <c r="G78" s="5" t="s">
        <v>123</v>
      </c>
      <c r="H78" s="53">
        <v>69.75</v>
      </c>
    </row>
    <row r="79" spans="2:8" x14ac:dyDescent="0.25">
      <c r="B79" s="5" t="s">
        <v>102</v>
      </c>
      <c r="C79" s="70" t="s">
        <v>1510</v>
      </c>
      <c r="D79" s="70" t="s">
        <v>1524</v>
      </c>
      <c r="E79" s="70" t="s">
        <v>1508</v>
      </c>
      <c r="G79" s="5" t="s">
        <v>136</v>
      </c>
      <c r="H79" s="53">
        <v>84</v>
      </c>
    </row>
    <row r="80" spans="2:8" x14ac:dyDescent="0.25">
      <c r="B80" s="5" t="s">
        <v>144</v>
      </c>
      <c r="C80" s="70" t="s">
        <v>1528</v>
      </c>
      <c r="D80" s="70" t="s">
        <v>1519</v>
      </c>
      <c r="E80" s="70" t="s">
        <v>1519</v>
      </c>
      <c r="G80" s="5" t="s">
        <v>158</v>
      </c>
      <c r="H80" s="53">
        <v>64.5</v>
      </c>
    </row>
    <row r="81" spans="2:8" x14ac:dyDescent="0.25">
      <c r="B81" s="5" t="s">
        <v>85</v>
      </c>
      <c r="C81" s="70" t="s">
        <v>1516</v>
      </c>
      <c r="D81" s="70" t="s">
        <v>1500</v>
      </c>
      <c r="E81" s="70" t="s">
        <v>1500</v>
      </c>
      <c r="G81" s="5" t="s">
        <v>161</v>
      </c>
      <c r="H81" s="53">
        <v>57.75</v>
      </c>
    </row>
    <row r="82" spans="2:8" x14ac:dyDescent="0.25">
      <c r="B82" s="5" t="s">
        <v>65</v>
      </c>
      <c r="C82" s="70" t="s">
        <v>1552</v>
      </c>
      <c r="D82" s="70" t="s">
        <v>1536</v>
      </c>
      <c r="E82" s="70" t="s">
        <v>1513</v>
      </c>
      <c r="G82" s="5" t="s">
        <v>113</v>
      </c>
      <c r="H82" s="53">
        <v>74.75</v>
      </c>
    </row>
    <row r="83" spans="2:8" x14ac:dyDescent="0.25">
      <c r="B83" s="5" t="s">
        <v>109</v>
      </c>
      <c r="C83" s="70" t="s">
        <v>1520</v>
      </c>
      <c r="D83" s="70" t="s">
        <v>1500</v>
      </c>
      <c r="E83" s="70" t="s">
        <v>1500</v>
      </c>
      <c r="G83" s="5" t="s">
        <v>165</v>
      </c>
      <c r="H83" s="53">
        <v>58.5</v>
      </c>
    </row>
    <row r="84" spans="2:8" x14ac:dyDescent="0.25">
      <c r="B84" s="5" t="s">
        <v>99</v>
      </c>
      <c r="C84" s="70" t="s">
        <v>1545</v>
      </c>
      <c r="D84" s="70">
        <v>0</v>
      </c>
      <c r="E84" s="70" t="s">
        <v>1551</v>
      </c>
      <c r="G84" s="5" t="s">
        <v>141</v>
      </c>
      <c r="H84" s="53">
        <v>76</v>
      </c>
    </row>
    <row r="85" spans="2:8" x14ac:dyDescent="0.25">
      <c r="B85" s="5" t="s">
        <v>116</v>
      </c>
      <c r="C85" s="70" t="s">
        <v>1534</v>
      </c>
      <c r="D85" s="70" t="s">
        <v>1532</v>
      </c>
      <c r="E85" s="70" t="s">
        <v>1529</v>
      </c>
      <c r="G85" s="5" t="s">
        <v>112</v>
      </c>
      <c r="H85" s="53">
        <v>66.75</v>
      </c>
    </row>
    <row r="86" spans="2:8" x14ac:dyDescent="0.25">
      <c r="B86" s="5" t="s">
        <v>72</v>
      </c>
      <c r="C86" s="70" t="s">
        <v>1505</v>
      </c>
      <c r="D86" s="70" t="s">
        <v>1550</v>
      </c>
      <c r="E86" s="70" t="s">
        <v>1500</v>
      </c>
      <c r="G86" s="5" t="s">
        <v>135</v>
      </c>
      <c r="H86" s="53">
        <v>65</v>
      </c>
    </row>
    <row r="87" spans="2:8" x14ac:dyDescent="0.25">
      <c r="B87" s="5" t="s">
        <v>131</v>
      </c>
      <c r="C87" s="70" t="s">
        <v>1512</v>
      </c>
      <c r="D87" s="70" t="s">
        <v>1526</v>
      </c>
      <c r="E87" s="70" t="s">
        <v>1500</v>
      </c>
      <c r="G87" s="5" t="s">
        <v>127</v>
      </c>
      <c r="H87" s="53">
        <v>70</v>
      </c>
    </row>
    <row r="88" spans="2:8" x14ac:dyDescent="0.25">
      <c r="B88" s="5" t="s">
        <v>123</v>
      </c>
      <c r="C88" s="70" t="s">
        <v>1541</v>
      </c>
      <c r="D88" s="70" t="s">
        <v>1532</v>
      </c>
      <c r="E88" s="70" t="s">
        <v>1532</v>
      </c>
      <c r="G88" s="5" t="s">
        <v>173</v>
      </c>
      <c r="H88" s="53">
        <v>70.5</v>
      </c>
    </row>
    <row r="89" spans="2:8" x14ac:dyDescent="0.25">
      <c r="B89" s="5" t="s">
        <v>136</v>
      </c>
      <c r="C89" s="70" t="s">
        <v>1512</v>
      </c>
      <c r="D89" s="70" t="s">
        <v>1526</v>
      </c>
      <c r="E89" s="70" t="s">
        <v>1526</v>
      </c>
      <c r="G89" s="5" t="s">
        <v>177</v>
      </c>
      <c r="H89" s="53">
        <v>56.75</v>
      </c>
    </row>
    <row r="90" spans="2:8" x14ac:dyDescent="0.25">
      <c r="B90" s="5" t="s">
        <v>106</v>
      </c>
      <c r="C90" s="70" t="s">
        <v>1515</v>
      </c>
      <c r="D90" s="70" t="s">
        <v>1500</v>
      </c>
      <c r="E90" s="70" t="s">
        <v>1500</v>
      </c>
      <c r="G90" s="5" t="s">
        <v>133</v>
      </c>
      <c r="H90" s="53">
        <v>56</v>
      </c>
    </row>
    <row r="91" spans="2:8" x14ac:dyDescent="0.25">
      <c r="B91" s="5" t="s">
        <v>130</v>
      </c>
      <c r="C91" s="70" t="s">
        <v>1507</v>
      </c>
      <c r="D91" s="70" t="s">
        <v>1506</v>
      </c>
      <c r="E91" s="70" t="s">
        <v>1500</v>
      </c>
      <c r="G91" s="5" t="s">
        <v>179</v>
      </c>
      <c r="H91" s="53">
        <v>69.75</v>
      </c>
    </row>
    <row r="92" spans="2:8" x14ac:dyDescent="0.25">
      <c r="B92" s="5" t="s">
        <v>113</v>
      </c>
      <c r="C92" s="70" t="s">
        <v>1534</v>
      </c>
      <c r="D92" s="70" t="s">
        <v>1529</v>
      </c>
      <c r="E92" s="70" t="s">
        <v>1509</v>
      </c>
      <c r="G92" s="5" t="s">
        <v>146</v>
      </c>
      <c r="H92" s="53">
        <v>80.75</v>
      </c>
    </row>
    <row r="93" spans="2:8" x14ac:dyDescent="0.25">
      <c r="B93" s="5" t="s">
        <v>120</v>
      </c>
      <c r="C93" s="70" t="s">
        <v>1502</v>
      </c>
      <c r="D93" s="70">
        <v>0</v>
      </c>
      <c r="E93" s="70" t="s">
        <v>1549</v>
      </c>
      <c r="G93" s="5" t="s">
        <v>42</v>
      </c>
      <c r="H93" s="53">
        <v>77.25</v>
      </c>
    </row>
    <row r="94" spans="2:8" x14ac:dyDescent="0.25">
      <c r="B94" s="5" t="s">
        <v>165</v>
      </c>
      <c r="C94" s="70" t="s">
        <v>1502</v>
      </c>
      <c r="D94" s="70">
        <v>0</v>
      </c>
      <c r="E94" s="70" t="s">
        <v>1500</v>
      </c>
      <c r="G94" s="5" t="s">
        <v>119</v>
      </c>
      <c r="H94" s="53">
        <v>67.25</v>
      </c>
    </row>
    <row r="95" spans="2:8" x14ac:dyDescent="0.25">
      <c r="B95" s="5" t="s">
        <v>141</v>
      </c>
      <c r="C95" s="70" t="s">
        <v>1541</v>
      </c>
      <c r="D95" s="70" t="s">
        <v>1529</v>
      </c>
      <c r="E95" s="70" t="s">
        <v>1536</v>
      </c>
      <c r="G95" s="5" t="s">
        <v>181</v>
      </c>
      <c r="H95" s="53">
        <v>53.25</v>
      </c>
    </row>
    <row r="96" spans="2:8" x14ac:dyDescent="0.25">
      <c r="B96" s="5" t="s">
        <v>169</v>
      </c>
      <c r="C96" s="70" t="s">
        <v>1540</v>
      </c>
      <c r="D96" s="70" t="s">
        <v>1524</v>
      </c>
      <c r="E96" s="70" t="s">
        <v>1500</v>
      </c>
      <c r="G96" s="5" t="s">
        <v>183</v>
      </c>
      <c r="H96" s="53">
        <v>55.75</v>
      </c>
    </row>
    <row r="97" spans="2:8" x14ac:dyDescent="0.25">
      <c r="B97" s="5" t="s">
        <v>112</v>
      </c>
      <c r="C97" s="70" t="s">
        <v>1543</v>
      </c>
      <c r="D97" s="70" t="s">
        <v>1508</v>
      </c>
      <c r="E97" s="70" t="s">
        <v>1524</v>
      </c>
      <c r="G97" s="5" t="s">
        <v>151</v>
      </c>
      <c r="H97" s="53">
        <v>86.25</v>
      </c>
    </row>
    <row r="98" spans="2:8" x14ac:dyDescent="0.25">
      <c r="B98" s="5" t="s">
        <v>135</v>
      </c>
      <c r="C98" s="70" t="s">
        <v>1520</v>
      </c>
      <c r="D98" s="70">
        <v>0</v>
      </c>
      <c r="E98" s="70" t="s">
        <v>1521</v>
      </c>
      <c r="G98" s="5" t="s">
        <v>79</v>
      </c>
      <c r="H98" s="53">
        <v>78.75</v>
      </c>
    </row>
    <row r="99" spans="2:8" x14ac:dyDescent="0.25">
      <c r="B99" s="5" t="s">
        <v>127</v>
      </c>
      <c r="C99" s="70" t="s">
        <v>1527</v>
      </c>
      <c r="D99" s="70" t="s">
        <v>1538</v>
      </c>
      <c r="E99" s="70" t="s">
        <v>1521</v>
      </c>
      <c r="G99" s="5" t="s">
        <v>143</v>
      </c>
      <c r="H99" s="53">
        <v>55.25</v>
      </c>
    </row>
    <row r="100" spans="2:8" x14ac:dyDescent="0.25">
      <c r="B100" s="5" t="s">
        <v>140</v>
      </c>
      <c r="C100" s="70" t="s">
        <v>1522</v>
      </c>
      <c r="D100" s="70" t="s">
        <v>1521</v>
      </c>
      <c r="E100" s="70" t="s">
        <v>1500</v>
      </c>
      <c r="G100" s="5" t="s">
        <v>126</v>
      </c>
      <c r="H100" s="53">
        <v>71.5</v>
      </c>
    </row>
    <row r="101" spans="2:8" x14ac:dyDescent="0.25">
      <c r="B101" s="5" t="s">
        <v>97</v>
      </c>
      <c r="C101" s="70" t="s">
        <v>1540</v>
      </c>
      <c r="D101" s="70" t="s">
        <v>1524</v>
      </c>
      <c r="E101" s="70" t="s">
        <v>1500</v>
      </c>
      <c r="G101" s="5" t="s">
        <v>148</v>
      </c>
      <c r="H101" s="53">
        <v>68.25</v>
      </c>
    </row>
    <row r="102" spans="2:8" x14ac:dyDescent="0.25">
      <c r="B102" s="5" t="s">
        <v>173</v>
      </c>
      <c r="C102" s="70" t="s">
        <v>1537</v>
      </c>
      <c r="D102" s="70" t="s">
        <v>1548</v>
      </c>
      <c r="E102" s="70" t="s">
        <v>1503</v>
      </c>
      <c r="G102" s="5" t="s">
        <v>132</v>
      </c>
      <c r="H102" s="53">
        <v>71.25</v>
      </c>
    </row>
    <row r="103" spans="2:8" x14ac:dyDescent="0.25">
      <c r="B103" s="5" t="s">
        <v>177</v>
      </c>
      <c r="C103" s="70" t="s">
        <v>1502</v>
      </c>
      <c r="D103" s="70" t="s">
        <v>1523</v>
      </c>
      <c r="E103" s="70" t="s">
        <v>1547</v>
      </c>
      <c r="G103" s="5" t="s">
        <v>137</v>
      </c>
      <c r="H103" s="53">
        <v>70.25</v>
      </c>
    </row>
    <row r="104" spans="2:8" x14ac:dyDescent="0.25">
      <c r="B104" s="5" t="s">
        <v>179</v>
      </c>
      <c r="C104" s="70" t="s">
        <v>1522</v>
      </c>
      <c r="D104" s="70">
        <v>0</v>
      </c>
      <c r="E104" s="70" t="s">
        <v>1546</v>
      </c>
      <c r="G104" s="5" t="s">
        <v>153</v>
      </c>
      <c r="H104" s="53">
        <v>71.5</v>
      </c>
    </row>
    <row r="105" spans="2:8" x14ac:dyDescent="0.25">
      <c r="B105" s="5" t="s">
        <v>138</v>
      </c>
      <c r="C105" s="70" t="s">
        <v>1507</v>
      </c>
      <c r="D105" s="70" t="s">
        <v>1500</v>
      </c>
      <c r="E105" s="70" t="s">
        <v>1506</v>
      </c>
      <c r="G105" s="5" t="s">
        <v>145</v>
      </c>
      <c r="H105" s="53">
        <v>76</v>
      </c>
    </row>
    <row r="106" spans="2:8" x14ac:dyDescent="0.25">
      <c r="B106" s="5" t="s">
        <v>146</v>
      </c>
      <c r="C106" s="70" t="s">
        <v>1512</v>
      </c>
      <c r="D106" s="70" t="s">
        <v>1526</v>
      </c>
      <c r="E106" s="70" t="s">
        <v>1526</v>
      </c>
      <c r="G106" s="5" t="s">
        <v>156</v>
      </c>
      <c r="H106" s="53">
        <v>77.5</v>
      </c>
    </row>
    <row r="107" spans="2:8" x14ac:dyDescent="0.25">
      <c r="B107" s="5" t="s">
        <v>42</v>
      </c>
      <c r="C107" s="70" t="s">
        <v>1512</v>
      </c>
      <c r="D107" s="70" t="s">
        <v>1511</v>
      </c>
      <c r="E107" s="70" t="s">
        <v>1511</v>
      </c>
      <c r="G107" s="5" t="s">
        <v>86</v>
      </c>
      <c r="H107" s="53">
        <v>80.25</v>
      </c>
    </row>
    <row r="108" spans="2:8" x14ac:dyDescent="0.25">
      <c r="B108" s="5" t="s">
        <v>119</v>
      </c>
      <c r="C108" s="70" t="s">
        <v>1527</v>
      </c>
      <c r="D108" s="70" t="s">
        <v>1521</v>
      </c>
      <c r="E108" s="70" t="s">
        <v>1518</v>
      </c>
      <c r="G108" s="5" t="s">
        <v>150</v>
      </c>
      <c r="H108" s="53">
        <v>68.75</v>
      </c>
    </row>
    <row r="109" spans="2:8" x14ac:dyDescent="0.25">
      <c r="B109" s="5" t="s">
        <v>181</v>
      </c>
      <c r="C109" s="70" t="s">
        <v>1545</v>
      </c>
      <c r="D109" s="70">
        <v>0</v>
      </c>
      <c r="E109" s="70" t="s">
        <v>1500</v>
      </c>
      <c r="G109" s="5" t="s">
        <v>155</v>
      </c>
      <c r="H109" s="53">
        <v>69.25</v>
      </c>
    </row>
    <row r="110" spans="2:8" x14ac:dyDescent="0.25">
      <c r="B110" s="5" t="s">
        <v>183</v>
      </c>
      <c r="C110" s="70" t="s">
        <v>1528</v>
      </c>
      <c r="D110" s="70" t="s">
        <v>1519</v>
      </c>
      <c r="E110" s="70" t="s">
        <v>1519</v>
      </c>
      <c r="G110" s="5" t="s">
        <v>100</v>
      </c>
      <c r="H110" s="53">
        <v>79.5</v>
      </c>
    </row>
    <row r="111" spans="2:8" x14ac:dyDescent="0.25">
      <c r="B111" s="5" t="s">
        <v>151</v>
      </c>
      <c r="C111" s="70" t="s">
        <v>1512</v>
      </c>
      <c r="D111" s="70" t="s">
        <v>1526</v>
      </c>
      <c r="E111" s="70" t="s">
        <v>1526</v>
      </c>
      <c r="G111" s="5" t="s">
        <v>186</v>
      </c>
      <c r="H111" s="53">
        <v>61.5</v>
      </c>
    </row>
    <row r="112" spans="2:8" x14ac:dyDescent="0.25">
      <c r="B112" s="5" t="s">
        <v>79</v>
      </c>
      <c r="C112" s="70" t="s">
        <v>1537</v>
      </c>
      <c r="D112" s="70" t="s">
        <v>1524</v>
      </c>
      <c r="E112" s="70" t="s">
        <v>1503</v>
      </c>
      <c r="G112" s="5" t="s">
        <v>1544</v>
      </c>
      <c r="H112" s="53">
        <v>67.75</v>
      </c>
    </row>
    <row r="113" spans="2:8" x14ac:dyDescent="0.25">
      <c r="B113" s="5" t="s">
        <v>143</v>
      </c>
      <c r="C113" s="70" t="s">
        <v>1502</v>
      </c>
      <c r="D113" s="70" t="s">
        <v>1523</v>
      </c>
      <c r="E113" s="70" t="s">
        <v>1523</v>
      </c>
      <c r="G113" s="5" t="s">
        <v>187</v>
      </c>
      <c r="H113" s="53">
        <v>59.5</v>
      </c>
    </row>
    <row r="114" spans="2:8" x14ac:dyDescent="0.25">
      <c r="B114" s="5" t="s">
        <v>126</v>
      </c>
      <c r="C114" s="70" t="s">
        <v>1540</v>
      </c>
      <c r="D114" s="70" t="s">
        <v>1524</v>
      </c>
      <c r="E114" s="70" t="s">
        <v>1503</v>
      </c>
      <c r="G114" s="5" t="s">
        <v>157</v>
      </c>
      <c r="H114" s="53">
        <v>86.75</v>
      </c>
    </row>
    <row r="115" spans="2:8" x14ac:dyDescent="0.25">
      <c r="B115" s="5" t="s">
        <v>148</v>
      </c>
      <c r="C115" s="70" t="s">
        <v>1527</v>
      </c>
      <c r="D115" s="70" t="s">
        <v>1519</v>
      </c>
      <c r="E115" s="70" t="s">
        <v>1500</v>
      </c>
      <c r="G115" s="5" t="s">
        <v>166</v>
      </c>
      <c r="H115" s="53">
        <v>67.75</v>
      </c>
    </row>
    <row r="116" spans="2:8" x14ac:dyDescent="0.25">
      <c r="B116" s="5" t="s">
        <v>132</v>
      </c>
      <c r="C116" s="70" t="s">
        <v>1540</v>
      </c>
      <c r="D116" s="70" t="s">
        <v>1503</v>
      </c>
      <c r="E116" s="70" t="s">
        <v>1503</v>
      </c>
      <c r="G116" s="5" t="s">
        <v>170</v>
      </c>
      <c r="H116" s="53">
        <v>74.25</v>
      </c>
    </row>
    <row r="117" spans="2:8" x14ac:dyDescent="0.25">
      <c r="B117" s="5" t="s">
        <v>137</v>
      </c>
      <c r="C117" s="70" t="s">
        <v>1510</v>
      </c>
      <c r="D117" s="70" t="s">
        <v>1524</v>
      </c>
      <c r="E117" s="70" t="s">
        <v>1508</v>
      </c>
      <c r="G117" s="5" t="s">
        <v>188</v>
      </c>
      <c r="H117" s="53">
        <v>55.5</v>
      </c>
    </row>
    <row r="118" spans="2:8" x14ac:dyDescent="0.25">
      <c r="B118" s="5" t="s">
        <v>153</v>
      </c>
      <c r="C118" s="70" t="s">
        <v>1543</v>
      </c>
      <c r="D118" s="70" t="s">
        <v>1542</v>
      </c>
      <c r="E118" s="70" t="s">
        <v>1508</v>
      </c>
      <c r="G118" s="5" t="s">
        <v>189</v>
      </c>
      <c r="H118" s="53">
        <v>68.5</v>
      </c>
    </row>
    <row r="119" spans="2:8" x14ac:dyDescent="0.25">
      <c r="B119" s="5" t="s">
        <v>145</v>
      </c>
      <c r="C119" s="70" t="s">
        <v>1541</v>
      </c>
      <c r="D119" s="70" t="s">
        <v>1529</v>
      </c>
      <c r="E119" s="70" t="s">
        <v>1529</v>
      </c>
      <c r="G119" s="5" t="s">
        <v>159</v>
      </c>
      <c r="H119" s="53">
        <v>72.75</v>
      </c>
    </row>
    <row r="120" spans="2:8" x14ac:dyDescent="0.25">
      <c r="B120" s="5" t="s">
        <v>156</v>
      </c>
      <c r="C120" s="70" t="s">
        <v>1534</v>
      </c>
      <c r="D120" s="70" t="s">
        <v>1530</v>
      </c>
      <c r="E120" s="70" t="s">
        <v>1529</v>
      </c>
      <c r="G120" s="5" t="s">
        <v>164</v>
      </c>
      <c r="H120" s="53">
        <v>63.75</v>
      </c>
    </row>
    <row r="121" spans="2:8" x14ac:dyDescent="0.25">
      <c r="B121" s="5" t="s">
        <v>86</v>
      </c>
      <c r="C121" s="70" t="s">
        <v>1516</v>
      </c>
      <c r="D121" s="70" t="s">
        <v>1514</v>
      </c>
      <c r="E121" s="70" t="s">
        <v>1514</v>
      </c>
      <c r="G121" s="5" t="s">
        <v>190</v>
      </c>
      <c r="H121" s="53">
        <v>43.5</v>
      </c>
    </row>
    <row r="122" spans="2:8" x14ac:dyDescent="0.25">
      <c r="B122" s="5" t="s">
        <v>93</v>
      </c>
      <c r="C122" s="70" t="s">
        <v>1534</v>
      </c>
      <c r="D122" s="70" t="s">
        <v>1532</v>
      </c>
      <c r="E122" s="70" t="s">
        <v>1500</v>
      </c>
      <c r="G122" s="5" t="s">
        <v>142</v>
      </c>
      <c r="H122" s="53">
        <v>64.75</v>
      </c>
    </row>
    <row r="123" spans="2:8" x14ac:dyDescent="0.25">
      <c r="B123" s="5" t="s">
        <v>150</v>
      </c>
      <c r="C123" s="70" t="s">
        <v>1540</v>
      </c>
      <c r="D123" s="70" t="s">
        <v>1524</v>
      </c>
      <c r="E123" s="70" t="s">
        <v>1524</v>
      </c>
      <c r="G123" s="5" t="s">
        <v>163</v>
      </c>
      <c r="H123" s="53">
        <v>80.5</v>
      </c>
    </row>
    <row r="124" spans="2:8" x14ac:dyDescent="0.25">
      <c r="B124" s="5" t="s">
        <v>185</v>
      </c>
      <c r="C124" s="70" t="s">
        <v>1527</v>
      </c>
      <c r="D124" s="70" t="s">
        <v>1521</v>
      </c>
      <c r="E124" s="70" t="s">
        <v>1521</v>
      </c>
      <c r="G124" s="5" t="s">
        <v>167</v>
      </c>
      <c r="H124" s="53">
        <v>87.5</v>
      </c>
    </row>
    <row r="125" spans="2:8" x14ac:dyDescent="0.25">
      <c r="B125" s="5" t="s">
        <v>100</v>
      </c>
      <c r="C125" s="70" t="s">
        <v>1515</v>
      </c>
      <c r="D125" s="70" t="s">
        <v>1539</v>
      </c>
      <c r="E125" s="70" t="s">
        <v>1536</v>
      </c>
      <c r="G125" s="5" t="s">
        <v>114</v>
      </c>
      <c r="H125" s="53">
        <v>46.5</v>
      </c>
    </row>
    <row r="126" spans="2:8" x14ac:dyDescent="0.25">
      <c r="B126" s="5" t="s">
        <v>186</v>
      </c>
      <c r="C126" s="70" t="s">
        <v>1522</v>
      </c>
      <c r="D126" s="70" t="s">
        <v>1538</v>
      </c>
      <c r="E126" s="70" t="s">
        <v>1500</v>
      </c>
      <c r="G126" s="5" t="s">
        <v>168</v>
      </c>
      <c r="H126" s="53">
        <v>85.75</v>
      </c>
    </row>
    <row r="127" spans="2:8" x14ac:dyDescent="0.25">
      <c r="B127" s="5" t="s">
        <v>162</v>
      </c>
      <c r="C127" s="70" t="s">
        <v>1504</v>
      </c>
      <c r="D127" s="70" t="s">
        <v>1524</v>
      </c>
      <c r="E127" s="70" t="s">
        <v>1503</v>
      </c>
      <c r="G127" s="5" t="s">
        <v>192</v>
      </c>
      <c r="H127" s="53">
        <v>66</v>
      </c>
    </row>
    <row r="128" spans="2:8" x14ac:dyDescent="0.25">
      <c r="B128" s="5" t="s">
        <v>107</v>
      </c>
      <c r="C128" s="70" t="s">
        <v>1537</v>
      </c>
      <c r="D128" s="70" t="s">
        <v>1500</v>
      </c>
      <c r="E128" s="70" t="s">
        <v>1500</v>
      </c>
      <c r="G128" s="5" t="s">
        <v>172</v>
      </c>
      <c r="H128" s="53">
        <v>71.25</v>
      </c>
    </row>
    <row r="129" spans="2:8" x14ac:dyDescent="0.25">
      <c r="B129" s="5" t="s">
        <v>157</v>
      </c>
      <c r="C129" s="70" t="s">
        <v>1512</v>
      </c>
      <c r="D129" s="70" t="s">
        <v>1526</v>
      </c>
      <c r="E129" s="70" t="s">
        <v>1526</v>
      </c>
      <c r="G129" s="5" t="s">
        <v>193</v>
      </c>
      <c r="H129" s="53">
        <v>63</v>
      </c>
    </row>
    <row r="130" spans="2:8" x14ac:dyDescent="0.25">
      <c r="B130" s="5" t="s">
        <v>166</v>
      </c>
      <c r="C130" s="70" t="s">
        <v>1534</v>
      </c>
      <c r="D130" s="70" t="s">
        <v>1536</v>
      </c>
      <c r="E130" s="70" t="s">
        <v>1532</v>
      </c>
      <c r="G130" s="5" t="s">
        <v>1535</v>
      </c>
      <c r="H130" s="53">
        <v>77</v>
      </c>
    </row>
    <row r="131" spans="2:8" x14ac:dyDescent="0.25">
      <c r="B131" s="5" t="s">
        <v>170</v>
      </c>
      <c r="C131" s="70" t="s">
        <v>1534</v>
      </c>
      <c r="D131" s="70" t="s">
        <v>1533</v>
      </c>
      <c r="E131" s="70" t="s">
        <v>1532</v>
      </c>
      <c r="G131" s="5" t="s">
        <v>194</v>
      </c>
      <c r="H131" s="53">
        <v>62</v>
      </c>
    </row>
    <row r="132" spans="2:8" x14ac:dyDescent="0.25">
      <c r="B132" s="5" t="s">
        <v>160</v>
      </c>
      <c r="C132" s="70" t="s">
        <v>1528</v>
      </c>
      <c r="D132" s="70">
        <v>0</v>
      </c>
      <c r="E132" s="70" t="s">
        <v>1500</v>
      </c>
      <c r="G132" s="5" t="s">
        <v>171</v>
      </c>
      <c r="H132" s="53">
        <v>60</v>
      </c>
    </row>
    <row r="133" spans="2:8" x14ac:dyDescent="0.25">
      <c r="B133" s="5" t="s">
        <v>189</v>
      </c>
      <c r="C133" s="70" t="s">
        <v>1504</v>
      </c>
      <c r="D133" s="70" t="s">
        <v>1531</v>
      </c>
      <c r="E133" s="70" t="s">
        <v>1506</v>
      </c>
      <c r="G133" s="5" t="s">
        <v>195</v>
      </c>
      <c r="H133" s="53">
        <v>61.25</v>
      </c>
    </row>
    <row r="134" spans="2:8" x14ac:dyDescent="0.25">
      <c r="B134" s="5" t="s">
        <v>159</v>
      </c>
      <c r="C134" s="70" t="s">
        <v>1510</v>
      </c>
      <c r="D134" s="70" t="s">
        <v>1530</v>
      </c>
      <c r="E134" s="70" t="s">
        <v>1529</v>
      </c>
      <c r="G134" s="5" t="s">
        <v>180</v>
      </c>
      <c r="H134" s="53">
        <v>61.5</v>
      </c>
    </row>
    <row r="135" spans="2:8" x14ac:dyDescent="0.25">
      <c r="B135" s="5" t="s">
        <v>164</v>
      </c>
      <c r="C135" s="70" t="s">
        <v>1517</v>
      </c>
      <c r="D135" s="70" t="s">
        <v>1501</v>
      </c>
      <c r="E135" s="70" t="s">
        <v>1500</v>
      </c>
      <c r="G135" s="5" t="s">
        <v>121</v>
      </c>
      <c r="H135" s="53">
        <v>80.75</v>
      </c>
    </row>
    <row r="136" spans="2:8" x14ac:dyDescent="0.25">
      <c r="B136" s="5" t="s">
        <v>104</v>
      </c>
      <c r="C136" s="70" t="s">
        <v>1504</v>
      </c>
      <c r="D136" s="70" t="s">
        <v>1500</v>
      </c>
      <c r="E136" s="70" t="s">
        <v>1500</v>
      </c>
      <c r="G136" s="5" t="s">
        <v>175</v>
      </c>
      <c r="H136" s="53">
        <v>77.25</v>
      </c>
    </row>
    <row r="137" spans="2:8" x14ac:dyDescent="0.25">
      <c r="B137" s="5" t="s">
        <v>111</v>
      </c>
      <c r="C137" s="70" t="s">
        <v>1520</v>
      </c>
      <c r="D137" s="70" t="s">
        <v>1500</v>
      </c>
      <c r="E137" s="70" t="s">
        <v>1500</v>
      </c>
      <c r="G137" s="5" t="s">
        <v>31</v>
      </c>
      <c r="H137" s="53">
        <v>73.25</v>
      </c>
    </row>
    <row r="138" spans="2:8" x14ac:dyDescent="0.25">
      <c r="B138" s="5" t="s">
        <v>142</v>
      </c>
      <c r="C138" s="70" t="s">
        <v>1528</v>
      </c>
      <c r="D138" s="70" t="s">
        <v>1523</v>
      </c>
      <c r="E138" s="70" t="s">
        <v>1500</v>
      </c>
      <c r="G138" s="5" t="s">
        <v>147</v>
      </c>
      <c r="H138" s="53">
        <v>75.5</v>
      </c>
    </row>
    <row r="139" spans="2:8" x14ac:dyDescent="0.25">
      <c r="B139" s="5" t="s">
        <v>191</v>
      </c>
      <c r="C139" s="70" t="s">
        <v>1527</v>
      </c>
      <c r="D139" s="70" t="s">
        <v>1500</v>
      </c>
      <c r="E139" s="70" t="s">
        <v>1500</v>
      </c>
      <c r="G139" s="5" t="s">
        <v>182</v>
      </c>
      <c r="H139" s="53">
        <v>75.75</v>
      </c>
    </row>
    <row r="140" spans="2:8" x14ac:dyDescent="0.25">
      <c r="B140" s="5" t="s">
        <v>163</v>
      </c>
      <c r="C140" s="70" t="s">
        <v>1512</v>
      </c>
      <c r="D140" s="70" t="s">
        <v>1526</v>
      </c>
      <c r="E140" s="70" t="s">
        <v>1526</v>
      </c>
      <c r="G140" s="5" t="s">
        <v>152</v>
      </c>
      <c r="H140" s="53">
        <v>58</v>
      </c>
    </row>
    <row r="141" spans="2:8" x14ac:dyDescent="0.25">
      <c r="B141" s="5" t="s">
        <v>167</v>
      </c>
      <c r="C141" s="70" t="s">
        <v>1512</v>
      </c>
      <c r="D141" s="70" t="s">
        <v>1526</v>
      </c>
      <c r="E141" s="70" t="s">
        <v>1526</v>
      </c>
      <c r="G141" s="5" t="s">
        <v>176</v>
      </c>
      <c r="H141" s="53">
        <v>71.5</v>
      </c>
    </row>
    <row r="142" spans="2:8" x14ac:dyDescent="0.25">
      <c r="B142" s="5" t="s">
        <v>168</v>
      </c>
      <c r="C142" s="70" t="s">
        <v>1515</v>
      </c>
      <c r="D142" s="70" t="s">
        <v>1511</v>
      </c>
      <c r="E142" s="70" t="s">
        <v>1514</v>
      </c>
      <c r="G142" s="5" t="s">
        <v>128</v>
      </c>
      <c r="H142" s="53">
        <v>51.5</v>
      </c>
    </row>
    <row r="143" spans="2:8" x14ac:dyDescent="0.25">
      <c r="B143" s="5" t="s">
        <v>174</v>
      </c>
      <c r="C143" s="70" t="s">
        <v>1520</v>
      </c>
      <c r="D143" s="70" t="s">
        <v>1518</v>
      </c>
      <c r="E143" s="70" t="s">
        <v>1500</v>
      </c>
      <c r="G143" s="5" t="s">
        <v>196</v>
      </c>
      <c r="H143" s="53">
        <v>67.75</v>
      </c>
    </row>
    <row r="144" spans="2:8" x14ac:dyDescent="0.25">
      <c r="B144" s="5" t="s">
        <v>192</v>
      </c>
      <c r="C144" s="70" t="s">
        <v>1522</v>
      </c>
      <c r="D144" s="70">
        <v>0</v>
      </c>
      <c r="E144" s="70" t="s">
        <v>1521</v>
      </c>
      <c r="G144" s="5" t="s">
        <v>197</v>
      </c>
      <c r="H144" s="53">
        <v>57.75</v>
      </c>
    </row>
    <row r="145" spans="2:5" x14ac:dyDescent="0.25">
      <c r="B145" s="5" t="s">
        <v>172</v>
      </c>
      <c r="C145" s="70" t="s">
        <v>1510</v>
      </c>
      <c r="D145" s="70" t="s">
        <v>1509</v>
      </c>
      <c r="E145" s="70" t="s">
        <v>1509</v>
      </c>
    </row>
    <row r="146" spans="2:5" x14ac:dyDescent="0.25">
      <c r="B146" s="5" t="s">
        <v>193</v>
      </c>
      <c r="C146" s="70" t="s">
        <v>1520</v>
      </c>
      <c r="D146" s="70" t="s">
        <v>1525</v>
      </c>
      <c r="E146" s="70" t="s">
        <v>1500</v>
      </c>
    </row>
    <row r="147" spans="2:5" x14ac:dyDescent="0.25">
      <c r="B147" s="5" t="s">
        <v>118</v>
      </c>
      <c r="C147" s="70" t="s">
        <v>1504</v>
      </c>
      <c r="D147" s="70" t="s">
        <v>1524</v>
      </c>
      <c r="E147" s="70" t="s">
        <v>1500</v>
      </c>
    </row>
    <row r="148" spans="2:5" x14ac:dyDescent="0.25">
      <c r="B148" s="5" t="s">
        <v>194</v>
      </c>
      <c r="C148" s="70" t="s">
        <v>1502</v>
      </c>
      <c r="D148" s="70" t="s">
        <v>1500</v>
      </c>
      <c r="E148" s="70" t="s">
        <v>1523</v>
      </c>
    </row>
    <row r="149" spans="2:5" x14ac:dyDescent="0.25">
      <c r="B149" s="5" t="s">
        <v>171</v>
      </c>
      <c r="C149" s="70" t="s">
        <v>1522</v>
      </c>
      <c r="D149" s="70" t="s">
        <v>1506</v>
      </c>
      <c r="E149" s="70" t="s">
        <v>1521</v>
      </c>
    </row>
    <row r="150" spans="2:5" x14ac:dyDescent="0.25">
      <c r="B150" s="5" t="s">
        <v>125</v>
      </c>
      <c r="C150" s="70" t="s">
        <v>1510</v>
      </c>
      <c r="D150" s="70" t="s">
        <v>1508</v>
      </c>
      <c r="E150" s="70" t="s">
        <v>1500</v>
      </c>
    </row>
    <row r="151" spans="2:5" x14ac:dyDescent="0.25">
      <c r="B151" s="5" t="s">
        <v>195</v>
      </c>
      <c r="C151" s="70" t="s">
        <v>1520</v>
      </c>
      <c r="D151" s="70" t="s">
        <v>1519</v>
      </c>
      <c r="E151" s="70" t="s">
        <v>1518</v>
      </c>
    </row>
    <row r="152" spans="2:5" x14ac:dyDescent="0.25">
      <c r="B152" s="5" t="s">
        <v>180</v>
      </c>
      <c r="C152" s="70" t="s">
        <v>1517</v>
      </c>
      <c r="D152" s="70" t="s">
        <v>1501</v>
      </c>
      <c r="E152" s="70" t="s">
        <v>1500</v>
      </c>
    </row>
    <row r="153" spans="2:5" x14ac:dyDescent="0.25">
      <c r="B153" s="5" t="s">
        <v>121</v>
      </c>
      <c r="C153" s="70" t="s">
        <v>1516</v>
      </c>
      <c r="D153" s="70" t="s">
        <v>1514</v>
      </c>
      <c r="E153" s="70" t="s">
        <v>1513</v>
      </c>
    </row>
    <row r="154" spans="2:5" x14ac:dyDescent="0.25">
      <c r="B154" s="5" t="s">
        <v>175</v>
      </c>
      <c r="C154" s="70" t="s">
        <v>1515</v>
      </c>
      <c r="D154" s="70" t="s">
        <v>1514</v>
      </c>
      <c r="E154" s="70" t="s">
        <v>1513</v>
      </c>
    </row>
    <row r="155" spans="2:5" x14ac:dyDescent="0.25">
      <c r="B155" s="5" t="s">
        <v>31</v>
      </c>
      <c r="C155" s="70" t="s">
        <v>1557</v>
      </c>
      <c r="D155" s="70" t="s">
        <v>1511</v>
      </c>
      <c r="E155" s="70" t="s">
        <v>1500</v>
      </c>
    </row>
    <row r="156" spans="2:5" x14ac:dyDescent="0.25">
      <c r="B156" s="5" t="s">
        <v>147</v>
      </c>
      <c r="C156" s="70" t="s">
        <v>1510</v>
      </c>
      <c r="D156" s="70" t="s">
        <v>1509</v>
      </c>
      <c r="E156" s="70" t="s">
        <v>1508</v>
      </c>
    </row>
    <row r="157" spans="2:5" x14ac:dyDescent="0.25">
      <c r="B157" s="5" t="s">
        <v>182</v>
      </c>
      <c r="C157" s="70" t="s">
        <v>1507</v>
      </c>
      <c r="D157" s="70" t="s">
        <v>1506</v>
      </c>
      <c r="E157" s="70" t="s">
        <v>1506</v>
      </c>
    </row>
    <row r="158" spans="2:5" x14ac:dyDescent="0.25">
      <c r="B158" s="5" t="s">
        <v>152</v>
      </c>
      <c r="C158" s="70" t="s">
        <v>1505</v>
      </c>
      <c r="D158" s="70" t="s">
        <v>1500</v>
      </c>
      <c r="E158" s="70" t="s">
        <v>1500</v>
      </c>
    </row>
    <row r="159" spans="2:5" x14ac:dyDescent="0.25">
      <c r="B159" s="5" t="s">
        <v>176</v>
      </c>
      <c r="C159" s="70" t="s">
        <v>1504</v>
      </c>
      <c r="D159" s="70" t="s">
        <v>1503</v>
      </c>
      <c r="E159" s="70" t="s">
        <v>1503</v>
      </c>
    </row>
    <row r="160" spans="2:5" x14ac:dyDescent="0.25">
      <c r="B160" s="5" t="s">
        <v>196</v>
      </c>
      <c r="C160" s="70" t="s">
        <v>1502</v>
      </c>
      <c r="D160" s="70" t="s">
        <v>1501</v>
      </c>
      <c r="E160" s="70" t="s">
        <v>1500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58B7-97DF-455B-AD26-E096AAAAA352}">
  <dimension ref="B2:E184"/>
  <sheetViews>
    <sheetView showGridLines="0" workbookViewId="0">
      <selection activeCell="G1" sqref="G1:XFD1048576"/>
    </sheetView>
  </sheetViews>
  <sheetFormatPr defaultRowHeight="15" x14ac:dyDescent="0.25"/>
  <cols>
    <col min="1" max="1" width="1.85546875" customWidth="1"/>
    <col min="2" max="2" width="29.42578125" bestFit="1" customWidth="1"/>
    <col min="3" max="3" width="24.85546875" bestFit="1" customWidth="1"/>
    <col min="6" max="6" width="29.42578125" bestFit="1" customWidth="1"/>
  </cols>
  <sheetData>
    <row r="2" spans="2:5" x14ac:dyDescent="0.25">
      <c r="B2" s="47" t="s">
        <v>199</v>
      </c>
      <c r="C2" s="47" t="s">
        <v>213</v>
      </c>
    </row>
    <row r="3" spans="2:5" x14ac:dyDescent="0.25">
      <c r="B3" s="5" t="s">
        <v>18</v>
      </c>
      <c r="C3" s="5" t="s">
        <v>9</v>
      </c>
      <c r="E3" s="24"/>
    </row>
    <row r="4" spans="2:5" x14ac:dyDescent="0.25">
      <c r="B4" s="5" t="s">
        <v>20</v>
      </c>
      <c r="C4" s="5" t="s">
        <v>11</v>
      </c>
    </row>
    <row r="5" spans="2:5" x14ac:dyDescent="0.25">
      <c r="B5" s="5" t="s">
        <v>19</v>
      </c>
      <c r="C5" s="5" t="s">
        <v>10</v>
      </c>
    </row>
    <row r="6" spans="2:5" x14ac:dyDescent="0.25">
      <c r="B6" s="5" t="s">
        <v>21</v>
      </c>
      <c r="C6" s="5" t="s">
        <v>1571</v>
      </c>
    </row>
    <row r="7" spans="2:5" x14ac:dyDescent="0.25">
      <c r="B7" s="5" t="s">
        <v>28</v>
      </c>
      <c r="C7" s="5" t="s">
        <v>10</v>
      </c>
    </row>
    <row r="8" spans="2:5" x14ac:dyDescent="0.25">
      <c r="B8" s="5" t="s">
        <v>24</v>
      </c>
      <c r="C8" s="5" t="s">
        <v>15</v>
      </c>
    </row>
    <row r="9" spans="2:5" x14ac:dyDescent="0.25">
      <c r="B9" s="5" t="s">
        <v>29</v>
      </c>
      <c r="C9" s="5" t="s">
        <v>11</v>
      </c>
    </row>
    <row r="10" spans="2:5" x14ac:dyDescent="0.25">
      <c r="B10" s="5" t="s">
        <v>23</v>
      </c>
      <c r="C10" s="5" t="s">
        <v>14</v>
      </c>
    </row>
    <row r="11" spans="2:5" x14ac:dyDescent="0.25">
      <c r="B11" s="5" t="s">
        <v>25</v>
      </c>
      <c r="C11" s="5" t="s">
        <v>16</v>
      </c>
    </row>
    <row r="12" spans="2:5" x14ac:dyDescent="0.25">
      <c r="B12" s="5" t="s">
        <v>30</v>
      </c>
      <c r="C12" s="5" t="s">
        <v>1571</v>
      </c>
    </row>
    <row r="13" spans="2:5" x14ac:dyDescent="0.25">
      <c r="B13" s="5" t="s">
        <v>38</v>
      </c>
      <c r="C13" s="5" t="s">
        <v>11</v>
      </c>
    </row>
    <row r="14" spans="2:5" x14ac:dyDescent="0.25">
      <c r="B14" s="5" t="s">
        <v>32</v>
      </c>
      <c r="C14" s="5" t="s">
        <v>14</v>
      </c>
    </row>
    <row r="15" spans="2:5" x14ac:dyDescent="0.25">
      <c r="B15" s="5" t="s">
        <v>27</v>
      </c>
      <c r="C15" s="5" t="s">
        <v>9</v>
      </c>
    </row>
    <row r="16" spans="2:5" x14ac:dyDescent="0.25">
      <c r="B16" s="5" t="s">
        <v>17</v>
      </c>
      <c r="C16" s="5" t="s">
        <v>8</v>
      </c>
    </row>
    <row r="17" spans="2:3" x14ac:dyDescent="0.25">
      <c r="B17" s="5" t="s">
        <v>40</v>
      </c>
      <c r="C17" s="5" t="s">
        <v>14</v>
      </c>
    </row>
    <row r="18" spans="2:3" x14ac:dyDescent="0.25">
      <c r="B18" s="5" t="s">
        <v>46</v>
      </c>
      <c r="C18" s="5" t="s">
        <v>11</v>
      </c>
    </row>
    <row r="19" spans="2:3" x14ac:dyDescent="0.25">
      <c r="B19" s="5" t="s">
        <v>39</v>
      </c>
      <c r="C19" s="5" t="s">
        <v>1571</v>
      </c>
    </row>
    <row r="20" spans="2:3" x14ac:dyDescent="0.25">
      <c r="B20" s="5" t="s">
        <v>33</v>
      </c>
      <c r="C20" s="5" t="s">
        <v>15</v>
      </c>
    </row>
    <row r="21" spans="2:3" x14ac:dyDescent="0.25">
      <c r="B21" s="5" t="s">
        <v>37</v>
      </c>
      <c r="C21" s="5" t="s">
        <v>10</v>
      </c>
    </row>
    <row r="22" spans="2:3" x14ac:dyDescent="0.25">
      <c r="B22" s="5" t="s">
        <v>48</v>
      </c>
      <c r="C22" s="5" t="s">
        <v>14</v>
      </c>
    </row>
    <row r="23" spans="2:3" x14ac:dyDescent="0.25">
      <c r="B23" s="5" t="s">
        <v>41</v>
      </c>
      <c r="C23" s="5" t="s">
        <v>15</v>
      </c>
    </row>
    <row r="24" spans="2:3" x14ac:dyDescent="0.25">
      <c r="B24" s="5" t="s">
        <v>53</v>
      </c>
      <c r="C24" s="5" t="s">
        <v>11</v>
      </c>
    </row>
    <row r="25" spans="2:3" x14ac:dyDescent="0.25">
      <c r="B25" s="5" t="s">
        <v>45</v>
      </c>
      <c r="C25" s="5" t="s">
        <v>10</v>
      </c>
    </row>
    <row r="26" spans="2:3" x14ac:dyDescent="0.25">
      <c r="B26" s="5" t="s">
        <v>49</v>
      </c>
      <c r="C26" s="5" t="s">
        <v>15</v>
      </c>
    </row>
    <row r="27" spans="2:3" x14ac:dyDescent="0.25">
      <c r="B27" s="5" t="s">
        <v>26</v>
      </c>
      <c r="C27" s="5" t="s">
        <v>8</v>
      </c>
    </row>
    <row r="28" spans="2:3" x14ac:dyDescent="0.25">
      <c r="B28" s="5" t="s">
        <v>60</v>
      </c>
      <c r="C28" s="5" t="s">
        <v>11</v>
      </c>
    </row>
    <row r="29" spans="2:3" x14ac:dyDescent="0.25">
      <c r="B29" s="5" t="s">
        <v>52</v>
      </c>
      <c r="C29" s="5" t="s">
        <v>10</v>
      </c>
    </row>
    <row r="30" spans="2:3" x14ac:dyDescent="0.25">
      <c r="B30" s="5" t="s">
        <v>35</v>
      </c>
      <c r="C30" s="5" t="s">
        <v>8</v>
      </c>
    </row>
    <row r="31" spans="2:3" x14ac:dyDescent="0.25">
      <c r="B31" s="5" t="s">
        <v>59</v>
      </c>
      <c r="C31" s="5" t="s">
        <v>10</v>
      </c>
    </row>
    <row r="32" spans="2:3" x14ac:dyDescent="0.25">
      <c r="B32" s="5" t="s">
        <v>22</v>
      </c>
      <c r="C32" s="5" t="s">
        <v>13</v>
      </c>
    </row>
    <row r="33" spans="2:3" x14ac:dyDescent="0.25">
      <c r="B33" s="5" t="s">
        <v>66</v>
      </c>
      <c r="C33" s="5" t="s">
        <v>10</v>
      </c>
    </row>
    <row r="34" spans="2:3" x14ac:dyDescent="0.25">
      <c r="B34" s="5" t="s">
        <v>55</v>
      </c>
      <c r="C34" s="5" t="s">
        <v>14</v>
      </c>
    </row>
    <row r="35" spans="2:3" x14ac:dyDescent="0.25">
      <c r="B35" s="5" t="s">
        <v>56</v>
      </c>
      <c r="C35" s="5" t="s">
        <v>15</v>
      </c>
    </row>
    <row r="36" spans="2:3" x14ac:dyDescent="0.25">
      <c r="B36" s="5" t="s">
        <v>43</v>
      </c>
      <c r="C36" s="5" t="s">
        <v>8</v>
      </c>
    </row>
    <row r="37" spans="2:3" x14ac:dyDescent="0.25">
      <c r="B37" s="5" t="s">
        <v>63</v>
      </c>
      <c r="C37" s="5" t="s">
        <v>15</v>
      </c>
    </row>
    <row r="38" spans="2:3" x14ac:dyDescent="0.25">
      <c r="B38" s="5" t="s">
        <v>73</v>
      </c>
      <c r="C38" s="5" t="s">
        <v>10</v>
      </c>
    </row>
    <row r="39" spans="2:3" x14ac:dyDescent="0.25">
      <c r="B39" s="5" t="s">
        <v>80</v>
      </c>
      <c r="C39" s="5" t="s">
        <v>10</v>
      </c>
    </row>
    <row r="40" spans="2:3" x14ac:dyDescent="0.25">
      <c r="B40" s="5" t="s">
        <v>34</v>
      </c>
      <c r="C40" s="5" t="s">
        <v>16</v>
      </c>
    </row>
    <row r="41" spans="2:3" x14ac:dyDescent="0.25">
      <c r="B41" s="5" t="s">
        <v>70</v>
      </c>
      <c r="C41" s="5" t="s">
        <v>15</v>
      </c>
    </row>
    <row r="42" spans="2:3" x14ac:dyDescent="0.25">
      <c r="B42" s="5" t="s">
        <v>87</v>
      </c>
      <c r="C42" s="5" t="s">
        <v>10</v>
      </c>
    </row>
    <row r="43" spans="2:3" x14ac:dyDescent="0.25">
      <c r="B43" s="5" t="s">
        <v>67</v>
      </c>
      <c r="C43" s="5" t="s">
        <v>11</v>
      </c>
    </row>
    <row r="44" spans="2:3" x14ac:dyDescent="0.25">
      <c r="B44" s="5" t="s">
        <v>62</v>
      </c>
      <c r="C44" s="5" t="s">
        <v>14</v>
      </c>
    </row>
    <row r="45" spans="2:3" x14ac:dyDescent="0.25">
      <c r="B45" s="5" t="s">
        <v>69</v>
      </c>
      <c r="C45" s="5" t="s">
        <v>14</v>
      </c>
    </row>
    <row r="46" spans="2:3" x14ac:dyDescent="0.25">
      <c r="B46" s="5" t="s">
        <v>47</v>
      </c>
      <c r="C46" s="5" t="s">
        <v>1571</v>
      </c>
    </row>
    <row r="47" spans="2:3" x14ac:dyDescent="0.25">
      <c r="B47" s="5" t="s">
        <v>74</v>
      </c>
      <c r="C47" s="5" t="s">
        <v>11</v>
      </c>
    </row>
    <row r="48" spans="2:3" x14ac:dyDescent="0.25">
      <c r="B48" s="5" t="s">
        <v>94</v>
      </c>
      <c r="C48" s="5" t="s">
        <v>10</v>
      </c>
    </row>
    <row r="49" spans="2:3" x14ac:dyDescent="0.25">
      <c r="B49" s="5" t="s">
        <v>54</v>
      </c>
      <c r="C49" s="5" t="s">
        <v>1571</v>
      </c>
    </row>
    <row r="50" spans="2:3" x14ac:dyDescent="0.25">
      <c r="B50" s="5" t="s">
        <v>76</v>
      </c>
      <c r="C50" s="5" t="s">
        <v>14</v>
      </c>
    </row>
    <row r="51" spans="2:3" x14ac:dyDescent="0.25">
      <c r="B51" s="5" t="s">
        <v>77</v>
      </c>
      <c r="C51" s="5" t="s">
        <v>15</v>
      </c>
    </row>
    <row r="52" spans="2:3" x14ac:dyDescent="0.25">
      <c r="B52" s="5" t="s">
        <v>101</v>
      </c>
      <c r="C52" s="5" t="s">
        <v>10</v>
      </c>
    </row>
    <row r="53" spans="2:3" x14ac:dyDescent="0.25">
      <c r="B53" s="5" t="s">
        <v>84</v>
      </c>
      <c r="C53" s="5" t="s">
        <v>15</v>
      </c>
    </row>
    <row r="54" spans="2:3" x14ac:dyDescent="0.25">
      <c r="B54" s="5" t="s">
        <v>81</v>
      </c>
      <c r="C54" s="5" t="s">
        <v>11</v>
      </c>
    </row>
    <row r="55" spans="2:3" x14ac:dyDescent="0.25">
      <c r="B55" s="5" t="s">
        <v>108</v>
      </c>
      <c r="C55" s="5" t="s">
        <v>10</v>
      </c>
    </row>
    <row r="56" spans="2:3" x14ac:dyDescent="0.25">
      <c r="B56" s="5" t="s">
        <v>50</v>
      </c>
      <c r="C56" s="5" t="s">
        <v>8</v>
      </c>
    </row>
    <row r="57" spans="2:3" x14ac:dyDescent="0.25">
      <c r="B57" s="5" t="s">
        <v>61</v>
      </c>
      <c r="C57" s="5" t="s">
        <v>1571</v>
      </c>
    </row>
    <row r="58" spans="2:3" x14ac:dyDescent="0.25">
      <c r="B58" s="5" t="s">
        <v>68</v>
      </c>
      <c r="C58" s="5" t="s">
        <v>1571</v>
      </c>
    </row>
    <row r="59" spans="2:3" x14ac:dyDescent="0.25">
      <c r="B59" s="5" t="s">
        <v>115</v>
      </c>
      <c r="C59" s="5" t="s">
        <v>10</v>
      </c>
    </row>
    <row r="60" spans="2:3" x14ac:dyDescent="0.25">
      <c r="B60" s="5" t="s">
        <v>122</v>
      </c>
      <c r="C60" s="5" t="s">
        <v>10</v>
      </c>
    </row>
    <row r="61" spans="2:3" x14ac:dyDescent="0.25">
      <c r="B61" s="5" t="s">
        <v>88</v>
      </c>
      <c r="C61" s="5" t="s">
        <v>11</v>
      </c>
    </row>
    <row r="62" spans="2:3" x14ac:dyDescent="0.25">
      <c r="B62" s="5" t="s">
        <v>75</v>
      </c>
      <c r="C62" s="5" t="s">
        <v>1571</v>
      </c>
    </row>
    <row r="63" spans="2:3" x14ac:dyDescent="0.25">
      <c r="B63" s="5" t="s">
        <v>129</v>
      </c>
      <c r="C63" s="5" t="s">
        <v>10</v>
      </c>
    </row>
    <row r="64" spans="2:3" x14ac:dyDescent="0.25">
      <c r="B64" s="5" t="s">
        <v>82</v>
      </c>
      <c r="C64" s="5" t="s">
        <v>1571</v>
      </c>
    </row>
    <row r="65" spans="2:3" x14ac:dyDescent="0.25">
      <c r="B65" s="5" t="s">
        <v>91</v>
      </c>
      <c r="C65" s="5" t="s">
        <v>15</v>
      </c>
    </row>
    <row r="66" spans="2:3" x14ac:dyDescent="0.25">
      <c r="B66" s="5" t="s">
        <v>89</v>
      </c>
      <c r="C66" s="5" t="s">
        <v>1571</v>
      </c>
    </row>
    <row r="67" spans="2:3" x14ac:dyDescent="0.25">
      <c r="B67" s="5" t="s">
        <v>134</v>
      </c>
      <c r="C67" s="5" t="s">
        <v>10</v>
      </c>
    </row>
    <row r="68" spans="2:3" x14ac:dyDescent="0.25">
      <c r="B68" s="5" t="s">
        <v>139</v>
      </c>
      <c r="C68" s="5" t="s">
        <v>10</v>
      </c>
    </row>
    <row r="69" spans="2:3" x14ac:dyDescent="0.25">
      <c r="B69" s="5" t="s">
        <v>98</v>
      </c>
      <c r="C69" s="5" t="s">
        <v>15</v>
      </c>
    </row>
    <row r="70" spans="2:3" x14ac:dyDescent="0.25">
      <c r="B70" s="5" t="s">
        <v>83</v>
      </c>
      <c r="C70" s="5" t="s">
        <v>14</v>
      </c>
    </row>
    <row r="71" spans="2:3" x14ac:dyDescent="0.25">
      <c r="B71" s="5" t="s">
        <v>105</v>
      </c>
      <c r="C71" s="5" t="s">
        <v>15</v>
      </c>
    </row>
    <row r="72" spans="2:3" x14ac:dyDescent="0.25">
      <c r="B72" s="5" t="s">
        <v>57</v>
      </c>
      <c r="C72" s="5" t="s">
        <v>8</v>
      </c>
    </row>
    <row r="73" spans="2:3" x14ac:dyDescent="0.25">
      <c r="B73" s="5" t="s">
        <v>95</v>
      </c>
      <c r="C73" s="5" t="s">
        <v>11</v>
      </c>
    </row>
    <row r="74" spans="2:3" x14ac:dyDescent="0.25">
      <c r="B74" s="5" t="s">
        <v>96</v>
      </c>
      <c r="C74" s="5" t="s">
        <v>1571</v>
      </c>
    </row>
    <row r="75" spans="2:3" x14ac:dyDescent="0.25">
      <c r="B75" s="5" t="s">
        <v>64</v>
      </c>
      <c r="C75" s="5" t="s">
        <v>8</v>
      </c>
    </row>
    <row r="76" spans="2:3" x14ac:dyDescent="0.25">
      <c r="B76" s="5" t="s">
        <v>71</v>
      </c>
      <c r="C76" s="5" t="s">
        <v>8</v>
      </c>
    </row>
    <row r="77" spans="2:3" x14ac:dyDescent="0.25">
      <c r="B77" s="5" t="s">
        <v>36</v>
      </c>
      <c r="C77" s="5" t="s">
        <v>9</v>
      </c>
    </row>
    <row r="78" spans="2:3" x14ac:dyDescent="0.25">
      <c r="B78" s="5" t="s">
        <v>44</v>
      </c>
      <c r="C78" s="5" t="s">
        <v>9</v>
      </c>
    </row>
    <row r="79" spans="2:3" x14ac:dyDescent="0.25">
      <c r="B79" s="5" t="s">
        <v>103</v>
      </c>
      <c r="C79" s="5" t="s">
        <v>1571</v>
      </c>
    </row>
    <row r="80" spans="2:3" x14ac:dyDescent="0.25">
      <c r="B80" s="5" t="s">
        <v>110</v>
      </c>
      <c r="C80" s="5" t="s">
        <v>1571</v>
      </c>
    </row>
    <row r="81" spans="2:3" x14ac:dyDescent="0.25">
      <c r="B81" s="5" t="s">
        <v>51</v>
      </c>
      <c r="C81" s="5" t="s">
        <v>9</v>
      </c>
    </row>
    <row r="82" spans="2:3" x14ac:dyDescent="0.25">
      <c r="B82" s="5" t="s">
        <v>117</v>
      </c>
      <c r="C82" s="5" t="s">
        <v>1571</v>
      </c>
    </row>
    <row r="83" spans="2:3" x14ac:dyDescent="0.25">
      <c r="B83" s="5" t="s">
        <v>90</v>
      </c>
      <c r="C83" s="5" t="s">
        <v>14</v>
      </c>
    </row>
    <row r="84" spans="2:3" x14ac:dyDescent="0.25">
      <c r="B84" s="5" t="s">
        <v>78</v>
      </c>
      <c r="C84" s="5" t="s">
        <v>8</v>
      </c>
    </row>
    <row r="85" spans="2:3" x14ac:dyDescent="0.25">
      <c r="B85" s="5" t="s">
        <v>124</v>
      </c>
      <c r="C85" s="5" t="s">
        <v>1571</v>
      </c>
    </row>
    <row r="86" spans="2:3" x14ac:dyDescent="0.25">
      <c r="B86" s="5" t="s">
        <v>58</v>
      </c>
      <c r="C86" s="5" t="s">
        <v>9</v>
      </c>
    </row>
    <row r="87" spans="2:3" x14ac:dyDescent="0.25">
      <c r="B87" s="5" t="s">
        <v>102</v>
      </c>
      <c r="C87" s="5" t="s">
        <v>11</v>
      </c>
    </row>
    <row r="88" spans="2:3" x14ac:dyDescent="0.25">
      <c r="B88" s="5" t="s">
        <v>144</v>
      </c>
      <c r="C88" s="5" t="s">
        <v>10</v>
      </c>
    </row>
    <row r="89" spans="2:3" x14ac:dyDescent="0.25">
      <c r="B89" s="5" t="s">
        <v>85</v>
      </c>
      <c r="C89" s="5" t="s">
        <v>8</v>
      </c>
    </row>
    <row r="90" spans="2:3" x14ac:dyDescent="0.25">
      <c r="B90" s="5" t="s">
        <v>92</v>
      </c>
      <c r="C90" s="5" t="s">
        <v>8</v>
      </c>
    </row>
    <row r="91" spans="2:3" x14ac:dyDescent="0.25">
      <c r="B91" s="5" t="s">
        <v>65</v>
      </c>
      <c r="C91" s="5" t="s">
        <v>9</v>
      </c>
    </row>
    <row r="92" spans="2:3" x14ac:dyDescent="0.25">
      <c r="B92" s="5" t="s">
        <v>109</v>
      </c>
      <c r="C92" s="5" t="s">
        <v>11</v>
      </c>
    </row>
    <row r="93" spans="2:3" x14ac:dyDescent="0.25">
      <c r="B93" s="5" t="s">
        <v>99</v>
      </c>
      <c r="C93" s="5" t="s">
        <v>8</v>
      </c>
    </row>
    <row r="94" spans="2:3" x14ac:dyDescent="0.25">
      <c r="B94" s="5" t="s">
        <v>116</v>
      </c>
      <c r="C94" s="5" t="s">
        <v>11</v>
      </c>
    </row>
    <row r="95" spans="2:3" x14ac:dyDescent="0.25">
      <c r="B95" s="5" t="s">
        <v>72</v>
      </c>
      <c r="C95" s="5" t="s">
        <v>9</v>
      </c>
    </row>
    <row r="96" spans="2:3" x14ac:dyDescent="0.25">
      <c r="B96" s="5" t="s">
        <v>149</v>
      </c>
      <c r="C96" s="5" t="s">
        <v>10</v>
      </c>
    </row>
    <row r="97" spans="2:3" x14ac:dyDescent="0.25">
      <c r="B97" s="5" t="s">
        <v>154</v>
      </c>
      <c r="C97" s="5" t="s">
        <v>10</v>
      </c>
    </row>
    <row r="98" spans="2:3" x14ac:dyDescent="0.25">
      <c r="B98" s="5" t="s">
        <v>131</v>
      </c>
      <c r="C98" s="5" t="s">
        <v>1571</v>
      </c>
    </row>
    <row r="99" spans="2:3" x14ac:dyDescent="0.25">
      <c r="B99" s="5" t="s">
        <v>123</v>
      </c>
      <c r="C99" s="5" t="s">
        <v>11</v>
      </c>
    </row>
    <row r="100" spans="2:3" x14ac:dyDescent="0.25">
      <c r="B100" s="5" t="s">
        <v>136</v>
      </c>
      <c r="C100" s="5" t="s">
        <v>1571</v>
      </c>
    </row>
    <row r="101" spans="2:3" x14ac:dyDescent="0.25">
      <c r="B101" s="5" t="s">
        <v>106</v>
      </c>
      <c r="C101" s="5" t="s">
        <v>8</v>
      </c>
    </row>
    <row r="102" spans="2:3" x14ac:dyDescent="0.25">
      <c r="B102" s="5" t="s">
        <v>130</v>
      </c>
      <c r="C102" s="5" t="s">
        <v>11</v>
      </c>
    </row>
    <row r="103" spans="2:3" x14ac:dyDescent="0.25">
      <c r="B103" s="5" t="s">
        <v>158</v>
      </c>
      <c r="C103" s="5" t="s">
        <v>10</v>
      </c>
    </row>
    <row r="104" spans="2:3" x14ac:dyDescent="0.25">
      <c r="B104" s="5" t="s">
        <v>161</v>
      </c>
      <c r="C104" s="5" t="s">
        <v>10</v>
      </c>
    </row>
    <row r="105" spans="2:3" x14ac:dyDescent="0.25">
      <c r="B105" s="5" t="s">
        <v>113</v>
      </c>
      <c r="C105" s="5" t="s">
        <v>8</v>
      </c>
    </row>
    <row r="106" spans="2:3" x14ac:dyDescent="0.25">
      <c r="B106" s="5" t="s">
        <v>120</v>
      </c>
      <c r="C106" s="5" t="s">
        <v>8</v>
      </c>
    </row>
    <row r="107" spans="2:3" x14ac:dyDescent="0.25">
      <c r="B107" s="5" t="s">
        <v>165</v>
      </c>
      <c r="C107" s="5" t="s">
        <v>10</v>
      </c>
    </row>
    <row r="108" spans="2:3" x14ac:dyDescent="0.25">
      <c r="B108" s="5" t="s">
        <v>141</v>
      </c>
      <c r="C108" s="5" t="s">
        <v>1571</v>
      </c>
    </row>
    <row r="109" spans="2:3" x14ac:dyDescent="0.25">
      <c r="B109" s="5" t="s">
        <v>169</v>
      </c>
      <c r="C109" s="5" t="s">
        <v>10</v>
      </c>
    </row>
    <row r="110" spans="2:3" x14ac:dyDescent="0.25">
      <c r="B110" s="5" t="s">
        <v>112</v>
      </c>
      <c r="C110" s="5" t="s">
        <v>15</v>
      </c>
    </row>
    <row r="111" spans="2:3" x14ac:dyDescent="0.25">
      <c r="B111" s="5" t="s">
        <v>135</v>
      </c>
      <c r="C111" s="5" t="s">
        <v>11</v>
      </c>
    </row>
    <row r="112" spans="2:3" x14ac:dyDescent="0.25">
      <c r="B112" s="5" t="s">
        <v>127</v>
      </c>
      <c r="C112" s="5" t="s">
        <v>8</v>
      </c>
    </row>
    <row r="113" spans="2:3" x14ac:dyDescent="0.25">
      <c r="B113" s="5" t="s">
        <v>140</v>
      </c>
      <c r="C113" s="5" t="s">
        <v>11</v>
      </c>
    </row>
    <row r="114" spans="2:3" x14ac:dyDescent="0.25">
      <c r="B114" s="5" t="s">
        <v>97</v>
      </c>
      <c r="C114" s="5" t="s">
        <v>14</v>
      </c>
    </row>
    <row r="115" spans="2:3" x14ac:dyDescent="0.25">
      <c r="B115" s="5" t="s">
        <v>173</v>
      </c>
      <c r="C115" s="5" t="s">
        <v>10</v>
      </c>
    </row>
    <row r="116" spans="2:3" x14ac:dyDescent="0.25">
      <c r="B116" s="5" t="s">
        <v>177</v>
      </c>
      <c r="C116" s="5" t="s">
        <v>10</v>
      </c>
    </row>
    <row r="117" spans="2:3" x14ac:dyDescent="0.25">
      <c r="B117" s="5" t="s">
        <v>133</v>
      </c>
      <c r="C117" s="5" t="s">
        <v>8</v>
      </c>
    </row>
    <row r="118" spans="2:3" x14ac:dyDescent="0.25">
      <c r="B118" s="5" t="s">
        <v>179</v>
      </c>
      <c r="C118" s="5" t="s">
        <v>10</v>
      </c>
    </row>
    <row r="119" spans="2:3" x14ac:dyDescent="0.25">
      <c r="B119" s="5" t="s">
        <v>138</v>
      </c>
      <c r="C119" s="5" t="s">
        <v>8</v>
      </c>
    </row>
    <row r="120" spans="2:3" x14ac:dyDescent="0.25">
      <c r="B120" s="5" t="s">
        <v>146</v>
      </c>
      <c r="C120" s="5" t="s">
        <v>1571</v>
      </c>
    </row>
    <row r="121" spans="2:3" x14ac:dyDescent="0.25">
      <c r="B121" s="5" t="s">
        <v>42</v>
      </c>
      <c r="C121" s="5" t="s">
        <v>16</v>
      </c>
    </row>
    <row r="122" spans="2:3" x14ac:dyDescent="0.25">
      <c r="B122" s="5" t="s">
        <v>119</v>
      </c>
      <c r="C122" s="5" t="s">
        <v>15</v>
      </c>
    </row>
    <row r="123" spans="2:3" x14ac:dyDescent="0.25">
      <c r="B123" s="5" t="s">
        <v>181</v>
      </c>
      <c r="C123" s="5" t="s">
        <v>10</v>
      </c>
    </row>
    <row r="124" spans="2:3" x14ac:dyDescent="0.25">
      <c r="B124" s="5" t="s">
        <v>183</v>
      </c>
      <c r="C124" s="5" t="s">
        <v>10</v>
      </c>
    </row>
    <row r="125" spans="2:3" x14ac:dyDescent="0.25">
      <c r="B125" s="5" t="s">
        <v>151</v>
      </c>
      <c r="C125" s="5" t="s">
        <v>1571</v>
      </c>
    </row>
    <row r="126" spans="2:3" x14ac:dyDescent="0.25">
      <c r="B126" s="5" t="s">
        <v>79</v>
      </c>
      <c r="C126" s="5" t="s">
        <v>9</v>
      </c>
    </row>
    <row r="127" spans="2:3" x14ac:dyDescent="0.25">
      <c r="B127" s="5" t="s">
        <v>143</v>
      </c>
      <c r="C127" s="5" t="s">
        <v>8</v>
      </c>
    </row>
    <row r="128" spans="2:3" x14ac:dyDescent="0.25">
      <c r="B128" s="5" t="s">
        <v>126</v>
      </c>
      <c r="C128" s="5" t="s">
        <v>15</v>
      </c>
    </row>
    <row r="129" spans="2:3" x14ac:dyDescent="0.25">
      <c r="B129" s="5" t="s">
        <v>148</v>
      </c>
      <c r="C129" s="5" t="s">
        <v>8</v>
      </c>
    </row>
    <row r="130" spans="2:3" x14ac:dyDescent="0.25">
      <c r="B130" s="5" t="s">
        <v>132</v>
      </c>
      <c r="C130" s="5" t="s">
        <v>15</v>
      </c>
    </row>
    <row r="131" spans="2:3" x14ac:dyDescent="0.25">
      <c r="B131" s="5" t="s">
        <v>137</v>
      </c>
      <c r="C131" s="5" t="s">
        <v>15</v>
      </c>
    </row>
    <row r="132" spans="2:3" x14ac:dyDescent="0.25">
      <c r="B132" s="5" t="s">
        <v>153</v>
      </c>
      <c r="C132" s="5" t="s">
        <v>8</v>
      </c>
    </row>
    <row r="133" spans="2:3" x14ac:dyDescent="0.25">
      <c r="B133" s="5" t="s">
        <v>145</v>
      </c>
      <c r="C133" s="5" t="s">
        <v>11</v>
      </c>
    </row>
    <row r="134" spans="2:3" x14ac:dyDescent="0.25">
      <c r="B134" s="5" t="s">
        <v>156</v>
      </c>
      <c r="C134" s="5" t="s">
        <v>1571</v>
      </c>
    </row>
    <row r="135" spans="2:3" x14ac:dyDescent="0.25">
      <c r="B135" s="5" t="s">
        <v>86</v>
      </c>
      <c r="C135" s="5" t="s">
        <v>9</v>
      </c>
    </row>
    <row r="136" spans="2:3" x14ac:dyDescent="0.25">
      <c r="B136" s="5" t="s">
        <v>93</v>
      </c>
      <c r="C136" s="5" t="s">
        <v>9</v>
      </c>
    </row>
    <row r="137" spans="2:3" x14ac:dyDescent="0.25">
      <c r="B137" s="5" t="s">
        <v>184</v>
      </c>
      <c r="C137" s="5" t="s">
        <v>10</v>
      </c>
    </row>
    <row r="138" spans="2:3" x14ac:dyDescent="0.25">
      <c r="B138" s="5" t="s">
        <v>150</v>
      </c>
      <c r="C138" s="5" t="s">
        <v>11</v>
      </c>
    </row>
    <row r="139" spans="2:3" x14ac:dyDescent="0.25">
      <c r="B139" s="5" t="s">
        <v>155</v>
      </c>
      <c r="C139" s="5" t="s">
        <v>11</v>
      </c>
    </row>
    <row r="140" spans="2:3" x14ac:dyDescent="0.25">
      <c r="B140" s="5" t="s">
        <v>155</v>
      </c>
      <c r="C140" s="5" t="s">
        <v>11</v>
      </c>
    </row>
    <row r="141" spans="2:3" x14ac:dyDescent="0.25">
      <c r="B141" s="5" t="s">
        <v>185</v>
      </c>
      <c r="C141" s="5" t="s">
        <v>10</v>
      </c>
    </row>
    <row r="142" spans="2:3" x14ac:dyDescent="0.25">
      <c r="B142" s="5" t="s">
        <v>100</v>
      </c>
      <c r="C142" s="5" t="s">
        <v>9</v>
      </c>
    </row>
    <row r="143" spans="2:3" x14ac:dyDescent="0.25">
      <c r="B143" s="5" t="s">
        <v>186</v>
      </c>
      <c r="C143" s="5" t="s">
        <v>10</v>
      </c>
    </row>
    <row r="144" spans="2:3" x14ac:dyDescent="0.25">
      <c r="B144" s="5" t="s">
        <v>162</v>
      </c>
      <c r="C144" s="5" t="s">
        <v>11</v>
      </c>
    </row>
    <row r="145" spans="2:3" x14ac:dyDescent="0.25">
      <c r="B145" s="5" t="s">
        <v>107</v>
      </c>
      <c r="C145" s="5" t="s">
        <v>9</v>
      </c>
    </row>
    <row r="146" spans="2:3" x14ac:dyDescent="0.25">
      <c r="B146" s="5" t="s">
        <v>187</v>
      </c>
      <c r="C146" s="5" t="s">
        <v>10</v>
      </c>
    </row>
    <row r="147" spans="2:3" x14ac:dyDescent="0.25">
      <c r="B147" s="5" t="s">
        <v>157</v>
      </c>
      <c r="C147" s="5" t="s">
        <v>8</v>
      </c>
    </row>
    <row r="148" spans="2:3" x14ac:dyDescent="0.25">
      <c r="B148" s="5" t="s">
        <v>166</v>
      </c>
      <c r="C148" s="5" t="s">
        <v>11</v>
      </c>
    </row>
    <row r="149" spans="2:3" x14ac:dyDescent="0.25">
      <c r="B149" s="5" t="s">
        <v>170</v>
      </c>
      <c r="C149" s="5" t="s">
        <v>11</v>
      </c>
    </row>
    <row r="150" spans="2:3" x14ac:dyDescent="0.25">
      <c r="B150" s="5" t="s">
        <v>160</v>
      </c>
      <c r="C150" s="5" t="s">
        <v>8</v>
      </c>
    </row>
    <row r="151" spans="2:3" x14ac:dyDescent="0.25">
      <c r="B151" s="5" t="s">
        <v>188</v>
      </c>
      <c r="C151" s="5" t="s">
        <v>10</v>
      </c>
    </row>
    <row r="152" spans="2:3" x14ac:dyDescent="0.25">
      <c r="B152" s="5" t="s">
        <v>189</v>
      </c>
      <c r="C152" s="5" t="s">
        <v>10</v>
      </c>
    </row>
    <row r="153" spans="2:3" x14ac:dyDescent="0.25">
      <c r="B153" s="5" t="s">
        <v>159</v>
      </c>
      <c r="C153" s="5" t="s">
        <v>1571</v>
      </c>
    </row>
    <row r="154" spans="2:3" x14ac:dyDescent="0.25">
      <c r="B154" s="5" t="s">
        <v>164</v>
      </c>
      <c r="C154" s="5" t="s">
        <v>8</v>
      </c>
    </row>
    <row r="155" spans="2:3" x14ac:dyDescent="0.25">
      <c r="B155" s="5" t="s">
        <v>104</v>
      </c>
      <c r="C155" s="5" t="s">
        <v>14</v>
      </c>
    </row>
    <row r="156" spans="2:3" x14ac:dyDescent="0.25">
      <c r="B156" s="5" t="s">
        <v>111</v>
      </c>
      <c r="C156" s="5" t="s">
        <v>14</v>
      </c>
    </row>
    <row r="157" spans="2:3" x14ac:dyDescent="0.25">
      <c r="B157" s="5" t="s">
        <v>190</v>
      </c>
      <c r="C157" s="5" t="s">
        <v>10</v>
      </c>
    </row>
    <row r="158" spans="2:3" x14ac:dyDescent="0.25">
      <c r="B158" s="5" t="s">
        <v>142</v>
      </c>
      <c r="C158" s="5" t="s">
        <v>15</v>
      </c>
    </row>
    <row r="159" spans="2:3" x14ac:dyDescent="0.25">
      <c r="B159" s="5" t="s">
        <v>191</v>
      </c>
      <c r="C159" s="5" t="s">
        <v>10</v>
      </c>
    </row>
    <row r="160" spans="2:3" x14ac:dyDescent="0.25">
      <c r="B160" s="5" t="s">
        <v>163</v>
      </c>
      <c r="C160" s="5" t="s">
        <v>1571</v>
      </c>
    </row>
    <row r="161" spans="2:3" x14ac:dyDescent="0.25">
      <c r="B161" s="5" t="s">
        <v>167</v>
      </c>
      <c r="C161" s="5" t="s">
        <v>1571</v>
      </c>
    </row>
    <row r="162" spans="2:3" x14ac:dyDescent="0.25">
      <c r="B162" s="5" t="s">
        <v>114</v>
      </c>
      <c r="C162" s="5" t="s">
        <v>9</v>
      </c>
    </row>
    <row r="163" spans="2:3" x14ac:dyDescent="0.25">
      <c r="B163" s="5" t="s">
        <v>168</v>
      </c>
      <c r="C163" s="5" t="s">
        <v>8</v>
      </c>
    </row>
    <row r="164" spans="2:3" x14ac:dyDescent="0.25">
      <c r="B164" s="5" t="s">
        <v>174</v>
      </c>
      <c r="C164" s="5" t="s">
        <v>11</v>
      </c>
    </row>
    <row r="165" spans="2:3" x14ac:dyDescent="0.25">
      <c r="B165" s="5" t="s">
        <v>192</v>
      </c>
      <c r="C165" s="5" t="s">
        <v>10</v>
      </c>
    </row>
    <row r="166" spans="2:3" x14ac:dyDescent="0.25">
      <c r="B166" s="5" t="s">
        <v>172</v>
      </c>
      <c r="C166" s="5" t="s">
        <v>8</v>
      </c>
    </row>
    <row r="167" spans="2:3" x14ac:dyDescent="0.25">
      <c r="B167" s="5" t="s">
        <v>193</v>
      </c>
      <c r="C167" s="5" t="s">
        <v>10</v>
      </c>
    </row>
    <row r="168" spans="2:3" x14ac:dyDescent="0.25">
      <c r="B168" s="5" t="s">
        <v>118</v>
      </c>
      <c r="C168" s="5" t="s">
        <v>14</v>
      </c>
    </row>
    <row r="169" spans="2:3" x14ac:dyDescent="0.25">
      <c r="B169" s="5" t="s">
        <v>194</v>
      </c>
      <c r="C169" s="5" t="s">
        <v>10</v>
      </c>
    </row>
    <row r="170" spans="2:3" x14ac:dyDescent="0.25">
      <c r="B170" s="5" t="s">
        <v>171</v>
      </c>
      <c r="C170" s="5" t="s">
        <v>1571</v>
      </c>
    </row>
    <row r="171" spans="2:3" x14ac:dyDescent="0.25">
      <c r="B171" s="5" t="s">
        <v>178</v>
      </c>
      <c r="C171" s="5" t="s">
        <v>11</v>
      </c>
    </row>
    <row r="172" spans="2:3" x14ac:dyDescent="0.25">
      <c r="B172" s="5" t="s">
        <v>125</v>
      </c>
      <c r="C172" s="5" t="s">
        <v>14</v>
      </c>
    </row>
    <row r="173" spans="2:3" x14ac:dyDescent="0.25">
      <c r="B173" s="5" t="s">
        <v>195</v>
      </c>
      <c r="C173" s="5" t="s">
        <v>10</v>
      </c>
    </row>
    <row r="174" spans="2:3" x14ac:dyDescent="0.25">
      <c r="B174" s="5" t="s">
        <v>180</v>
      </c>
      <c r="C174" s="5" t="s">
        <v>11</v>
      </c>
    </row>
    <row r="175" spans="2:3" x14ac:dyDescent="0.25">
      <c r="B175" s="5" t="s">
        <v>121</v>
      </c>
      <c r="C175" s="5" t="s">
        <v>9</v>
      </c>
    </row>
    <row r="176" spans="2:3" x14ac:dyDescent="0.25">
      <c r="B176" s="5" t="s">
        <v>175</v>
      </c>
      <c r="C176" s="5" t="s">
        <v>1571</v>
      </c>
    </row>
    <row r="177" spans="2:3" x14ac:dyDescent="0.25">
      <c r="B177" s="5" t="s">
        <v>31</v>
      </c>
      <c r="C177" s="5" t="s">
        <v>13</v>
      </c>
    </row>
    <row r="178" spans="2:3" x14ac:dyDescent="0.25">
      <c r="B178" s="5" t="s">
        <v>147</v>
      </c>
      <c r="C178" s="5" t="s">
        <v>15</v>
      </c>
    </row>
    <row r="179" spans="2:3" x14ac:dyDescent="0.25">
      <c r="B179" s="5" t="s">
        <v>182</v>
      </c>
      <c r="C179" s="5" t="s">
        <v>11</v>
      </c>
    </row>
    <row r="180" spans="2:3" x14ac:dyDescent="0.25">
      <c r="B180" s="5" t="s">
        <v>152</v>
      </c>
      <c r="C180" s="5" t="s">
        <v>15</v>
      </c>
    </row>
    <row r="181" spans="2:3" x14ac:dyDescent="0.25">
      <c r="B181" s="5" t="s">
        <v>176</v>
      </c>
      <c r="C181" s="5" t="s">
        <v>8</v>
      </c>
    </row>
    <row r="182" spans="2:3" x14ac:dyDescent="0.25">
      <c r="B182" s="5" t="s">
        <v>128</v>
      </c>
      <c r="C182" s="5" t="s">
        <v>9</v>
      </c>
    </row>
    <row r="183" spans="2:3" x14ac:dyDescent="0.25">
      <c r="B183" s="5" t="s">
        <v>196</v>
      </c>
      <c r="C183" s="5" t="s">
        <v>10</v>
      </c>
    </row>
    <row r="184" spans="2:3" x14ac:dyDescent="0.25">
      <c r="B184" s="5" t="s">
        <v>197</v>
      </c>
      <c r="C184" s="5" t="s">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AE53-A2BB-4760-BD01-4D2C2451B8D7}">
  <dimension ref="B2:H98"/>
  <sheetViews>
    <sheetView showGridLines="0" workbookViewId="0">
      <selection activeCell="F8" sqref="F8"/>
    </sheetView>
  </sheetViews>
  <sheetFormatPr defaultRowHeight="15" x14ac:dyDescent="0.25"/>
  <cols>
    <col min="1" max="1" width="1.85546875" customWidth="1"/>
    <col min="2" max="2" width="15.42578125" customWidth="1"/>
    <col min="3" max="3" width="23.42578125" customWidth="1"/>
    <col min="4" max="4" width="24" customWidth="1"/>
    <col min="6" max="7" width="21.7109375" style="40" customWidth="1"/>
    <col min="8" max="8" width="21.7109375" style="40" bestFit="1" customWidth="1"/>
  </cols>
  <sheetData>
    <row r="2" spans="2:8" ht="18.75" x14ac:dyDescent="0.3">
      <c r="B2" s="71" t="s">
        <v>1572</v>
      </c>
    </row>
    <row r="3" spans="2:8" ht="3.95" customHeight="1" x14ac:dyDescent="0.25"/>
    <row r="4" spans="2:8" x14ac:dyDescent="0.25">
      <c r="B4" s="29" t="s">
        <v>1576</v>
      </c>
      <c r="C4" s="34">
        <f>C87</f>
        <v>1.6999999999999999E-3</v>
      </c>
    </row>
    <row r="5" spans="2:8" ht="3.95" customHeight="1" x14ac:dyDescent="0.25"/>
    <row r="6" spans="2:8" x14ac:dyDescent="0.25">
      <c r="B6" s="47" t="s">
        <v>199</v>
      </c>
      <c r="C6" s="72" t="s">
        <v>1575</v>
      </c>
      <c r="D6" s="51" t="s">
        <v>1577</v>
      </c>
    </row>
    <row r="7" spans="2:8" ht="3.95" customHeight="1" x14ac:dyDescent="0.25">
      <c r="B7" s="67"/>
      <c r="C7" s="73"/>
      <c r="D7" s="68"/>
    </row>
    <row r="8" spans="2:8" x14ac:dyDescent="0.25">
      <c r="B8" s="5" t="s">
        <v>18</v>
      </c>
      <c r="C8" s="7">
        <v>6.7999999999999996E-3</v>
      </c>
      <c r="D8" s="7">
        <f>IF(C8="NA","NA",IF(C8&lt;$C$4,0,C8-$C$4))</f>
        <v>5.0999999999999995E-3</v>
      </c>
      <c r="F8" s="8" t="s">
        <v>1566</v>
      </c>
    </row>
    <row r="9" spans="2:8" x14ac:dyDescent="0.25">
      <c r="B9" s="5" t="s">
        <v>19</v>
      </c>
      <c r="C9" s="7">
        <v>1.4E-2</v>
      </c>
      <c r="D9" s="7">
        <f t="shared" ref="D9:D72" si="0">IF(C9="NA","NA",IF(C9&lt;$C$4,0,C9-$C$4))</f>
        <v>1.23E-2</v>
      </c>
    </row>
    <row r="10" spans="2:8" x14ac:dyDescent="0.25">
      <c r="B10" s="5" t="s">
        <v>28</v>
      </c>
      <c r="C10" s="7">
        <v>7.1599999999999997E-2</v>
      </c>
      <c r="D10" s="7">
        <f t="shared" si="0"/>
        <v>6.9900000000000004E-2</v>
      </c>
      <c r="F10"/>
      <c r="G10"/>
      <c r="H10"/>
    </row>
    <row r="11" spans="2:8" x14ac:dyDescent="0.25">
      <c r="B11" s="5" t="s">
        <v>24</v>
      </c>
      <c r="C11" s="7">
        <v>8.3699999999999997E-2</v>
      </c>
      <c r="D11" s="7">
        <f t="shared" si="0"/>
        <v>8.2000000000000003E-2</v>
      </c>
      <c r="F11"/>
      <c r="G11"/>
      <c r="H11"/>
    </row>
    <row r="12" spans="2:8" x14ac:dyDescent="0.25">
      <c r="B12" s="5" t="s">
        <v>25</v>
      </c>
      <c r="C12" s="7">
        <v>1.8E-3</v>
      </c>
      <c r="D12" s="7">
        <f t="shared" si="0"/>
        <v>1.0000000000000005E-4</v>
      </c>
      <c r="F12"/>
      <c r="G12"/>
      <c r="H12"/>
    </row>
    <row r="13" spans="2:8" x14ac:dyDescent="0.25">
      <c r="B13" s="5" t="s">
        <v>30</v>
      </c>
      <c r="C13" s="7">
        <v>3.2000000000000002E-3</v>
      </c>
      <c r="D13" s="7">
        <f t="shared" si="0"/>
        <v>1.5000000000000002E-3</v>
      </c>
      <c r="F13"/>
      <c r="G13"/>
      <c r="H13"/>
    </row>
    <row r="14" spans="2:8" x14ac:dyDescent="0.25">
      <c r="B14" s="5" t="s">
        <v>27</v>
      </c>
      <c r="C14" s="7">
        <v>2.7900000000000001E-2</v>
      </c>
      <c r="D14" s="7">
        <f t="shared" si="0"/>
        <v>2.6200000000000001E-2</v>
      </c>
      <c r="F14"/>
      <c r="G14"/>
      <c r="H14"/>
    </row>
    <row r="15" spans="2:8" x14ac:dyDescent="0.25">
      <c r="B15" s="5" t="s">
        <v>39</v>
      </c>
      <c r="C15" s="7">
        <v>5.0000000000000001E-3</v>
      </c>
      <c r="D15" s="7">
        <f t="shared" si="0"/>
        <v>3.3E-3</v>
      </c>
      <c r="F15"/>
      <c r="G15"/>
      <c r="H15"/>
    </row>
    <row r="16" spans="2:8" x14ac:dyDescent="0.25">
      <c r="B16" s="5" t="s">
        <v>49</v>
      </c>
      <c r="C16" s="7">
        <v>2.5499999999999998E-2</v>
      </c>
      <c r="D16" s="7">
        <f t="shared" si="0"/>
        <v>2.3799999999999998E-2</v>
      </c>
      <c r="F16"/>
      <c r="G16"/>
      <c r="H16"/>
    </row>
    <row r="17" spans="2:4" x14ac:dyDescent="0.25">
      <c r="B17" s="5" t="s">
        <v>60</v>
      </c>
      <c r="C17" s="7">
        <v>1.12E-2</v>
      </c>
      <c r="D17" s="7">
        <f t="shared" si="0"/>
        <v>9.4999999999999998E-3</v>
      </c>
    </row>
    <row r="18" spans="2:4" x14ac:dyDescent="0.25">
      <c r="B18" s="5" t="s">
        <v>59</v>
      </c>
      <c r="C18" s="7">
        <v>8.0299999999999996E-2</v>
      </c>
      <c r="D18" s="7">
        <f t="shared" si="0"/>
        <v>7.8600000000000003E-2</v>
      </c>
    </row>
    <row r="19" spans="2:4" x14ac:dyDescent="0.25">
      <c r="B19" s="5" t="s">
        <v>22</v>
      </c>
      <c r="C19" s="7">
        <v>3.7000000000000002E-3</v>
      </c>
      <c r="D19" s="7">
        <f t="shared" si="0"/>
        <v>2E-3</v>
      </c>
    </row>
    <row r="20" spans="2:4" x14ac:dyDescent="0.25">
      <c r="B20" s="5" t="s">
        <v>56</v>
      </c>
      <c r="C20" s="7">
        <v>1.04E-2</v>
      </c>
      <c r="D20" s="7">
        <f t="shared" si="0"/>
        <v>8.6999999999999994E-3</v>
      </c>
    </row>
    <row r="21" spans="2:4" x14ac:dyDescent="0.25">
      <c r="B21" s="5" t="s">
        <v>43</v>
      </c>
      <c r="C21" s="7">
        <v>7.4999999999999997E-3</v>
      </c>
      <c r="D21" s="7">
        <f t="shared" si="0"/>
        <v>5.7999999999999996E-3</v>
      </c>
    </row>
    <row r="22" spans="2:4" x14ac:dyDescent="0.25">
      <c r="B22" s="5" t="s">
        <v>63</v>
      </c>
      <c r="C22" s="7">
        <v>3.4799999999999998E-2</v>
      </c>
      <c r="D22" s="7">
        <f t="shared" si="0"/>
        <v>3.3099999999999997E-2</v>
      </c>
    </row>
    <row r="23" spans="2:4" x14ac:dyDescent="0.25">
      <c r="B23" s="5" t="s">
        <v>70</v>
      </c>
      <c r="C23" s="7">
        <v>2.5000000000000001E-2</v>
      </c>
      <c r="D23" s="7">
        <f t="shared" si="0"/>
        <v>2.3300000000000001E-2</v>
      </c>
    </row>
    <row r="24" spans="2:4" x14ac:dyDescent="0.25">
      <c r="B24" s="5" t="s">
        <v>67</v>
      </c>
      <c r="C24" s="7">
        <v>1.24E-2</v>
      </c>
      <c r="D24" s="7">
        <f t="shared" si="0"/>
        <v>1.0699999999999999E-2</v>
      </c>
    </row>
    <row r="25" spans="2:4" x14ac:dyDescent="0.25">
      <c r="B25" s="5" t="s">
        <v>47</v>
      </c>
      <c r="C25" s="7">
        <v>8.2000000000000007E-3</v>
      </c>
      <c r="D25" s="7">
        <f t="shared" si="0"/>
        <v>6.5000000000000006E-3</v>
      </c>
    </row>
    <row r="26" spans="2:4" x14ac:dyDescent="0.25">
      <c r="B26" s="5" t="s">
        <v>74</v>
      </c>
      <c r="C26" s="7">
        <v>5.4000000000000003E-3</v>
      </c>
      <c r="D26" s="7">
        <f t="shared" si="0"/>
        <v>3.7000000000000002E-3</v>
      </c>
    </row>
    <row r="27" spans="2:4" x14ac:dyDescent="0.25">
      <c r="B27" s="5" t="s">
        <v>54</v>
      </c>
      <c r="C27" s="7">
        <v>2.0999999999999999E-3</v>
      </c>
      <c r="D27" s="7">
        <f t="shared" si="0"/>
        <v>3.9999999999999996E-4</v>
      </c>
    </row>
    <row r="28" spans="2:4" x14ac:dyDescent="0.25">
      <c r="B28" s="5" t="s">
        <v>1573</v>
      </c>
      <c r="C28" s="7">
        <v>9.7999999999999997E-3</v>
      </c>
      <c r="D28" s="7">
        <f t="shared" si="0"/>
        <v>8.0999999999999996E-3</v>
      </c>
    </row>
    <row r="29" spans="2:4" x14ac:dyDescent="0.25">
      <c r="B29" s="5" t="s">
        <v>77</v>
      </c>
      <c r="C29" s="7">
        <v>0.1242</v>
      </c>
      <c r="D29" s="7">
        <f t="shared" si="0"/>
        <v>0.12250000000000001</v>
      </c>
    </row>
    <row r="30" spans="2:4" x14ac:dyDescent="0.25">
      <c r="B30" s="5" t="s">
        <v>101</v>
      </c>
      <c r="C30" s="7">
        <v>6.6100000000000006E-2</v>
      </c>
      <c r="D30" s="7">
        <f t="shared" si="0"/>
        <v>6.4400000000000013E-2</v>
      </c>
    </row>
    <row r="31" spans="2:4" x14ac:dyDescent="0.25">
      <c r="B31" s="5" t="s">
        <v>84</v>
      </c>
      <c r="C31" s="7">
        <v>4.4699999999999997E-2</v>
      </c>
      <c r="D31" s="7">
        <f t="shared" si="0"/>
        <v>4.2999999999999997E-2</v>
      </c>
    </row>
    <row r="32" spans="2:4" x14ac:dyDescent="0.25">
      <c r="B32" s="5" t="s">
        <v>81</v>
      </c>
      <c r="C32" s="7">
        <v>9.2999999999999992E-3</v>
      </c>
      <c r="D32" s="7">
        <f t="shared" si="0"/>
        <v>7.5999999999999991E-3</v>
      </c>
    </row>
    <row r="33" spans="2:4" x14ac:dyDescent="0.25">
      <c r="B33" s="5" t="s">
        <v>108</v>
      </c>
      <c r="C33" s="7" t="s">
        <v>1574</v>
      </c>
      <c r="D33" s="7" t="str">
        <f t="shared" si="0"/>
        <v>NA</v>
      </c>
    </row>
    <row r="34" spans="2:4" x14ac:dyDescent="0.25">
      <c r="B34" s="5" t="s">
        <v>61</v>
      </c>
      <c r="C34" s="7">
        <v>3.2000000000000002E-3</v>
      </c>
      <c r="D34" s="7">
        <f t="shared" si="0"/>
        <v>1.5000000000000002E-3</v>
      </c>
    </row>
    <row r="35" spans="2:4" x14ac:dyDescent="0.25">
      <c r="B35" s="5" t="s">
        <v>68</v>
      </c>
      <c r="C35" s="7">
        <v>6.7999999999999996E-3</v>
      </c>
      <c r="D35" s="7">
        <f t="shared" si="0"/>
        <v>5.0999999999999995E-3</v>
      </c>
    </row>
    <row r="36" spans="2:4" x14ac:dyDescent="0.25">
      <c r="B36" s="5" t="s">
        <v>115</v>
      </c>
      <c r="C36" s="7">
        <v>7.8600000000000003E-2</v>
      </c>
      <c r="D36" s="7">
        <f t="shared" si="0"/>
        <v>7.690000000000001E-2</v>
      </c>
    </row>
    <row r="37" spans="2:4" x14ac:dyDescent="0.25">
      <c r="B37" s="5" t="s">
        <v>75</v>
      </c>
      <c r="C37" s="7">
        <v>2.3999999999999998E-3</v>
      </c>
      <c r="D37" s="7">
        <f t="shared" si="0"/>
        <v>6.9999999999999988E-4</v>
      </c>
    </row>
    <row r="38" spans="2:4" x14ac:dyDescent="0.25">
      <c r="B38" s="5" t="s">
        <v>82</v>
      </c>
      <c r="C38" s="7">
        <v>1.04E-2</v>
      </c>
      <c r="D38" s="7">
        <f t="shared" si="0"/>
        <v>8.6999999999999994E-3</v>
      </c>
    </row>
    <row r="39" spans="2:4" x14ac:dyDescent="0.25">
      <c r="B39" s="5" t="s">
        <v>91</v>
      </c>
      <c r="C39" s="7">
        <v>2.2100000000000002E-2</v>
      </c>
      <c r="D39" s="7">
        <f t="shared" si="0"/>
        <v>2.0400000000000001E-2</v>
      </c>
    </row>
    <row r="40" spans="2:4" x14ac:dyDescent="0.25">
      <c r="B40" s="5" t="s">
        <v>57</v>
      </c>
      <c r="C40" s="7">
        <v>5.8999999999999999E-3</v>
      </c>
      <c r="D40" s="7">
        <f t="shared" si="0"/>
        <v>4.1999999999999997E-3</v>
      </c>
    </row>
    <row r="41" spans="2:4" x14ac:dyDescent="0.25">
      <c r="B41" s="5" t="s">
        <v>95</v>
      </c>
      <c r="C41" s="7">
        <v>1.83E-2</v>
      </c>
      <c r="D41" s="7">
        <f t="shared" si="0"/>
        <v>1.66E-2</v>
      </c>
    </row>
    <row r="42" spans="2:4" x14ac:dyDescent="0.25">
      <c r="B42" s="5" t="s">
        <v>96</v>
      </c>
      <c r="C42" s="7">
        <v>4.7000000000000002E-3</v>
      </c>
      <c r="D42" s="7">
        <f t="shared" si="0"/>
        <v>3.0000000000000001E-3</v>
      </c>
    </row>
    <row r="43" spans="2:4" x14ac:dyDescent="0.25">
      <c r="B43" s="5" t="s">
        <v>64</v>
      </c>
      <c r="C43" s="7">
        <v>8.3999999999999995E-3</v>
      </c>
      <c r="D43" s="7">
        <f t="shared" si="0"/>
        <v>6.6999999999999994E-3</v>
      </c>
    </row>
    <row r="44" spans="2:4" x14ac:dyDescent="0.25">
      <c r="B44" s="5" t="s">
        <v>71</v>
      </c>
      <c r="C44" s="7">
        <v>1.34E-2</v>
      </c>
      <c r="D44" s="7">
        <f t="shared" si="0"/>
        <v>1.17E-2</v>
      </c>
    </row>
    <row r="45" spans="2:4" x14ac:dyDescent="0.25">
      <c r="B45" s="5" t="s">
        <v>44</v>
      </c>
      <c r="C45" s="7">
        <v>4.0500000000000001E-2</v>
      </c>
      <c r="D45" s="7">
        <f t="shared" si="0"/>
        <v>3.8800000000000001E-2</v>
      </c>
    </row>
    <row r="46" spans="2:4" x14ac:dyDescent="0.25">
      <c r="B46" s="5" t="s">
        <v>103</v>
      </c>
      <c r="C46" s="7">
        <v>3.8E-3</v>
      </c>
      <c r="D46" s="7">
        <f t="shared" si="0"/>
        <v>2.1000000000000003E-3</v>
      </c>
    </row>
    <row r="47" spans="2:4" x14ac:dyDescent="0.25">
      <c r="B47" s="5" t="s">
        <v>51</v>
      </c>
      <c r="C47" s="7">
        <v>1.3899999999999999E-2</v>
      </c>
      <c r="D47" s="7">
        <f t="shared" si="0"/>
        <v>1.2199999999999999E-2</v>
      </c>
    </row>
    <row r="48" spans="2:4" x14ac:dyDescent="0.25">
      <c r="B48" s="5" t="s">
        <v>117</v>
      </c>
      <c r="C48" s="7">
        <v>9.7999999999999997E-3</v>
      </c>
      <c r="D48" s="7">
        <f t="shared" si="0"/>
        <v>8.0999999999999996E-3</v>
      </c>
    </row>
    <row r="49" spans="2:4" x14ac:dyDescent="0.25">
      <c r="B49" s="5" t="s">
        <v>78</v>
      </c>
      <c r="C49" s="7">
        <v>3.5999999999999999E-3</v>
      </c>
      <c r="D49" s="7">
        <f t="shared" si="0"/>
        <v>1.9E-3</v>
      </c>
    </row>
    <row r="50" spans="2:4" x14ac:dyDescent="0.25">
      <c r="B50" s="5" t="s">
        <v>102</v>
      </c>
      <c r="C50" s="7">
        <v>1.46E-2</v>
      </c>
      <c r="D50" s="7">
        <f t="shared" si="0"/>
        <v>1.29E-2</v>
      </c>
    </row>
    <row r="51" spans="2:4" x14ac:dyDescent="0.25">
      <c r="B51" s="5" t="s">
        <v>144</v>
      </c>
      <c r="C51" s="7">
        <v>6.3399999999999998E-2</v>
      </c>
      <c r="D51" s="7">
        <f t="shared" si="0"/>
        <v>6.1699999999999998E-2</v>
      </c>
    </row>
    <row r="52" spans="2:4" x14ac:dyDescent="0.25">
      <c r="B52" s="5" t="s">
        <v>85</v>
      </c>
      <c r="C52" s="7">
        <v>3.7000000000000002E-3</v>
      </c>
      <c r="D52" s="7">
        <f t="shared" si="0"/>
        <v>2E-3</v>
      </c>
    </row>
    <row r="53" spans="2:4" x14ac:dyDescent="0.25">
      <c r="B53" s="5" t="s">
        <v>65</v>
      </c>
      <c r="C53" s="7">
        <v>8.6999999999999994E-3</v>
      </c>
      <c r="D53" s="7">
        <f t="shared" si="0"/>
        <v>6.9999999999999993E-3</v>
      </c>
    </row>
    <row r="54" spans="2:4" x14ac:dyDescent="0.25">
      <c r="B54" s="5" t="s">
        <v>116</v>
      </c>
      <c r="C54" s="7">
        <v>9.7999999999999997E-3</v>
      </c>
      <c r="D54" s="7">
        <f t="shared" si="0"/>
        <v>8.0999999999999996E-3</v>
      </c>
    </row>
    <row r="55" spans="2:4" x14ac:dyDescent="0.25">
      <c r="B55" s="5" t="s">
        <v>72</v>
      </c>
      <c r="C55" s="7" t="s">
        <v>1574</v>
      </c>
      <c r="D55" s="7" t="str">
        <f t="shared" si="0"/>
        <v>NA</v>
      </c>
    </row>
    <row r="56" spans="2:4" x14ac:dyDescent="0.25">
      <c r="B56" s="5" t="s">
        <v>123</v>
      </c>
      <c r="C56" s="7">
        <v>8.9999999999999993E-3</v>
      </c>
      <c r="D56" s="7">
        <f t="shared" si="0"/>
        <v>7.2999999999999992E-3</v>
      </c>
    </row>
    <row r="57" spans="2:4" x14ac:dyDescent="0.25">
      <c r="B57" s="5" t="s">
        <v>113</v>
      </c>
      <c r="C57" s="7">
        <v>8.0999999999999996E-3</v>
      </c>
      <c r="D57" s="7">
        <f t="shared" si="0"/>
        <v>6.3999999999999994E-3</v>
      </c>
    </row>
    <row r="58" spans="2:4" x14ac:dyDescent="0.25">
      <c r="B58" s="5" t="s">
        <v>112</v>
      </c>
      <c r="C58" s="7">
        <v>1.8599999999999998E-2</v>
      </c>
      <c r="D58" s="7">
        <f t="shared" si="0"/>
        <v>1.6899999999999998E-2</v>
      </c>
    </row>
    <row r="59" spans="2:4" x14ac:dyDescent="0.25">
      <c r="B59" s="5" t="s">
        <v>127</v>
      </c>
      <c r="C59" s="7">
        <v>4.3799999999999999E-2</v>
      </c>
      <c r="D59" s="7">
        <f t="shared" si="0"/>
        <v>4.2099999999999999E-2</v>
      </c>
    </row>
    <row r="60" spans="2:4" x14ac:dyDescent="0.25">
      <c r="B60" s="5" t="s">
        <v>173</v>
      </c>
      <c r="C60" s="7">
        <v>1.6E-2</v>
      </c>
      <c r="D60" s="7">
        <f t="shared" si="0"/>
        <v>1.43E-2</v>
      </c>
    </row>
    <row r="61" spans="2:4" x14ac:dyDescent="0.25">
      <c r="B61" s="5" t="s">
        <v>179</v>
      </c>
      <c r="C61" s="7">
        <v>3.6499999999999998E-2</v>
      </c>
      <c r="D61" s="7">
        <f t="shared" si="0"/>
        <v>3.4799999999999998E-2</v>
      </c>
    </row>
    <row r="62" spans="2:4" x14ac:dyDescent="0.25">
      <c r="B62" s="5" t="s">
        <v>146</v>
      </c>
      <c r="C62" s="7">
        <v>2.5000000000000001E-3</v>
      </c>
      <c r="D62" s="7">
        <f t="shared" si="0"/>
        <v>8.0000000000000015E-4</v>
      </c>
    </row>
    <row r="63" spans="2:4" x14ac:dyDescent="0.25">
      <c r="B63" s="5" t="s">
        <v>42</v>
      </c>
      <c r="C63" s="7">
        <v>2.3E-3</v>
      </c>
      <c r="D63" s="7">
        <f t="shared" si="0"/>
        <v>6.0000000000000006E-4</v>
      </c>
    </row>
    <row r="64" spans="2:4" x14ac:dyDescent="0.25">
      <c r="B64" s="5" t="s">
        <v>119</v>
      </c>
      <c r="C64" s="7">
        <v>6.3700000000000007E-2</v>
      </c>
      <c r="D64" s="7">
        <f t="shared" si="0"/>
        <v>6.2000000000000006E-2</v>
      </c>
    </row>
    <row r="65" spans="2:4" x14ac:dyDescent="0.25">
      <c r="B65" s="5" t="s">
        <v>183</v>
      </c>
      <c r="C65" s="7">
        <v>6.0499999999999998E-2</v>
      </c>
      <c r="D65" s="7">
        <f t="shared" si="0"/>
        <v>5.8799999999999998E-2</v>
      </c>
    </row>
    <row r="66" spans="2:4" x14ac:dyDescent="0.25">
      <c r="B66" s="5" t="s">
        <v>151</v>
      </c>
      <c r="C66" s="7">
        <v>2.2000000000000001E-3</v>
      </c>
      <c r="D66" s="7">
        <f t="shared" si="0"/>
        <v>5.0000000000000023E-4</v>
      </c>
    </row>
    <row r="67" spans="2:4" x14ac:dyDescent="0.25">
      <c r="B67" s="5" t="s">
        <v>79</v>
      </c>
      <c r="C67" s="7">
        <v>1.66E-2</v>
      </c>
      <c r="D67" s="7">
        <f t="shared" si="0"/>
        <v>1.49E-2</v>
      </c>
    </row>
    <row r="68" spans="2:4" x14ac:dyDescent="0.25">
      <c r="B68" s="5" t="s">
        <v>143</v>
      </c>
      <c r="C68" s="7">
        <v>7.6399999999999996E-2</v>
      </c>
      <c r="D68" s="7">
        <f t="shared" si="0"/>
        <v>7.4700000000000003E-2</v>
      </c>
    </row>
    <row r="69" spans="2:4" x14ac:dyDescent="0.25">
      <c r="B69" s="5" t="s">
        <v>126</v>
      </c>
      <c r="C69" s="7">
        <v>2.9600000000000001E-2</v>
      </c>
      <c r="D69" s="7">
        <f t="shared" si="0"/>
        <v>2.7900000000000001E-2</v>
      </c>
    </row>
    <row r="70" spans="2:4" x14ac:dyDescent="0.25">
      <c r="B70" s="5" t="s">
        <v>137</v>
      </c>
      <c r="C70" s="7">
        <v>1.3899999999999999E-2</v>
      </c>
      <c r="D70" s="7">
        <f t="shared" si="0"/>
        <v>1.2199999999999999E-2</v>
      </c>
    </row>
    <row r="71" spans="2:4" x14ac:dyDescent="0.25">
      <c r="B71" s="5" t="s">
        <v>153</v>
      </c>
      <c r="C71" s="7">
        <v>1.15E-2</v>
      </c>
      <c r="D71" s="7">
        <f t="shared" si="0"/>
        <v>9.7999999999999997E-3</v>
      </c>
    </row>
    <row r="72" spans="2:4" x14ac:dyDescent="0.25">
      <c r="B72" s="5" t="s">
        <v>145</v>
      </c>
      <c r="C72" s="7">
        <v>1.0999999999999999E-2</v>
      </c>
      <c r="D72" s="7">
        <f t="shared" si="0"/>
        <v>9.2999999999999992E-3</v>
      </c>
    </row>
    <row r="73" spans="2:4" x14ac:dyDescent="0.25">
      <c r="B73" s="5" t="s">
        <v>156</v>
      </c>
      <c r="C73" s="7">
        <v>5.4999999999999997E-3</v>
      </c>
      <c r="D73" s="7">
        <f t="shared" ref="D73:D97" si="1">IF(C73="NA","NA",IF(C73&lt;$C$4,0,C73-$C$4))</f>
        <v>3.7999999999999996E-3</v>
      </c>
    </row>
    <row r="74" spans="2:4" x14ac:dyDescent="0.25">
      <c r="B74" s="5" t="s">
        <v>86</v>
      </c>
      <c r="C74" s="7">
        <v>6.7999999999999996E-3</v>
      </c>
      <c r="D74" s="7">
        <f t="shared" si="1"/>
        <v>5.0999999999999995E-3</v>
      </c>
    </row>
    <row r="75" spans="2:4" x14ac:dyDescent="0.25">
      <c r="B75" s="5" t="s">
        <v>150</v>
      </c>
      <c r="C75" s="7">
        <v>2.6700000000000002E-2</v>
      </c>
      <c r="D75" s="7">
        <f t="shared" si="1"/>
        <v>2.5000000000000001E-2</v>
      </c>
    </row>
    <row r="76" spans="2:4" x14ac:dyDescent="0.25">
      <c r="B76" s="5" t="s">
        <v>155</v>
      </c>
      <c r="C76" s="7" t="s">
        <v>1574</v>
      </c>
      <c r="D76" s="7" t="str">
        <f t="shared" si="1"/>
        <v>NA</v>
      </c>
    </row>
    <row r="77" spans="2:4" x14ac:dyDescent="0.25">
      <c r="B77" s="5" t="s">
        <v>185</v>
      </c>
      <c r="C77" s="7">
        <v>5.4300000000000001E-2</v>
      </c>
      <c r="D77" s="7">
        <f t="shared" si="1"/>
        <v>5.2600000000000001E-2</v>
      </c>
    </row>
    <row r="78" spans="2:4" x14ac:dyDescent="0.25">
      <c r="B78" s="5" t="s">
        <v>100</v>
      </c>
      <c r="C78" s="7">
        <v>1.12E-2</v>
      </c>
      <c r="D78" s="7">
        <f t="shared" si="1"/>
        <v>9.4999999999999998E-3</v>
      </c>
    </row>
    <row r="79" spans="2:4" x14ac:dyDescent="0.25">
      <c r="B79" s="5" t="s">
        <v>186</v>
      </c>
      <c r="C79" s="7">
        <v>7.8299999999999995E-2</v>
      </c>
      <c r="D79" s="7">
        <f t="shared" si="1"/>
        <v>7.6600000000000001E-2</v>
      </c>
    </row>
    <row r="80" spans="2:4" x14ac:dyDescent="0.25">
      <c r="B80" s="5" t="s">
        <v>162</v>
      </c>
      <c r="C80" s="7">
        <v>2.3E-2</v>
      </c>
      <c r="D80" s="7">
        <f t="shared" si="1"/>
        <v>2.1299999999999999E-2</v>
      </c>
    </row>
    <row r="81" spans="2:4" x14ac:dyDescent="0.25">
      <c r="B81" s="5" t="s">
        <v>166</v>
      </c>
      <c r="C81" s="7">
        <v>6.1000000000000004E-3</v>
      </c>
      <c r="D81" s="7">
        <f t="shared" si="1"/>
        <v>4.4000000000000003E-3</v>
      </c>
    </row>
    <row r="82" spans="2:4" x14ac:dyDescent="0.25">
      <c r="B82" s="5" t="s">
        <v>170</v>
      </c>
      <c r="C82" s="7">
        <v>7.0000000000000001E-3</v>
      </c>
      <c r="D82" s="7">
        <f t="shared" si="1"/>
        <v>5.3E-3</v>
      </c>
    </row>
    <row r="83" spans="2:4" x14ac:dyDescent="0.25">
      <c r="B83" s="5" t="s">
        <v>189</v>
      </c>
      <c r="C83" s="7">
        <v>3.0099999999999998E-2</v>
      </c>
      <c r="D83" s="7">
        <f t="shared" si="1"/>
        <v>2.8399999999999998E-2</v>
      </c>
    </row>
    <row r="84" spans="2:4" x14ac:dyDescent="0.25">
      <c r="B84" s="5" t="s">
        <v>159</v>
      </c>
      <c r="C84" s="7">
        <v>6.4000000000000003E-3</v>
      </c>
      <c r="D84" s="7">
        <f t="shared" si="1"/>
        <v>4.7000000000000002E-3</v>
      </c>
    </row>
    <row r="85" spans="2:4" x14ac:dyDescent="0.25">
      <c r="B85" s="5" t="s">
        <v>164</v>
      </c>
      <c r="C85" s="7">
        <v>4.8599999999999997E-2</v>
      </c>
      <c r="D85" s="7">
        <f t="shared" si="1"/>
        <v>4.6899999999999997E-2</v>
      </c>
    </row>
    <row r="86" spans="2:4" x14ac:dyDescent="0.25">
      <c r="B86" s="5" t="s">
        <v>163</v>
      </c>
      <c r="C86" s="7">
        <v>2.5000000000000001E-3</v>
      </c>
      <c r="D86" s="7">
        <f t="shared" si="1"/>
        <v>8.0000000000000015E-4</v>
      </c>
    </row>
    <row r="87" spans="2:4" x14ac:dyDescent="0.25">
      <c r="B87" s="5" t="s">
        <v>167</v>
      </c>
      <c r="C87" s="7">
        <v>1.6999999999999999E-3</v>
      </c>
      <c r="D87" s="7">
        <f t="shared" si="1"/>
        <v>0</v>
      </c>
    </row>
    <row r="88" spans="2:4" x14ac:dyDescent="0.25">
      <c r="B88" s="5" t="s">
        <v>172</v>
      </c>
      <c r="C88" s="7">
        <v>7.1999999999999998E-3</v>
      </c>
      <c r="D88" s="7">
        <f t="shared" si="1"/>
        <v>5.4999999999999997E-3</v>
      </c>
    </row>
    <row r="89" spans="2:4" x14ac:dyDescent="0.25">
      <c r="B89" s="5" t="s">
        <v>194</v>
      </c>
      <c r="C89" s="7">
        <v>7.4200000000000002E-2</v>
      </c>
      <c r="D89" s="7">
        <f t="shared" si="1"/>
        <v>7.2500000000000009E-2</v>
      </c>
    </row>
    <row r="90" spans="2:4" x14ac:dyDescent="0.25">
      <c r="B90" s="5" t="s">
        <v>171</v>
      </c>
      <c r="C90" s="7">
        <v>3.7999999999999999E-2</v>
      </c>
      <c r="D90" s="7">
        <f t="shared" si="1"/>
        <v>3.6299999999999999E-2</v>
      </c>
    </row>
    <row r="91" spans="2:4" x14ac:dyDescent="0.25">
      <c r="B91" s="5" t="s">
        <v>180</v>
      </c>
      <c r="C91" s="7" t="s">
        <v>1574</v>
      </c>
      <c r="D91" s="7" t="str">
        <f t="shared" si="1"/>
        <v>NA</v>
      </c>
    </row>
    <row r="92" spans="2:4" x14ac:dyDescent="0.25">
      <c r="B92" s="5" t="s">
        <v>175</v>
      </c>
      <c r="C92" s="7">
        <v>3.7000000000000002E-3</v>
      </c>
      <c r="D92" s="7">
        <f t="shared" si="1"/>
        <v>2E-3</v>
      </c>
    </row>
    <row r="93" spans="2:4" x14ac:dyDescent="0.25">
      <c r="B93" s="5" t="s">
        <v>31</v>
      </c>
      <c r="C93" s="7">
        <v>5.0000000000000001E-3</v>
      </c>
      <c r="D93" s="7">
        <f t="shared" si="1"/>
        <v>3.3E-3</v>
      </c>
    </row>
    <row r="94" spans="2:4" x14ac:dyDescent="0.25">
      <c r="B94" s="5" t="s">
        <v>147</v>
      </c>
      <c r="C94" s="7">
        <v>1.1900000000000001E-2</v>
      </c>
      <c r="D94" s="7">
        <f t="shared" si="1"/>
        <v>1.0200000000000001E-2</v>
      </c>
    </row>
    <row r="95" spans="2:4" x14ac:dyDescent="0.25">
      <c r="B95" s="5" t="s">
        <v>152</v>
      </c>
      <c r="C95" s="7" t="s">
        <v>1574</v>
      </c>
      <c r="D95" s="7" t="str">
        <f t="shared" si="1"/>
        <v>NA</v>
      </c>
    </row>
    <row r="96" spans="2:4" x14ac:dyDescent="0.25">
      <c r="B96" s="5" t="s">
        <v>176</v>
      </c>
      <c r="C96" s="7">
        <v>1.5699999999999999E-2</v>
      </c>
      <c r="D96" s="7">
        <f t="shared" si="1"/>
        <v>1.3999999999999999E-2</v>
      </c>
    </row>
    <row r="97" spans="2:4" x14ac:dyDescent="0.25">
      <c r="B97" s="5" t="s">
        <v>196</v>
      </c>
      <c r="C97" s="7" t="s">
        <v>1574</v>
      </c>
      <c r="D97" s="7" t="str">
        <f t="shared" si="1"/>
        <v>NA</v>
      </c>
    </row>
    <row r="98" spans="2:4" x14ac:dyDescent="0.25">
      <c r="D98" s="30"/>
    </row>
  </sheetData>
  <conditionalFormatting sqref="C8:D97">
    <cfRule type="containsText" dxfId="11" priority="5" operator="containsText" text="NA">
      <formula>NOT(ISERROR(SEARCH("NA",C8)))</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52C5-26F6-45FE-8DE2-0656B69C7B6A}">
  <dimension ref="B2:C200"/>
  <sheetViews>
    <sheetView showGridLines="0" workbookViewId="0">
      <selection activeCell="C18" sqref="C18"/>
    </sheetView>
  </sheetViews>
  <sheetFormatPr defaultRowHeight="15" x14ac:dyDescent="0.25"/>
  <cols>
    <col min="1" max="1" width="2.7109375" customWidth="1"/>
    <col min="2" max="2" width="29.42578125" bestFit="1" customWidth="1"/>
    <col min="3" max="3" width="29.42578125" customWidth="1"/>
  </cols>
  <sheetData>
    <row r="2" spans="2:3" ht="15.75" x14ac:dyDescent="0.25">
      <c r="B2" s="92" t="s">
        <v>1614</v>
      </c>
      <c r="C2" s="92"/>
    </row>
    <row r="4" spans="2:3" x14ac:dyDescent="0.25">
      <c r="B4" s="24" t="s">
        <v>1613</v>
      </c>
    </row>
    <row r="6" spans="2:3" x14ac:dyDescent="0.25">
      <c r="B6" s="113" t="s">
        <v>8</v>
      </c>
      <c r="C6" s="4" t="s">
        <v>1599</v>
      </c>
    </row>
    <row r="7" spans="2:3" x14ac:dyDescent="0.25">
      <c r="B7" s="5" t="s">
        <v>17</v>
      </c>
      <c r="C7" s="6">
        <v>450119.43</v>
      </c>
    </row>
    <row r="8" spans="2:3" x14ac:dyDescent="0.25">
      <c r="B8" s="5" t="s">
        <v>26</v>
      </c>
      <c r="C8" s="6">
        <v>15340.81</v>
      </c>
    </row>
    <row r="9" spans="2:3" x14ac:dyDescent="0.25">
      <c r="B9" s="5" t="s">
        <v>35</v>
      </c>
      <c r="C9" s="6">
        <v>46352.65</v>
      </c>
    </row>
    <row r="10" spans="2:3" x14ac:dyDescent="0.25">
      <c r="B10" s="5" t="s">
        <v>43</v>
      </c>
      <c r="C10" s="6">
        <v>18743803.170000002</v>
      </c>
    </row>
    <row r="11" spans="2:3" x14ac:dyDescent="0.25">
      <c r="B11" s="5" t="s">
        <v>50</v>
      </c>
      <c r="C11" s="6">
        <v>5968.13</v>
      </c>
    </row>
    <row r="12" spans="2:3" x14ac:dyDescent="0.25">
      <c r="B12" s="5" t="s">
        <v>57</v>
      </c>
      <c r="C12" s="6">
        <v>406863.4</v>
      </c>
    </row>
    <row r="13" spans="2:3" x14ac:dyDescent="0.25">
      <c r="B13" s="5" t="s">
        <v>64</v>
      </c>
      <c r="C13" s="6">
        <v>3909891.53</v>
      </c>
    </row>
    <row r="14" spans="2:3" x14ac:dyDescent="0.25">
      <c r="B14" s="5" t="s">
        <v>71</v>
      </c>
      <c r="C14" s="6">
        <v>1396300.1</v>
      </c>
    </row>
    <row r="15" spans="2:3" x14ac:dyDescent="0.25">
      <c r="B15" s="5" t="s">
        <v>78</v>
      </c>
      <c r="C15" s="6">
        <v>4027597.52</v>
      </c>
    </row>
    <row r="16" spans="2:3" x14ac:dyDescent="0.25">
      <c r="B16" s="5" t="s">
        <v>85</v>
      </c>
      <c r="C16" s="6">
        <v>1875388.21</v>
      </c>
    </row>
    <row r="17" spans="2:3" x14ac:dyDescent="0.25">
      <c r="B17" s="5" t="s">
        <v>92</v>
      </c>
      <c r="C17" s="6">
        <v>26600</v>
      </c>
    </row>
    <row r="18" spans="2:3" x14ac:dyDescent="0.25">
      <c r="B18" s="5" t="s">
        <v>99</v>
      </c>
      <c r="C18" s="6">
        <v>16502.93</v>
      </c>
    </row>
    <row r="19" spans="2:3" x14ac:dyDescent="0.25">
      <c r="B19" s="5" t="s">
        <v>106</v>
      </c>
      <c r="C19" s="6">
        <v>49467.26</v>
      </c>
    </row>
    <row r="20" spans="2:3" x14ac:dyDescent="0.25">
      <c r="B20" s="5" t="s">
        <v>113</v>
      </c>
      <c r="C20" s="6">
        <v>422227.01</v>
      </c>
    </row>
    <row r="21" spans="2:3" x14ac:dyDescent="0.25">
      <c r="B21" s="5" t="s">
        <v>120</v>
      </c>
      <c r="C21" s="6">
        <v>7061.61</v>
      </c>
    </row>
    <row r="22" spans="2:3" x14ac:dyDescent="0.25">
      <c r="B22" s="5" t="s">
        <v>127</v>
      </c>
      <c r="C22" s="6">
        <v>23794.54</v>
      </c>
    </row>
    <row r="23" spans="2:3" x14ac:dyDescent="0.25">
      <c r="B23" s="5" t="s">
        <v>133</v>
      </c>
      <c r="C23" s="6">
        <v>74068.350000000006</v>
      </c>
    </row>
    <row r="24" spans="2:3" x14ac:dyDescent="0.25">
      <c r="B24" s="5" t="s">
        <v>138</v>
      </c>
      <c r="C24" s="6">
        <v>42914.27</v>
      </c>
    </row>
    <row r="25" spans="2:3" x14ac:dyDescent="0.25">
      <c r="B25" s="5" t="s">
        <v>143</v>
      </c>
      <c r="C25" s="6">
        <v>371570</v>
      </c>
    </row>
    <row r="26" spans="2:3" x14ac:dyDescent="0.25">
      <c r="B26" s="5" t="s">
        <v>148</v>
      </c>
      <c r="C26" s="6">
        <v>31800.43</v>
      </c>
    </row>
    <row r="27" spans="2:3" x14ac:dyDescent="0.25">
      <c r="B27" s="5" t="s">
        <v>153</v>
      </c>
      <c r="C27" s="6">
        <v>461617.51</v>
      </c>
    </row>
    <row r="28" spans="2:3" x14ac:dyDescent="0.25">
      <c r="B28" s="5" t="s">
        <v>157</v>
      </c>
      <c r="C28" s="6">
        <v>547386.65</v>
      </c>
    </row>
    <row r="29" spans="2:3" x14ac:dyDescent="0.25">
      <c r="B29" s="5" t="s">
        <v>160</v>
      </c>
      <c r="C29" s="6">
        <v>1583.96</v>
      </c>
    </row>
    <row r="30" spans="2:3" x14ac:dyDescent="0.25">
      <c r="B30" s="5" t="s">
        <v>164</v>
      </c>
      <c r="C30" s="6">
        <v>98963.19</v>
      </c>
    </row>
    <row r="31" spans="2:3" x14ac:dyDescent="0.25">
      <c r="B31" s="5" t="s">
        <v>168</v>
      </c>
      <c r="C31" s="6">
        <v>801495</v>
      </c>
    </row>
    <row r="32" spans="2:3" x14ac:dyDescent="0.25">
      <c r="B32" s="5" t="s">
        <v>172</v>
      </c>
      <c r="C32" s="6">
        <v>526517.66</v>
      </c>
    </row>
    <row r="33" spans="2:3" x14ac:dyDescent="0.25">
      <c r="B33" s="5" t="s">
        <v>176</v>
      </c>
      <c r="C33" s="6">
        <v>476388.23</v>
      </c>
    </row>
    <row r="35" spans="2:3" ht="15.75" x14ac:dyDescent="0.25">
      <c r="B35" s="92" t="s">
        <v>9</v>
      </c>
      <c r="C35" s="91" t="s">
        <v>1599</v>
      </c>
    </row>
    <row r="36" spans="2:3" x14ac:dyDescent="0.25">
      <c r="B36" s="5" t="s">
        <v>18</v>
      </c>
      <c r="C36" s="6">
        <v>308000</v>
      </c>
    </row>
    <row r="37" spans="2:3" x14ac:dyDescent="0.25">
      <c r="B37" s="5" t="s">
        <v>27</v>
      </c>
      <c r="C37" s="6">
        <v>47109.73</v>
      </c>
    </row>
    <row r="38" spans="2:3" x14ac:dyDescent="0.25">
      <c r="B38" s="5" t="s">
        <v>36</v>
      </c>
      <c r="C38" s="6">
        <v>475252.09</v>
      </c>
    </row>
    <row r="39" spans="2:3" x14ac:dyDescent="0.25">
      <c r="B39" s="5" t="s">
        <v>44</v>
      </c>
      <c r="C39" s="6">
        <v>279641.26</v>
      </c>
    </row>
    <row r="40" spans="2:3" x14ac:dyDescent="0.25">
      <c r="B40" s="5" t="s">
        <v>51</v>
      </c>
      <c r="C40" s="6">
        <v>540379.92000000004</v>
      </c>
    </row>
    <row r="41" spans="2:3" x14ac:dyDescent="0.25">
      <c r="B41" s="5" t="s">
        <v>58</v>
      </c>
      <c r="C41" s="6">
        <v>53352.29</v>
      </c>
    </row>
    <row r="42" spans="2:3" x14ac:dyDescent="0.25">
      <c r="B42" s="5" t="s">
        <v>65</v>
      </c>
      <c r="C42" s="6">
        <v>160227.26999999999</v>
      </c>
    </row>
    <row r="43" spans="2:3" x14ac:dyDescent="0.25">
      <c r="B43" s="5" t="s">
        <v>72</v>
      </c>
      <c r="C43" s="6">
        <v>20078.62</v>
      </c>
    </row>
    <row r="44" spans="2:3" x14ac:dyDescent="0.25">
      <c r="B44" s="5" t="s">
        <v>79</v>
      </c>
      <c r="C44" s="6">
        <v>107137.2</v>
      </c>
    </row>
    <row r="45" spans="2:3" x14ac:dyDescent="0.25">
      <c r="B45" s="5" t="s">
        <v>86</v>
      </c>
      <c r="C45" s="6">
        <v>219162.64</v>
      </c>
    </row>
    <row r="46" spans="2:3" x14ac:dyDescent="0.25">
      <c r="B46" s="5" t="s">
        <v>93</v>
      </c>
      <c r="C46" s="6">
        <v>12000</v>
      </c>
    </row>
    <row r="47" spans="2:3" x14ac:dyDescent="0.25">
      <c r="B47" s="5" t="s">
        <v>100</v>
      </c>
      <c r="C47" s="6">
        <v>1239804.53</v>
      </c>
    </row>
    <row r="48" spans="2:3" x14ac:dyDescent="0.25">
      <c r="B48" s="5" t="s">
        <v>107</v>
      </c>
      <c r="C48" s="6">
        <v>39500</v>
      </c>
    </row>
    <row r="49" spans="2:3" x14ac:dyDescent="0.25">
      <c r="B49" s="5" t="s">
        <v>114</v>
      </c>
      <c r="C49" s="6">
        <v>23622.83</v>
      </c>
    </row>
    <row r="50" spans="2:3" x14ac:dyDescent="0.25">
      <c r="B50" s="5" t="s">
        <v>121</v>
      </c>
      <c r="C50" s="6">
        <v>552324.85</v>
      </c>
    </row>
    <row r="51" spans="2:3" x14ac:dyDescent="0.25">
      <c r="B51" s="5" t="s">
        <v>128</v>
      </c>
      <c r="C51" s="6">
        <v>21606.16</v>
      </c>
    </row>
    <row r="53" spans="2:3" ht="15.75" x14ac:dyDescent="0.25">
      <c r="B53" s="92" t="s">
        <v>10</v>
      </c>
      <c r="C53" s="91" t="s">
        <v>1599</v>
      </c>
    </row>
    <row r="54" spans="2:3" x14ac:dyDescent="0.25">
      <c r="B54" s="5" t="s">
        <v>19</v>
      </c>
      <c r="C54" s="6">
        <v>269322.28000000003</v>
      </c>
    </row>
    <row r="55" spans="2:3" x14ac:dyDescent="0.25">
      <c r="B55" s="5" t="s">
        <v>28</v>
      </c>
      <c r="C55" s="6">
        <v>100998.92</v>
      </c>
    </row>
    <row r="56" spans="2:3" x14ac:dyDescent="0.25">
      <c r="B56" s="5" t="s">
        <v>37</v>
      </c>
      <c r="C56" s="6">
        <v>21482.639999999999</v>
      </c>
    </row>
    <row r="57" spans="2:3" x14ac:dyDescent="0.25">
      <c r="B57" s="5" t="s">
        <v>45</v>
      </c>
      <c r="C57" s="6">
        <v>19402.060000000001</v>
      </c>
    </row>
    <row r="58" spans="2:3" x14ac:dyDescent="0.25">
      <c r="B58" s="5" t="s">
        <v>52</v>
      </c>
      <c r="C58" s="6">
        <v>23124.73</v>
      </c>
    </row>
    <row r="59" spans="2:3" x14ac:dyDescent="0.25">
      <c r="B59" s="5" t="s">
        <v>59</v>
      </c>
      <c r="C59" s="6">
        <v>53296.69</v>
      </c>
    </row>
    <row r="60" spans="2:3" x14ac:dyDescent="0.25">
      <c r="B60" s="5" t="s">
        <v>66</v>
      </c>
      <c r="C60" s="6">
        <v>2725.41</v>
      </c>
    </row>
    <row r="61" spans="2:3" x14ac:dyDescent="0.25">
      <c r="B61" s="5" t="s">
        <v>73</v>
      </c>
      <c r="C61" s="6">
        <v>70962.19</v>
      </c>
    </row>
    <row r="62" spans="2:3" x14ac:dyDescent="0.25">
      <c r="B62" s="5" t="s">
        <v>80</v>
      </c>
      <c r="C62" s="6">
        <v>15719.99</v>
      </c>
    </row>
    <row r="63" spans="2:3" x14ac:dyDescent="0.25">
      <c r="B63" s="5" t="s">
        <v>87</v>
      </c>
      <c r="C63" s="6">
        <v>87113.18</v>
      </c>
    </row>
    <row r="64" spans="2:3" x14ac:dyDescent="0.25">
      <c r="B64" s="5" t="s">
        <v>101</v>
      </c>
      <c r="C64" s="6">
        <v>389059.91</v>
      </c>
    </row>
    <row r="65" spans="2:3" x14ac:dyDescent="0.25">
      <c r="B65" s="5" t="s">
        <v>108</v>
      </c>
      <c r="C65" s="6">
        <v>149740.29999999999</v>
      </c>
    </row>
    <row r="66" spans="2:3" x14ac:dyDescent="0.25">
      <c r="B66" s="5" t="s">
        <v>115</v>
      </c>
      <c r="C66" s="6">
        <v>20895.68</v>
      </c>
    </row>
    <row r="67" spans="2:3" x14ac:dyDescent="0.25">
      <c r="B67" s="5" t="s">
        <v>122</v>
      </c>
      <c r="C67" s="6">
        <v>2404.89</v>
      </c>
    </row>
    <row r="68" spans="2:3" x14ac:dyDescent="0.25">
      <c r="B68" s="5" t="s">
        <v>129</v>
      </c>
      <c r="C68" s="6">
        <v>82308.11</v>
      </c>
    </row>
    <row r="69" spans="2:3" x14ac:dyDescent="0.25">
      <c r="B69" s="5" t="s">
        <v>134</v>
      </c>
      <c r="C69" s="6">
        <v>25008.68</v>
      </c>
    </row>
    <row r="70" spans="2:3" x14ac:dyDescent="0.25">
      <c r="B70" s="5" t="s">
        <v>139</v>
      </c>
      <c r="C70" s="6">
        <v>2218.39</v>
      </c>
    </row>
    <row r="71" spans="2:3" x14ac:dyDescent="0.25">
      <c r="B71" s="5" t="s">
        <v>144</v>
      </c>
      <c r="C71" s="6">
        <v>120339.56</v>
      </c>
    </row>
    <row r="72" spans="2:3" x14ac:dyDescent="0.25">
      <c r="B72" s="5" t="s">
        <v>149</v>
      </c>
      <c r="C72" s="6">
        <v>4779.3</v>
      </c>
    </row>
    <row r="73" spans="2:3" x14ac:dyDescent="0.25">
      <c r="B73" s="5" t="s">
        <v>154</v>
      </c>
      <c r="C73" s="6">
        <v>48487.15</v>
      </c>
    </row>
    <row r="74" spans="2:3" x14ac:dyDescent="0.25">
      <c r="B74" s="5" t="s">
        <v>158</v>
      </c>
      <c r="C74" s="6">
        <v>17420.5</v>
      </c>
    </row>
    <row r="75" spans="2:3" x14ac:dyDescent="0.25">
      <c r="B75" s="5" t="s">
        <v>161</v>
      </c>
      <c r="C75" s="6">
        <v>11316.41</v>
      </c>
    </row>
    <row r="76" spans="2:3" x14ac:dyDescent="0.25">
      <c r="B76" s="5" t="s">
        <v>165</v>
      </c>
      <c r="C76" s="6">
        <v>26794.75</v>
      </c>
    </row>
    <row r="77" spans="2:3" x14ac:dyDescent="0.25">
      <c r="B77" s="5" t="s">
        <v>169</v>
      </c>
      <c r="C77" s="6">
        <v>14937.86</v>
      </c>
    </row>
    <row r="78" spans="2:3" x14ac:dyDescent="0.25">
      <c r="B78" s="5" t="s">
        <v>173</v>
      </c>
      <c r="C78" s="6">
        <v>160610.99</v>
      </c>
    </row>
    <row r="79" spans="2:3" x14ac:dyDescent="0.25">
      <c r="B79" s="5" t="s">
        <v>177</v>
      </c>
      <c r="C79" s="6">
        <v>22745.34</v>
      </c>
    </row>
    <row r="80" spans="2:3" x14ac:dyDescent="0.25">
      <c r="B80" s="5" t="s">
        <v>179</v>
      </c>
      <c r="C80" s="6">
        <v>13372.35</v>
      </c>
    </row>
    <row r="81" spans="2:3" x14ac:dyDescent="0.25">
      <c r="B81" s="5" t="s">
        <v>181</v>
      </c>
      <c r="C81" s="6">
        <v>19876.13</v>
      </c>
    </row>
    <row r="82" spans="2:3" x14ac:dyDescent="0.25">
      <c r="B82" s="5" t="s">
        <v>183</v>
      </c>
      <c r="C82" s="6">
        <v>252261.88</v>
      </c>
    </row>
    <row r="83" spans="2:3" x14ac:dyDescent="0.25">
      <c r="B83" s="5" t="s">
        <v>185</v>
      </c>
      <c r="C83" s="6">
        <v>14251.64</v>
      </c>
    </row>
    <row r="84" spans="2:3" x14ac:dyDescent="0.25">
      <c r="B84" s="5" t="s">
        <v>186</v>
      </c>
      <c r="C84" s="6">
        <v>32808.06</v>
      </c>
    </row>
    <row r="85" spans="2:3" x14ac:dyDescent="0.25">
      <c r="B85" s="5" t="s">
        <v>187</v>
      </c>
      <c r="C85" s="6">
        <v>6971.13</v>
      </c>
    </row>
    <row r="86" spans="2:3" x14ac:dyDescent="0.25">
      <c r="B86" s="5" t="s">
        <v>188</v>
      </c>
      <c r="C86" s="6">
        <v>11967</v>
      </c>
    </row>
    <row r="87" spans="2:3" x14ac:dyDescent="0.25">
      <c r="B87" s="5" t="s">
        <v>189</v>
      </c>
      <c r="C87" s="6">
        <v>401145</v>
      </c>
    </row>
    <row r="88" spans="2:3" x14ac:dyDescent="0.25">
      <c r="B88" s="5" t="s">
        <v>190</v>
      </c>
      <c r="C88" s="6">
        <v>11997.8</v>
      </c>
    </row>
    <row r="89" spans="2:3" x14ac:dyDescent="0.25">
      <c r="B89" s="5" t="s">
        <v>191</v>
      </c>
      <c r="C89" s="6">
        <v>4858.8900000000003</v>
      </c>
    </row>
    <row r="90" spans="2:3" x14ac:dyDescent="0.25">
      <c r="B90" s="5" t="s">
        <v>192</v>
      </c>
      <c r="C90" s="6">
        <v>78844.41</v>
      </c>
    </row>
    <row r="91" spans="2:3" x14ac:dyDescent="0.25">
      <c r="B91" s="5" t="s">
        <v>193</v>
      </c>
      <c r="C91" s="6">
        <v>10651.18</v>
      </c>
    </row>
    <row r="92" spans="2:3" x14ac:dyDescent="0.25">
      <c r="B92" s="5" t="s">
        <v>194</v>
      </c>
      <c r="C92" s="6">
        <v>51332.29</v>
      </c>
    </row>
    <row r="93" spans="2:3" x14ac:dyDescent="0.25">
      <c r="B93" s="5" t="s">
        <v>195</v>
      </c>
      <c r="C93" s="6">
        <v>53911.91</v>
      </c>
    </row>
    <row r="94" spans="2:3" x14ac:dyDescent="0.25">
      <c r="B94" s="5" t="s">
        <v>196</v>
      </c>
      <c r="C94" s="6">
        <v>25303.19</v>
      </c>
    </row>
    <row r="95" spans="2:3" x14ac:dyDescent="0.25">
      <c r="B95" s="19" t="s">
        <v>197</v>
      </c>
      <c r="C95" s="6">
        <v>41539.410000000003</v>
      </c>
    </row>
    <row r="96" spans="2:3" x14ac:dyDescent="0.25">
      <c r="B96" s="94"/>
      <c r="C96" s="94"/>
    </row>
    <row r="97" spans="2:3" ht="15.75" x14ac:dyDescent="0.25">
      <c r="B97" s="92" t="s">
        <v>11</v>
      </c>
      <c r="C97" s="91" t="s">
        <v>1599</v>
      </c>
    </row>
    <row r="98" spans="2:3" x14ac:dyDescent="0.25">
      <c r="B98" s="5" t="s">
        <v>20</v>
      </c>
      <c r="C98" s="6">
        <v>27046.43</v>
      </c>
    </row>
    <row r="99" spans="2:3" x14ac:dyDescent="0.25">
      <c r="B99" s="5" t="s">
        <v>29</v>
      </c>
      <c r="C99" s="6">
        <v>25955.279999999999</v>
      </c>
    </row>
    <row r="100" spans="2:3" x14ac:dyDescent="0.25">
      <c r="B100" s="5" t="s">
        <v>38</v>
      </c>
      <c r="C100" s="6">
        <v>74315.88</v>
      </c>
    </row>
    <row r="101" spans="2:3" x14ac:dyDescent="0.25">
      <c r="B101" s="5" t="s">
        <v>46</v>
      </c>
      <c r="C101" s="6">
        <v>75961.87</v>
      </c>
    </row>
    <row r="102" spans="2:3" x14ac:dyDescent="0.25">
      <c r="B102" s="5" t="s">
        <v>53</v>
      </c>
      <c r="C102" s="6">
        <v>29613.57</v>
      </c>
    </row>
    <row r="103" spans="2:3" x14ac:dyDescent="0.25">
      <c r="B103" s="5" t="s">
        <v>60</v>
      </c>
      <c r="C103" s="6">
        <v>113343.36</v>
      </c>
    </row>
    <row r="104" spans="2:3" x14ac:dyDescent="0.25">
      <c r="B104" s="5" t="s">
        <v>67</v>
      </c>
      <c r="C104" s="6">
        <v>92983.81</v>
      </c>
    </row>
    <row r="105" spans="2:3" x14ac:dyDescent="0.25">
      <c r="B105" s="5" t="s">
        <v>74</v>
      </c>
      <c r="C105" s="6">
        <v>347034.06</v>
      </c>
    </row>
    <row r="106" spans="2:3" x14ac:dyDescent="0.25">
      <c r="B106" s="5" t="s">
        <v>81</v>
      </c>
      <c r="C106" s="6">
        <v>43130.42</v>
      </c>
    </row>
    <row r="107" spans="2:3" x14ac:dyDescent="0.25">
      <c r="B107" s="5" t="s">
        <v>88</v>
      </c>
      <c r="C107" s="6">
        <v>34189.42</v>
      </c>
    </row>
    <row r="108" spans="2:3" x14ac:dyDescent="0.25">
      <c r="B108" s="5" t="s">
        <v>95</v>
      </c>
      <c r="C108" s="6">
        <v>222722.74</v>
      </c>
    </row>
    <row r="109" spans="2:3" x14ac:dyDescent="0.25">
      <c r="B109" s="5" t="s">
        <v>102</v>
      </c>
      <c r="C109" s="6">
        <v>291480.27</v>
      </c>
    </row>
    <row r="110" spans="2:3" x14ac:dyDescent="0.25">
      <c r="B110" s="5" t="s">
        <v>109</v>
      </c>
      <c r="C110" s="6">
        <v>17478.259999999998</v>
      </c>
    </row>
    <row r="111" spans="2:3" x14ac:dyDescent="0.25">
      <c r="B111" s="5" t="s">
        <v>116</v>
      </c>
      <c r="C111" s="6">
        <v>43684.25</v>
      </c>
    </row>
    <row r="112" spans="2:3" x14ac:dyDescent="0.25">
      <c r="B112" s="5" t="s">
        <v>123</v>
      </c>
      <c r="C112" s="6">
        <v>84869.22</v>
      </c>
    </row>
    <row r="113" spans="2:3" x14ac:dyDescent="0.25">
      <c r="B113" s="5" t="s">
        <v>130</v>
      </c>
      <c r="C113" s="6">
        <v>16951.68</v>
      </c>
    </row>
    <row r="114" spans="2:3" x14ac:dyDescent="0.25">
      <c r="B114" s="5" t="s">
        <v>135</v>
      </c>
      <c r="C114" s="6">
        <v>18200.34</v>
      </c>
    </row>
    <row r="115" spans="2:3" x14ac:dyDescent="0.25">
      <c r="B115" s="5" t="s">
        <v>140</v>
      </c>
      <c r="C115" s="6">
        <v>8270.02</v>
      </c>
    </row>
    <row r="116" spans="2:3" x14ac:dyDescent="0.25">
      <c r="B116" s="5" t="s">
        <v>145</v>
      </c>
      <c r="C116" s="6">
        <v>917767.11</v>
      </c>
    </row>
    <row r="117" spans="2:3" x14ac:dyDescent="0.25">
      <c r="B117" s="5" t="s">
        <v>150</v>
      </c>
      <c r="C117" s="6">
        <v>382564.22</v>
      </c>
    </row>
    <row r="118" spans="2:3" x14ac:dyDescent="0.25">
      <c r="B118" s="5" t="s">
        <v>155</v>
      </c>
      <c r="C118" s="6">
        <v>2173835.81</v>
      </c>
    </row>
    <row r="119" spans="2:3" x14ac:dyDescent="0.25">
      <c r="B119" s="5" t="s">
        <v>162</v>
      </c>
      <c r="C119" s="6">
        <v>90097.77</v>
      </c>
    </row>
    <row r="120" spans="2:3" x14ac:dyDescent="0.25">
      <c r="B120" s="5" t="s">
        <v>166</v>
      </c>
      <c r="C120" s="6">
        <v>140934.07999999999</v>
      </c>
    </row>
    <row r="121" spans="2:3" x14ac:dyDescent="0.25">
      <c r="B121" s="5" t="s">
        <v>170</v>
      </c>
      <c r="C121" s="6">
        <v>72972.02</v>
      </c>
    </row>
    <row r="122" spans="2:3" x14ac:dyDescent="0.25">
      <c r="B122" s="5" t="s">
        <v>174</v>
      </c>
      <c r="C122" s="6">
        <v>14204.58</v>
      </c>
    </row>
    <row r="123" spans="2:3" x14ac:dyDescent="0.25">
      <c r="B123" s="5" t="s">
        <v>180</v>
      </c>
      <c r="C123" s="6">
        <v>190741.26</v>
      </c>
    </row>
    <row r="124" spans="2:3" x14ac:dyDescent="0.25">
      <c r="B124" s="5" t="s">
        <v>182</v>
      </c>
      <c r="C124" s="6">
        <v>114965.29</v>
      </c>
    </row>
    <row r="126" spans="2:3" ht="15.75" x14ac:dyDescent="0.25">
      <c r="B126" s="92" t="s">
        <v>12</v>
      </c>
      <c r="C126" s="91" t="s">
        <v>1599</v>
      </c>
    </row>
    <row r="127" spans="2:3" x14ac:dyDescent="0.25">
      <c r="B127" s="5" t="s">
        <v>21</v>
      </c>
      <c r="C127" s="6">
        <v>4039.84</v>
      </c>
    </row>
    <row r="128" spans="2:3" x14ac:dyDescent="0.25">
      <c r="B128" s="5" t="s">
        <v>30</v>
      </c>
      <c r="C128" s="6">
        <v>534790.72</v>
      </c>
    </row>
    <row r="129" spans="2:3" x14ac:dyDescent="0.25">
      <c r="B129" s="5" t="s">
        <v>39</v>
      </c>
      <c r="C129" s="6">
        <v>671370.08</v>
      </c>
    </row>
    <row r="130" spans="2:3" x14ac:dyDescent="0.25">
      <c r="B130" s="5" t="s">
        <v>47</v>
      </c>
      <c r="C130" s="6">
        <v>37634.53</v>
      </c>
    </row>
    <row r="131" spans="2:3" x14ac:dyDescent="0.25">
      <c r="B131" s="5" t="s">
        <v>54</v>
      </c>
      <c r="C131" s="6">
        <v>424524.72</v>
      </c>
    </row>
    <row r="132" spans="2:3" x14ac:dyDescent="0.25">
      <c r="B132" s="5" t="s">
        <v>61</v>
      </c>
      <c r="C132" s="6">
        <v>298696.96000000002</v>
      </c>
    </row>
    <row r="133" spans="2:3" x14ac:dyDescent="0.25">
      <c r="B133" s="5" t="s">
        <v>68</v>
      </c>
      <c r="C133" s="6">
        <v>3160442.62</v>
      </c>
    </row>
    <row r="134" spans="2:3" x14ac:dyDescent="0.25">
      <c r="B134" s="5" t="s">
        <v>75</v>
      </c>
      <c r="C134" s="6">
        <v>4685592.58</v>
      </c>
    </row>
    <row r="135" spans="2:3" x14ac:dyDescent="0.25">
      <c r="B135" s="5" t="s">
        <v>82</v>
      </c>
      <c r="C135" s="6">
        <v>256238.37</v>
      </c>
    </row>
    <row r="136" spans="2:3" x14ac:dyDescent="0.25">
      <c r="B136" s="5" t="s">
        <v>89</v>
      </c>
      <c r="C136" s="6">
        <v>4430</v>
      </c>
    </row>
    <row r="137" spans="2:3" x14ac:dyDescent="0.25">
      <c r="B137" s="5" t="s">
        <v>96</v>
      </c>
      <c r="C137" s="6">
        <v>33255.18</v>
      </c>
    </row>
    <row r="138" spans="2:3" x14ac:dyDescent="0.25">
      <c r="B138" s="5" t="s">
        <v>103</v>
      </c>
      <c r="C138" s="6">
        <v>609157.46</v>
      </c>
    </row>
    <row r="139" spans="2:3" x14ac:dyDescent="0.25">
      <c r="B139" s="5" t="s">
        <v>110</v>
      </c>
      <c r="C139" s="6">
        <v>7431.26</v>
      </c>
    </row>
    <row r="140" spans="2:3" x14ac:dyDescent="0.25">
      <c r="B140" s="5" t="s">
        <v>117</v>
      </c>
      <c r="C140" s="6">
        <v>2380825.08</v>
      </c>
    </row>
    <row r="141" spans="2:3" x14ac:dyDescent="0.25">
      <c r="B141" s="5" t="s">
        <v>124</v>
      </c>
      <c r="C141" s="6">
        <v>8700</v>
      </c>
    </row>
    <row r="142" spans="2:3" x14ac:dyDescent="0.25">
      <c r="B142" s="5" t="s">
        <v>131</v>
      </c>
      <c r="C142" s="6">
        <v>8239.3799999999992</v>
      </c>
    </row>
    <row r="143" spans="2:3" x14ac:dyDescent="0.25">
      <c r="B143" s="5" t="s">
        <v>136</v>
      </c>
      <c r="C143" s="6">
        <v>93279.85</v>
      </c>
    </row>
    <row r="144" spans="2:3" x14ac:dyDescent="0.25">
      <c r="B144" s="5" t="s">
        <v>141</v>
      </c>
      <c r="C144" s="6">
        <v>24971.57</v>
      </c>
    </row>
    <row r="145" spans="2:3" x14ac:dyDescent="0.25">
      <c r="B145" s="5" t="s">
        <v>146</v>
      </c>
      <c r="C145" s="6">
        <v>1214927.7</v>
      </c>
    </row>
    <row r="146" spans="2:3" x14ac:dyDescent="0.25">
      <c r="B146" s="5" t="s">
        <v>151</v>
      </c>
      <c r="C146" s="6">
        <v>483592.65</v>
      </c>
    </row>
    <row r="147" spans="2:3" x14ac:dyDescent="0.25">
      <c r="B147" s="5" t="s">
        <v>156</v>
      </c>
      <c r="C147" s="6">
        <v>313271.19</v>
      </c>
    </row>
    <row r="148" spans="2:3" x14ac:dyDescent="0.25">
      <c r="B148" s="5" t="s">
        <v>159</v>
      </c>
      <c r="C148" s="6">
        <v>1725671.65</v>
      </c>
    </row>
    <row r="149" spans="2:3" x14ac:dyDescent="0.25">
      <c r="B149" s="5" t="s">
        <v>163</v>
      </c>
      <c r="C149" s="6">
        <v>603715.22</v>
      </c>
    </row>
    <row r="150" spans="2:3" x14ac:dyDescent="0.25">
      <c r="B150" s="5" t="s">
        <v>167</v>
      </c>
      <c r="C150" s="6">
        <v>936564.2</v>
      </c>
    </row>
    <row r="151" spans="2:3" x14ac:dyDescent="0.25">
      <c r="B151" s="5" t="s">
        <v>171</v>
      </c>
      <c r="C151" s="6">
        <v>1359123.77</v>
      </c>
    </row>
    <row r="152" spans="2:3" x14ac:dyDescent="0.25">
      <c r="B152" s="5" t="s">
        <v>175</v>
      </c>
      <c r="C152" s="6">
        <v>3686033.04</v>
      </c>
    </row>
    <row r="154" spans="2:3" ht="15.75" x14ac:dyDescent="0.25">
      <c r="B154" s="92" t="s">
        <v>13</v>
      </c>
      <c r="C154" s="91" t="s">
        <v>1599</v>
      </c>
    </row>
    <row r="155" spans="2:3" x14ac:dyDescent="0.25">
      <c r="B155" s="5" t="s">
        <v>22</v>
      </c>
      <c r="C155" s="6">
        <v>2243636.83</v>
      </c>
    </row>
    <row r="156" spans="2:3" x14ac:dyDescent="0.25">
      <c r="B156" s="95" t="s">
        <v>31</v>
      </c>
      <c r="C156" s="6">
        <v>28750956.129999999</v>
      </c>
    </row>
    <row r="158" spans="2:3" ht="15.75" x14ac:dyDescent="0.25">
      <c r="B158" s="92" t="s">
        <v>15</v>
      </c>
      <c r="C158" s="91" t="s">
        <v>1599</v>
      </c>
    </row>
    <row r="159" spans="2:3" x14ac:dyDescent="0.25">
      <c r="B159" s="5" t="s">
        <v>24</v>
      </c>
      <c r="C159" s="6">
        <v>638365.46</v>
      </c>
    </row>
    <row r="160" spans="2:3" x14ac:dyDescent="0.25">
      <c r="B160" s="5" t="s">
        <v>33</v>
      </c>
      <c r="C160" s="6">
        <v>3203.63</v>
      </c>
    </row>
    <row r="161" spans="2:3" x14ac:dyDescent="0.25">
      <c r="B161" s="5" t="s">
        <v>41</v>
      </c>
      <c r="C161" s="6">
        <v>54881.33</v>
      </c>
    </row>
    <row r="162" spans="2:3" x14ac:dyDescent="0.25">
      <c r="B162" s="5" t="s">
        <v>49</v>
      </c>
      <c r="C162" s="6">
        <v>2185821.65</v>
      </c>
    </row>
    <row r="163" spans="2:3" x14ac:dyDescent="0.25">
      <c r="B163" s="5" t="s">
        <v>56</v>
      </c>
      <c r="C163" s="6">
        <v>330267.14</v>
      </c>
    </row>
    <row r="164" spans="2:3" x14ac:dyDescent="0.25">
      <c r="B164" s="5" t="s">
        <v>63</v>
      </c>
      <c r="C164" s="6">
        <v>418818.15</v>
      </c>
    </row>
    <row r="165" spans="2:3" x14ac:dyDescent="0.25">
      <c r="B165" s="5" t="s">
        <v>70</v>
      </c>
      <c r="C165" s="6">
        <v>95350.42</v>
      </c>
    </row>
    <row r="166" spans="2:3" x14ac:dyDescent="0.25">
      <c r="B166" s="5" t="s">
        <v>77</v>
      </c>
      <c r="C166" s="6">
        <v>124676.07</v>
      </c>
    </row>
    <row r="167" spans="2:3" x14ac:dyDescent="0.25">
      <c r="B167" s="5" t="s">
        <v>84</v>
      </c>
      <c r="C167" s="6">
        <v>35364.959999999999</v>
      </c>
    </row>
    <row r="168" spans="2:3" x14ac:dyDescent="0.25">
      <c r="B168" s="5" t="s">
        <v>91</v>
      </c>
      <c r="C168" s="6">
        <v>113199.58</v>
      </c>
    </row>
    <row r="169" spans="2:3" x14ac:dyDescent="0.25">
      <c r="B169" s="5" t="s">
        <v>98</v>
      </c>
      <c r="C169" s="6">
        <v>24662.71</v>
      </c>
    </row>
    <row r="170" spans="2:3" x14ac:dyDescent="0.25">
      <c r="B170" s="5" t="s">
        <v>105</v>
      </c>
      <c r="C170" s="6">
        <v>37093.57</v>
      </c>
    </row>
    <row r="171" spans="2:3" x14ac:dyDescent="0.25">
      <c r="B171" s="5" t="s">
        <v>112</v>
      </c>
      <c r="C171" s="6">
        <v>1856365.62</v>
      </c>
    </row>
    <row r="172" spans="2:3" x14ac:dyDescent="0.25">
      <c r="B172" s="5" t="s">
        <v>119</v>
      </c>
      <c r="C172" s="6">
        <v>19693.98</v>
      </c>
    </row>
    <row r="173" spans="2:3" x14ac:dyDescent="0.25">
      <c r="B173" s="5" t="s">
        <v>126</v>
      </c>
      <c r="C173" s="6">
        <v>86523.96</v>
      </c>
    </row>
    <row r="174" spans="2:3" x14ac:dyDescent="0.25">
      <c r="B174" s="5" t="s">
        <v>132</v>
      </c>
      <c r="C174" s="6">
        <v>44458.12</v>
      </c>
    </row>
    <row r="175" spans="2:3" x14ac:dyDescent="0.25">
      <c r="B175" s="5" t="s">
        <v>137</v>
      </c>
      <c r="C175" s="6">
        <v>289221.96999999997</v>
      </c>
    </row>
    <row r="176" spans="2:3" x14ac:dyDescent="0.25">
      <c r="B176" s="5" t="s">
        <v>142</v>
      </c>
      <c r="C176" s="6">
        <v>4416.78</v>
      </c>
    </row>
    <row r="177" spans="2:3" x14ac:dyDescent="0.25">
      <c r="B177" s="5" t="s">
        <v>147</v>
      </c>
      <c r="C177" s="6">
        <v>80961.509999999995</v>
      </c>
    </row>
    <row r="178" spans="2:3" x14ac:dyDescent="0.25">
      <c r="B178" s="5" t="s">
        <v>152</v>
      </c>
      <c r="C178" s="6">
        <v>119802.96</v>
      </c>
    </row>
    <row r="180" spans="2:3" ht="15.75" x14ac:dyDescent="0.25">
      <c r="B180" s="92" t="s">
        <v>14</v>
      </c>
      <c r="C180" s="91" t="s">
        <v>1599</v>
      </c>
    </row>
    <row r="181" spans="2:3" x14ac:dyDescent="0.25">
      <c r="B181" s="5" t="s">
        <v>23</v>
      </c>
      <c r="C181" s="6">
        <v>4265.6499999999996</v>
      </c>
    </row>
    <row r="182" spans="2:3" x14ac:dyDescent="0.25">
      <c r="B182" s="5" t="s">
        <v>32</v>
      </c>
      <c r="C182" s="6">
        <v>15832.8</v>
      </c>
    </row>
    <row r="183" spans="2:3" x14ac:dyDescent="0.25">
      <c r="B183" s="5" t="s">
        <v>40</v>
      </c>
      <c r="C183" s="6">
        <v>7498.05</v>
      </c>
    </row>
    <row r="184" spans="2:3" x14ac:dyDescent="0.25">
      <c r="B184" s="5" t="s">
        <v>48</v>
      </c>
      <c r="C184" s="6">
        <v>9233.6</v>
      </c>
    </row>
    <row r="185" spans="2:3" x14ac:dyDescent="0.25">
      <c r="B185" s="5" t="s">
        <v>55</v>
      </c>
      <c r="C185" s="6">
        <v>7241.24</v>
      </c>
    </row>
    <row r="186" spans="2:3" x14ac:dyDescent="0.25">
      <c r="B186" s="5" t="s">
        <v>62</v>
      </c>
      <c r="C186" s="6">
        <v>107352</v>
      </c>
    </row>
    <row r="187" spans="2:3" x14ac:dyDescent="0.25">
      <c r="B187" s="5" t="s">
        <v>69</v>
      </c>
      <c r="C187" s="6">
        <v>3561.18</v>
      </c>
    </row>
    <row r="188" spans="2:3" x14ac:dyDescent="0.25">
      <c r="B188" s="5" t="s">
        <v>76</v>
      </c>
      <c r="C188" s="6">
        <v>124282.25</v>
      </c>
    </row>
    <row r="189" spans="2:3" x14ac:dyDescent="0.25">
      <c r="B189" s="5" t="s">
        <v>83</v>
      </c>
      <c r="C189" s="6">
        <v>25224.15</v>
      </c>
    </row>
    <row r="190" spans="2:3" x14ac:dyDescent="0.25">
      <c r="B190" s="5" t="s">
        <v>90</v>
      </c>
      <c r="C190" s="6">
        <v>22014.400000000001</v>
      </c>
    </row>
    <row r="191" spans="2:3" x14ac:dyDescent="0.25">
      <c r="B191" s="5" t="s">
        <v>97</v>
      </c>
      <c r="C191" s="6">
        <v>84.5</v>
      </c>
    </row>
    <row r="192" spans="2:3" x14ac:dyDescent="0.25">
      <c r="B192" s="5" t="s">
        <v>104</v>
      </c>
      <c r="C192" s="6">
        <v>1797.84</v>
      </c>
    </row>
    <row r="193" spans="2:3" x14ac:dyDescent="0.25">
      <c r="B193" s="5" t="s">
        <v>111</v>
      </c>
      <c r="C193" s="6">
        <v>1157.21</v>
      </c>
    </row>
    <row r="194" spans="2:3" x14ac:dyDescent="0.25">
      <c r="B194" s="5" t="s">
        <v>118</v>
      </c>
      <c r="C194" s="6">
        <v>25633.54</v>
      </c>
    </row>
    <row r="195" spans="2:3" x14ac:dyDescent="0.25">
      <c r="B195" s="5" t="s">
        <v>125</v>
      </c>
      <c r="C195" s="6">
        <v>1745.38</v>
      </c>
    </row>
    <row r="197" spans="2:3" ht="15.75" x14ac:dyDescent="0.25">
      <c r="B197" s="92" t="s">
        <v>16</v>
      </c>
      <c r="C197" s="91" t="s">
        <v>1599</v>
      </c>
    </row>
    <row r="198" spans="2:3" x14ac:dyDescent="0.25">
      <c r="B198" s="5" t="s">
        <v>25</v>
      </c>
      <c r="C198" s="6">
        <v>1757022.45</v>
      </c>
    </row>
    <row r="199" spans="2:3" x14ac:dyDescent="0.25">
      <c r="B199" s="5" t="s">
        <v>34</v>
      </c>
      <c r="C199" s="6">
        <v>684.2</v>
      </c>
    </row>
    <row r="200" spans="2:3" x14ac:dyDescent="0.25">
      <c r="B200" s="5" t="s">
        <v>42</v>
      </c>
      <c r="C200" s="6">
        <v>260172.39</v>
      </c>
    </row>
  </sheetData>
  <conditionalFormatting sqref="B156">
    <cfRule type="containsText" dxfId="10" priority="11" operator="containsText" text="NA">
      <formula>NOT(ISERROR(SEARCH("NA",B156)))</formula>
    </cfRule>
  </conditionalFormatting>
  <conditionalFormatting sqref="B96:C96">
    <cfRule type="containsText" dxfId="9" priority="12" operator="containsText" text="NA">
      <formula>NOT(ISERROR(SEARCH("NA",B96)))</formula>
    </cfRule>
  </conditionalFormatting>
  <conditionalFormatting sqref="C7:C33">
    <cfRule type="containsText" dxfId="8" priority="1" operator="containsText" text="NA">
      <formula>NOT(ISERROR(SEARCH("NA",C7)))</formula>
    </cfRule>
  </conditionalFormatting>
  <conditionalFormatting sqref="C36:C51">
    <cfRule type="containsText" dxfId="7" priority="9" operator="containsText" text="NA">
      <formula>NOT(ISERROR(SEARCH("NA",C36)))</formula>
    </cfRule>
  </conditionalFormatting>
  <conditionalFormatting sqref="C54:C95">
    <cfRule type="containsText" dxfId="6" priority="8" operator="containsText" text="NA">
      <formula>NOT(ISERROR(SEARCH("NA",C54)))</formula>
    </cfRule>
  </conditionalFormatting>
  <conditionalFormatting sqref="C98:C124">
    <cfRule type="containsText" dxfId="5" priority="7" operator="containsText" text="NA">
      <formula>NOT(ISERROR(SEARCH("NA",C98)))</formula>
    </cfRule>
  </conditionalFormatting>
  <conditionalFormatting sqref="C127:C152">
    <cfRule type="containsText" dxfId="4" priority="6" operator="containsText" text="NA">
      <formula>NOT(ISERROR(SEARCH("NA",C127)))</formula>
    </cfRule>
  </conditionalFormatting>
  <conditionalFormatting sqref="C155:C156">
    <cfRule type="containsText" dxfId="3" priority="5" operator="containsText" text="NA">
      <formula>NOT(ISERROR(SEARCH("NA",C155)))</formula>
    </cfRule>
  </conditionalFormatting>
  <conditionalFormatting sqref="C159:C178">
    <cfRule type="containsText" dxfId="2" priority="4" operator="containsText" text="NA">
      <formula>NOT(ISERROR(SEARCH("NA",C159)))</formula>
    </cfRule>
  </conditionalFormatting>
  <conditionalFormatting sqref="C181:C195">
    <cfRule type="containsText" dxfId="1" priority="3" operator="containsText" text="NA">
      <formula>NOT(ISERROR(SEARCH("NA",C181)))</formula>
    </cfRule>
  </conditionalFormatting>
  <conditionalFormatting sqref="C198:C200">
    <cfRule type="containsText" dxfId="0" priority="2" operator="containsText" text="NA">
      <formula>NOT(ISERROR(SEARCH("NA",C198)))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ERPcalc</vt:lpstr>
      <vt:lpstr>RelativeVolatility</vt:lpstr>
      <vt:lpstr>ERPsCRPs&amp;Spreads</vt:lpstr>
      <vt:lpstr>CtryERP&amp;CRP</vt:lpstr>
      <vt:lpstr>RegionalERP</vt:lpstr>
      <vt:lpstr>Data&gt;</vt:lpstr>
      <vt:lpstr>Ratings&amp;PRS</vt:lpstr>
      <vt:lpstr>RegionLookup</vt:lpstr>
      <vt:lpstr>CDS</vt:lpstr>
      <vt:lpstr>GDP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Prakash</dc:creator>
  <cp:lastModifiedBy>Jay Prakash</cp:lastModifiedBy>
  <cp:lastPrinted>2025-11-24T12:23:25Z</cp:lastPrinted>
  <dcterms:created xsi:type="dcterms:W3CDTF">2025-11-24T06:27:34Z</dcterms:created>
  <dcterms:modified xsi:type="dcterms:W3CDTF">2026-05-23T12:57:23Z</dcterms:modified>
  <cp:contentStatus/>
</cp:coreProperties>
</file>