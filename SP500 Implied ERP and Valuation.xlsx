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yp\Downloads\"/>
    </mc:Choice>
  </mc:AlternateContent>
  <xr:revisionPtr revIDLastSave="0" documentId="8_{E2DC1200-7F24-4216-9581-B52A9FC47FAA}" xr6:coauthVersionLast="47" xr6:coauthVersionMax="47" xr10:uidLastSave="{00000000-0000-0000-0000-000000000000}"/>
  <bookViews>
    <workbookView xWindow="-120" yWindow="-120" windowWidth="24240" windowHeight="13020" activeTab="1" xr2:uid="{7242BAC6-60E7-4715-89CA-2AECF5622E92}"/>
  </bookViews>
  <sheets>
    <sheet name="Readme" sheetId="5" r:id="rId1"/>
    <sheet name="Calc" sheetId="4" r:id="rId2"/>
    <sheet name="Yield" sheetId="1" r:id="rId3"/>
    <sheet name="Growth" sheetId="2" r:id="rId4"/>
    <sheet name="RiskPrem" sheetId="3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I7" i="1"/>
  <c r="D26" i="4"/>
  <c r="D25" i="4" s="1"/>
  <c r="E24" i="4"/>
  <c r="I9" i="4"/>
  <c r="D16" i="4"/>
  <c r="D30" i="2" l="1"/>
  <c r="I8" i="4"/>
  <c r="D24" i="4"/>
  <c r="D41" i="4" s="1"/>
  <c r="L39" i="1"/>
  <c r="F39" i="1"/>
  <c r="H39" i="1" s="1"/>
  <c r="E39" i="1"/>
  <c r="I39" i="1" s="1"/>
  <c r="D39" i="1"/>
  <c r="M39" i="1" s="1"/>
  <c r="J8" i="1"/>
  <c r="I8" i="1"/>
  <c r="J13" i="1"/>
  <c r="J12" i="1"/>
  <c r="J11" i="1"/>
  <c r="J10" i="1"/>
  <c r="J9" i="1"/>
  <c r="M26" i="1"/>
  <c r="M25" i="1"/>
  <c r="M24" i="1"/>
  <c r="M23" i="1"/>
  <c r="M22" i="1"/>
  <c r="M29" i="1" s="1"/>
  <c r="M21" i="1"/>
  <c r="M20" i="1"/>
  <c r="M19" i="1"/>
  <c r="M18" i="1"/>
  <c r="M17" i="1"/>
  <c r="M28" i="1" s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G39" i="1" l="1"/>
  <c r="K39" i="1" s="1"/>
  <c r="I15" i="4"/>
  <c r="J39" i="1"/>
  <c r="L5" i="3" l="1"/>
  <c r="AA14" i="4"/>
  <c r="AA13" i="4" s="1"/>
  <c r="AA12" i="4" s="1"/>
  <c r="AA11" i="4" s="1"/>
  <c r="AA10" i="4" s="1"/>
  <c r="AA9" i="4" s="1"/>
  <c r="AA8" i="4" s="1"/>
  <c r="I25" i="1"/>
  <c r="D19" i="4"/>
  <c r="J26" i="1"/>
  <c r="D36" i="4"/>
  <c r="D37" i="4" s="1"/>
  <c r="H27" i="3"/>
  <c r="H26" i="3"/>
  <c r="C4" i="2"/>
  <c r="C3" i="2"/>
  <c r="E30" i="2"/>
  <c r="D28" i="2"/>
  <c r="D19" i="2"/>
  <c r="H3" i="3"/>
  <c r="G4" i="3"/>
  <c r="H4" i="3" s="1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3" i="1"/>
  <c r="I26" i="1"/>
  <c r="J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I13" i="1"/>
  <c r="I12" i="1"/>
  <c r="I11" i="1"/>
  <c r="I10" i="1"/>
  <c r="I9" i="1"/>
  <c r="J6" i="1"/>
  <c r="I6" i="1"/>
  <c r="J5" i="1"/>
  <c r="I5" i="1"/>
  <c r="J4" i="1"/>
  <c r="I4" i="1"/>
  <c r="J3" i="1"/>
  <c r="I3" i="1"/>
  <c r="AA7" i="4" l="1"/>
  <c r="AA6" i="4" s="1"/>
  <c r="AA5" i="4" s="1"/>
  <c r="AA4" i="4" s="1"/>
  <c r="E29" i="4"/>
  <c r="G28" i="1"/>
  <c r="G29" i="1"/>
  <c r="I7" i="4"/>
  <c r="K3" i="1"/>
  <c r="C8" i="2"/>
  <c r="C5" i="2" s="1"/>
  <c r="L3" i="3"/>
  <c r="G5" i="3"/>
  <c r="C6" i="2" l="1"/>
  <c r="C7" i="2" s="1"/>
  <c r="C9" i="2" s="1"/>
  <c r="E46" i="4"/>
  <c r="F29" i="4"/>
  <c r="G29" i="4" s="1"/>
  <c r="H29" i="4" s="1"/>
  <c r="I29" i="4" s="1"/>
  <c r="I46" i="4" s="1"/>
  <c r="G6" i="3"/>
  <c r="H5" i="3"/>
  <c r="G7" i="3" l="1"/>
  <c r="H6" i="3"/>
  <c r="G8" i="3" l="1"/>
  <c r="H7" i="3"/>
  <c r="G9" i="3" l="1"/>
  <c r="H8" i="3"/>
  <c r="G10" i="3" l="1"/>
  <c r="H9" i="3"/>
  <c r="G11" i="3" l="1"/>
  <c r="H10" i="3"/>
  <c r="G12" i="3" l="1"/>
  <c r="H11" i="3"/>
  <c r="G13" i="3" l="1"/>
  <c r="H12" i="3"/>
  <c r="G14" i="3" l="1"/>
  <c r="H13" i="3"/>
  <c r="G15" i="3" l="1"/>
  <c r="H14" i="3"/>
  <c r="G16" i="3" l="1"/>
  <c r="H15" i="3"/>
  <c r="G17" i="3" l="1"/>
  <c r="H16" i="3"/>
  <c r="G18" i="3" l="1"/>
  <c r="H17" i="3"/>
  <c r="G19" i="3" l="1"/>
  <c r="H18" i="3"/>
  <c r="G20" i="3" l="1"/>
  <c r="H19" i="3"/>
  <c r="G21" i="3" l="1"/>
  <c r="H20" i="3"/>
  <c r="G22" i="3" l="1"/>
  <c r="H21" i="3"/>
  <c r="G23" i="3" l="1"/>
  <c r="H22" i="3"/>
  <c r="G24" i="3" l="1"/>
  <c r="H23" i="3"/>
  <c r="G25" i="3" l="1"/>
  <c r="H24" i="3"/>
  <c r="G26" i="3" l="1"/>
  <c r="H25" i="3"/>
  <c r="L4" i="3" l="1"/>
  <c r="E25" i="2" l="1"/>
  <c r="F40" i="4" l="1"/>
  <c r="G40" i="4" s="1"/>
  <c r="H40" i="4" s="1"/>
  <c r="I40" i="4" s="1"/>
  <c r="B42" i="4"/>
  <c r="B25" i="4"/>
  <c r="F23" i="4"/>
  <c r="G23" i="4" s="1"/>
  <c r="H23" i="4" s="1"/>
  <c r="I23" i="4" s="1"/>
  <c r="J28" i="1" l="1"/>
  <c r="D9" i="4" s="1"/>
  <c r="J29" i="1"/>
  <c r="I16" i="4" l="1"/>
  <c r="E25" i="4" l="1"/>
  <c r="F25" i="4" s="1"/>
  <c r="G25" i="4" s="1"/>
  <c r="H25" i="4" s="1"/>
  <c r="I25" i="4" s="1"/>
  <c r="D43" i="4"/>
  <c r="D42" i="4" s="1"/>
  <c r="E42" i="4" s="1"/>
  <c r="F42" i="4" s="1"/>
  <c r="G42" i="4" s="1"/>
  <c r="H42" i="4" s="1"/>
  <c r="I42" i="4" s="1"/>
  <c r="J42" i="4" s="1"/>
  <c r="G46" i="4" l="1"/>
  <c r="F46" i="4"/>
  <c r="H46" i="4"/>
  <c r="J25" i="4"/>
  <c r="D22" i="2" l="1"/>
  <c r="E16" i="2"/>
  <c r="D16" i="2"/>
  <c r="E13" i="2"/>
  <c r="D13" i="2"/>
  <c r="B4" i="2"/>
  <c r="B5" i="2" s="1"/>
  <c r="B6" i="2" s="1"/>
  <c r="B7" i="2" s="1"/>
  <c r="B8" i="2" s="1"/>
  <c r="H26" i="1"/>
  <c r="K26" i="1" s="1"/>
  <c r="H25" i="1"/>
  <c r="K25" i="1" s="1"/>
  <c r="H24" i="1"/>
  <c r="K24" i="1" s="1"/>
  <c r="H23" i="1"/>
  <c r="H22" i="1"/>
  <c r="H21" i="1"/>
  <c r="K21" i="1" s="1"/>
  <c r="H20" i="1"/>
  <c r="K20" i="1" s="1"/>
  <c r="H19" i="1"/>
  <c r="K19" i="1" s="1"/>
  <c r="H18" i="1"/>
  <c r="H17" i="1"/>
  <c r="H16" i="1"/>
  <c r="K16" i="1" s="1"/>
  <c r="H15" i="1"/>
  <c r="K15" i="1" s="1"/>
  <c r="H14" i="1"/>
  <c r="K14" i="1" s="1"/>
  <c r="H13" i="1"/>
  <c r="K13" i="1" s="1"/>
  <c r="H12" i="1"/>
  <c r="K12" i="1" s="1"/>
  <c r="H11" i="1"/>
  <c r="K11" i="1" s="1"/>
  <c r="H10" i="1"/>
  <c r="K10" i="1" s="1"/>
  <c r="H9" i="1"/>
  <c r="K9" i="1" s="1"/>
  <c r="H8" i="1"/>
  <c r="K8" i="1" s="1"/>
  <c r="H7" i="1"/>
  <c r="K7" i="1" s="1"/>
  <c r="H6" i="1"/>
  <c r="K6" i="1" s="1"/>
  <c r="H5" i="1"/>
  <c r="K5" i="1" s="1"/>
  <c r="H4" i="1"/>
  <c r="K22" i="1" l="1"/>
  <c r="H29" i="1"/>
  <c r="K17" i="1"/>
  <c r="H28" i="1"/>
  <c r="K28" i="1" s="1"/>
  <c r="K4" i="1"/>
  <c r="K18" i="1"/>
  <c r="K23" i="1"/>
  <c r="K29" i="1"/>
  <c r="D25" i="2"/>
  <c r="I14" i="4" l="1"/>
  <c r="F24" i="4" s="1"/>
  <c r="G24" i="4" s="1"/>
  <c r="H24" i="4" s="1"/>
  <c r="I24" i="4" s="1"/>
  <c r="J24" i="4" s="1"/>
  <c r="I26" i="4" l="1"/>
  <c r="E41" i="4"/>
  <c r="E43" i="4" s="1"/>
  <c r="E47" i="4" s="1"/>
  <c r="J26" i="4" l="1"/>
  <c r="I27" i="4" s="1"/>
  <c r="I30" i="4" s="1"/>
  <c r="J41" i="4"/>
  <c r="J43" i="4" s="1"/>
  <c r="I44" i="4" s="1"/>
  <c r="F41" i="4"/>
  <c r="F43" i="4" s="1"/>
  <c r="F47" i="4" s="1"/>
  <c r="E26" i="4"/>
  <c r="E30" i="4" s="1"/>
  <c r="F26" i="4" l="1"/>
  <c r="F30" i="4" s="1"/>
  <c r="G26" i="4"/>
  <c r="G30" i="4" s="1"/>
  <c r="G41" i="4"/>
  <c r="G43" i="4" s="1"/>
  <c r="G47" i="4" s="1"/>
  <c r="I41" i="4"/>
  <c r="I43" i="4" s="1"/>
  <c r="I47" i="4" s="1"/>
  <c r="H26" i="4" l="1"/>
  <c r="H30" i="4" s="1"/>
  <c r="H41" i="4"/>
  <c r="H43" i="4" s="1"/>
  <c r="H47" i="4" s="1"/>
  <c r="J32" i="4" l="1"/>
  <c r="J49" i="4"/>
</calcChain>
</file>

<file path=xl/sharedStrings.xml><?xml version="1.0" encoding="utf-8"?>
<sst xmlns="http://schemas.openxmlformats.org/spreadsheetml/2006/main" count="142" uniqueCount="110">
  <si>
    <t>Year</t>
    <phoneticPr fontId="2" type="noConversion"/>
  </si>
  <si>
    <t>Market value of index</t>
    <phoneticPr fontId="2" type="noConversion"/>
  </si>
  <si>
    <t>Earnings</t>
  </si>
  <si>
    <t>Buybacks</t>
    <phoneticPr fontId="2" type="noConversion"/>
  </si>
  <si>
    <t>Cash to equity</t>
    <phoneticPr fontId="2" type="noConversion"/>
  </si>
  <si>
    <t>Buyback yield</t>
    <phoneticPr fontId="2" type="noConversion"/>
  </si>
  <si>
    <t>Gross Cash Yield</t>
  </si>
  <si>
    <t>Consensus Estimates</t>
  </si>
  <si>
    <t>Source</t>
  </si>
  <si>
    <t>FY25A EPS</t>
  </si>
  <si>
    <t>FY26E EPS</t>
  </si>
  <si>
    <t>FY27E EPS</t>
  </si>
  <si>
    <t>Consensus avg</t>
  </si>
  <si>
    <t>5Y CAGR</t>
  </si>
  <si>
    <t>Year</t>
  </si>
  <si>
    <t>Implied Cost of Capital</t>
  </si>
  <si>
    <t>Implied Risk Premium</t>
  </si>
  <si>
    <t>Last 12 Months</t>
  </si>
  <si>
    <t>Average</t>
  </si>
  <si>
    <t>Average Risk Premiums</t>
  </si>
  <si>
    <t>Inputs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</si>
  <si>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</si>
  <si>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</si>
  <si>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</si>
  <si>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</si>
  <si>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</si>
  <si>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</si>
  <si>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</si>
  <si>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</si>
  <si>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</si>
  <si>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</si>
  <si>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</si>
  <si>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</si>
  <si>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</si>
  <si>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Base Year</t>
  </si>
  <si>
    <t>Last Year</t>
  </si>
  <si>
    <t>Enter Index Level</t>
  </si>
  <si>
    <t>10 Years</t>
  </si>
  <si>
    <t>5 Years</t>
  </si>
  <si>
    <t>Choose Cash Yield Average</t>
  </si>
  <si>
    <t>Risk-Free Rate</t>
  </si>
  <si>
    <t>Choose Risk Premium Average</t>
  </si>
  <si>
    <t>Selected Risk Premium</t>
  </si>
  <si>
    <t>Intrinsic Value of the Index</t>
  </si>
  <si>
    <t>Expected Earnings</t>
  </si>
  <si>
    <t>Time to cashflow</t>
  </si>
  <si>
    <t xml:space="preserve">Intrinsic Value of Index </t>
  </si>
  <si>
    <t xml:space="preserve">Present Value </t>
  </si>
  <si>
    <t xml:space="preserve">Expected Terminal Value </t>
  </si>
  <si>
    <t>Terminal Year</t>
  </si>
  <si>
    <t>Payout</t>
  </si>
  <si>
    <t xml:space="preserve">Dividends and Buybacks Trailing 12 months </t>
  </si>
  <si>
    <t>Dividends and Buybacks (Average yield- last decade)</t>
  </si>
  <si>
    <t>Average 10 years</t>
  </si>
  <si>
    <t>Average 5 years</t>
  </si>
  <si>
    <t>Dividends and Buybacks (Average payout- last decade)</t>
  </si>
  <si>
    <t>A</t>
  </si>
  <si>
    <t>B</t>
  </si>
  <si>
    <t>C</t>
  </si>
  <si>
    <t>Multiplies average cash yield over last 10 years by index level at the start of most recent quarter</t>
  </si>
  <si>
    <t>Multiplies Earnings in last 12 months by average payout ratio over last 10 years</t>
  </si>
  <si>
    <t>Expected Cash to Equity</t>
  </si>
  <si>
    <t>Implied Equity Risk Premium Calculator</t>
  </si>
  <si>
    <t xml:space="preserve">Implied Equity Risk Premium </t>
  </si>
  <si>
    <t>Growth Rate Choice</t>
  </si>
  <si>
    <t>Use Risk-Free Rate as Long Term Growth Rate?</t>
  </si>
  <si>
    <t>Yes</t>
  </si>
  <si>
    <t>Dividends</t>
  </si>
  <si>
    <t>Dividends yield</t>
  </si>
  <si>
    <t>ICOC</t>
  </si>
  <si>
    <t>IERP</t>
  </si>
  <si>
    <t>Souce: Market-Risk-premia</t>
  </si>
  <si>
    <t>Goldman Sachs</t>
  </si>
  <si>
    <t>JP Morgan</t>
  </si>
  <si>
    <t>Deutshe Bank</t>
  </si>
  <si>
    <t>BofA</t>
  </si>
  <si>
    <t>Wells Fargo</t>
  </si>
  <si>
    <t>Barclays</t>
  </si>
  <si>
    <t>Index Valuation &amp; Implied Risk Premium Calculator - S&amp;P 500</t>
  </si>
  <si>
    <t>If "No" Enter The Preferred Long Term Growth Rate</t>
  </si>
  <si>
    <t>Enter Government Yield</t>
  </si>
  <si>
    <t>Risk-Free Rate - United States</t>
  </si>
  <si>
    <t>CDS Spread - United States</t>
  </si>
  <si>
    <t>CDS Spread - Switzerland</t>
  </si>
  <si>
    <t>Q1 2025</t>
  </si>
  <si>
    <t>Q2 2025</t>
  </si>
  <si>
    <t>Q3 2025</t>
  </si>
  <si>
    <t>Q4 2024</t>
  </si>
  <si>
    <t>Last 4 Quarters</t>
  </si>
  <si>
    <t>Book Value of Equity</t>
  </si>
  <si>
    <t>Return on Equity</t>
  </si>
  <si>
    <t>Q4 2025</t>
  </si>
  <si>
    <t>Buybacks</t>
  </si>
  <si>
    <t>Book Value</t>
  </si>
  <si>
    <t>S&amp;P has not updated the earnings , buybacks and Book Value for Q4</t>
  </si>
  <si>
    <t xml:space="preserve">Top-Down Consensus Estimate </t>
  </si>
  <si>
    <t>Historical Earnings Growth (last decade)</t>
  </si>
  <si>
    <t>Base Cash Yield</t>
  </si>
  <si>
    <t>Intrinsic Growth (Average ROE - last decade)</t>
  </si>
  <si>
    <t>Discount Rate Inputs</t>
  </si>
  <si>
    <t>Cash Flow Choice</t>
  </si>
  <si>
    <t>Dividends + Buybacks in Trailing 12 Months</t>
  </si>
  <si>
    <t>Dividends Yield</t>
  </si>
  <si>
    <t>Buybacks Yield</t>
  </si>
  <si>
    <t>Cash to Equity</t>
  </si>
  <si>
    <t>Payout Ratio</t>
  </si>
  <si>
    <t>https://jay-finance.github.io/portfolio/</t>
  </si>
  <si>
    <t xml:space="preserve">Model by: </t>
  </si>
  <si>
    <t>Jay Prakash</t>
  </si>
  <si>
    <t xml:space="preserve">Website: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</si>
</sst>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 * #,##0.00_ ;_ * \-#,##0.00_ ;_ * &quot;-&quot;??_ ;_ @_ "/>
    <numFmt numFmtId="164" formatCode="0.0%"/>
    <numFmt numFmtId="165" formatCode="0&quot; Years&quot;"/>
    <numFmt numFmtId="166" formatCode="&quot;Last &quot;0&quot; Months&quot;"/>
    <numFmt numFmtId="167" formatCode="&quot;₹&quot;\ #,##0.00"/>
    <numFmt numFmtId="168" formatCode="_(&quot;$&quot;* #,##0.00_);_(&quot;$&quot;* \(#,##0.00\);_(&quot;$&quot;* &quot;-&quot;??_);_(@_)"/>
    <numFmt numFmtId="169" formatCode="0.0000"/>
    <numFmt numFmtId="170" formatCode="&quot;₹&quot;\ #,##0;&quot;₹&quot;\(#,##0\);\-\-"/>
    <numFmt numFmtId="171" formatCode="&quot;Year &quot;0"/>
    <numFmt numFmtId="172" formatCode="0.000"/>
    <numFmt numFmtId="173" formatCode="&quot;₹&quot;\ #,##0"/>
    <numFmt numFmtId="174" formatCode="\$\ #,##0;\$\ \(#,##0\);\-\-"/>
    <numFmt numFmtId="175" formatCode="[$-409]mmm/yy;@"/>
  </numFmts>
  <fonts count="29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name val="Geneva"/>
      <family val="2"/>
    </font>
    <font>
      <b/>
      <sz val="10"/>
      <name val="Geneva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3333FF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0"/>
      <color indexed="12"/>
      <name val="Geneva"/>
      <family val="2"/>
    </font>
    <font>
      <b/>
      <i/>
      <sz val="11"/>
      <color rgb="FF3333FF"/>
      <name val="Calibri"/>
      <family val="2"/>
    </font>
    <font>
      <sz val="11"/>
      <color rgb="FF3333FF"/>
      <name val="Calibri"/>
      <family val="2"/>
      <scheme val="minor"/>
    </font>
    <font>
      <i/>
      <sz val="11"/>
      <color rgb="FF3333FF"/>
      <name val="Calibri"/>
      <family val="2"/>
      <scheme val="minor"/>
    </font>
    <font>
      <b/>
      <sz val="11"/>
      <color rgb="FF3333FF"/>
      <name val="Calibri"/>
      <family val="2"/>
    </font>
    <font>
      <b/>
      <sz val="14"/>
      <color theme="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i/>
      <sz val="11"/>
      <color rgb="FF3333FF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i/>
      <u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175" fontId="24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3" fontId="0" fillId="0" borderId="0" xfId="0" applyNumberFormat="1"/>
    <xf numFmtId="164" fontId="6" fillId="0" borderId="0" xfId="1" applyNumberFormat="1" applyFont="1"/>
    <xf numFmtId="0" fontId="3" fillId="2" borderId="0" xfId="0" applyFont="1" applyFill="1"/>
    <xf numFmtId="3" fontId="3" fillId="2" borderId="0" xfId="0" applyNumberFormat="1" applyFont="1" applyFill="1"/>
    <xf numFmtId="164" fontId="0" fillId="0" borderId="0" xfId="0" applyNumberFormat="1"/>
    <xf numFmtId="0" fontId="0" fillId="0" borderId="0" xfId="0" applyAlignment="1">
      <alignment horizontal="center"/>
    </xf>
    <xf numFmtId="164" fontId="6" fillId="0" borderId="0" xfId="1" applyNumberFormat="1" applyFont="1" applyAlignment="1">
      <alignment horizontal="center"/>
    </xf>
    <xf numFmtId="10" fontId="3" fillId="2" borderId="0" xfId="0" applyNumberFormat="1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/>
    <xf numFmtId="0" fontId="2" fillId="4" borderId="0" xfId="0" applyFont="1" applyFill="1" applyAlignment="1">
      <alignment horizontal="center"/>
    </xf>
    <xf numFmtId="166" fontId="3" fillId="0" borderId="0" xfId="0" applyNumberFormat="1" applyFont="1" applyAlignment="1">
      <alignment horizontal="left"/>
    </xf>
    <xf numFmtId="164" fontId="3" fillId="0" borderId="0" xfId="0" applyNumberFormat="1" applyFont="1"/>
    <xf numFmtId="165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66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0" fontId="6" fillId="0" borderId="0" xfId="1" applyNumberFormat="1" applyFont="1" applyAlignment="1">
      <alignment horizontal="center"/>
    </xf>
    <xf numFmtId="167" fontId="0" fillId="0" borderId="0" xfId="0" applyNumberFormat="1"/>
    <xf numFmtId="170" fontId="0" fillId="0" borderId="0" xfId="0" applyNumberFormat="1" applyAlignment="1">
      <alignment horizontal="center"/>
    </xf>
    <xf numFmtId="0" fontId="0" fillId="0" borderId="1" xfId="0" applyBorder="1" applyAlignment="1">
      <alignment horizontal="left" indent="1"/>
    </xf>
    <xf numFmtId="169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71" fontId="2" fillId="3" borderId="0" xfId="0" applyNumberFormat="1" applyFont="1" applyFill="1" applyAlignment="1">
      <alignment horizontal="center"/>
    </xf>
    <xf numFmtId="172" fontId="0" fillId="0" borderId="0" xfId="1" applyNumberFormat="1" applyFont="1" applyAlignment="1">
      <alignment horizontal="center"/>
    </xf>
    <xf numFmtId="170" fontId="3" fillId="0" borderId="0" xfId="0" applyNumberFormat="1" applyFont="1" applyAlignment="1">
      <alignment horizontal="center"/>
    </xf>
    <xf numFmtId="0" fontId="3" fillId="6" borderId="3" xfId="0" applyFont="1" applyFill="1" applyBorder="1"/>
    <xf numFmtId="0" fontId="3" fillId="6" borderId="2" xfId="0" applyFont="1" applyFill="1" applyBorder="1"/>
    <xf numFmtId="0" fontId="0" fillId="6" borderId="2" xfId="0" applyFill="1" applyBorder="1"/>
    <xf numFmtId="0" fontId="10" fillId="0" borderId="5" xfId="0" applyFont="1" applyBorder="1"/>
    <xf numFmtId="0" fontId="0" fillId="0" borderId="5" xfId="0" applyBorder="1"/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7" fillId="0" borderId="0" xfId="0" applyNumberFormat="1" applyFont="1" applyAlignment="1">
      <alignment horizontal="center"/>
    </xf>
    <xf numFmtId="10" fontId="18" fillId="6" borderId="1" xfId="1" applyNumberFormat="1" applyFont="1" applyFill="1" applyBorder="1" applyAlignment="1">
      <alignment horizontal="center"/>
    </xf>
    <xf numFmtId="173" fontId="3" fillId="0" borderId="0" xfId="0" applyNumberFormat="1" applyFont="1" applyAlignment="1">
      <alignment horizontal="center"/>
    </xf>
    <xf numFmtId="0" fontId="8" fillId="3" borderId="0" xfId="0" applyFont="1" applyFill="1"/>
    <xf numFmtId="0" fontId="3" fillId="2" borderId="0" xfId="0" applyFont="1" applyFill="1" applyAlignment="1">
      <alignment horizontal="left"/>
    </xf>
    <xf numFmtId="0" fontId="13" fillId="3" borderId="0" xfId="0" applyFont="1" applyFill="1" applyAlignment="1">
      <alignment horizontal="center" wrapText="1"/>
    </xf>
    <xf numFmtId="0" fontId="11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  <xf numFmtId="10" fontId="15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12" fillId="0" borderId="7" xfId="0" applyFont="1" applyBorder="1" applyAlignment="1">
      <alignment horizontal="center"/>
    </xf>
    <xf numFmtId="2" fontId="12" fillId="0" borderId="8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/>
    </xf>
    <xf numFmtId="2" fontId="16" fillId="0" borderId="8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10" fontId="16" fillId="0" borderId="9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2" fontId="12" fillId="0" borderId="5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2" fontId="16" fillId="0" borderId="5" xfId="0" applyNumberFormat="1" applyFont="1" applyBorder="1" applyAlignment="1">
      <alignment horizontal="center"/>
    </xf>
    <xf numFmtId="10" fontId="16" fillId="0" borderId="5" xfId="0" applyNumberFormat="1" applyFont="1" applyBorder="1" applyAlignment="1">
      <alignment horizontal="center"/>
    </xf>
    <xf numFmtId="10" fontId="16" fillId="0" borderId="13" xfId="0" applyNumberFormat="1" applyFont="1" applyBorder="1" applyAlignment="1">
      <alignment horizontal="center"/>
    </xf>
    <xf numFmtId="3" fontId="9" fillId="0" borderId="0" xfId="0" applyNumberFormat="1" applyFont="1"/>
    <xf numFmtId="0" fontId="3" fillId="0" borderId="5" xfId="0" applyFont="1" applyBorder="1"/>
    <xf numFmtId="0" fontId="0" fillId="0" borderId="0" xfId="0" applyAlignment="1">
      <alignment horizontal="left" indent="1"/>
    </xf>
    <xf numFmtId="0" fontId="22" fillId="0" borderId="5" xfId="0" applyFont="1" applyBorder="1"/>
    <xf numFmtId="10" fontId="18" fillId="5" borderId="1" xfId="1" applyNumberFormat="1" applyFont="1" applyFill="1" applyBorder="1" applyAlignment="1">
      <alignment horizontal="center"/>
    </xf>
    <xf numFmtId="10" fontId="7" fillId="6" borderId="1" xfId="1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" fontId="1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/>
    <xf numFmtId="174" fontId="0" fillId="0" borderId="0" xfId="0" applyNumberFormat="1" applyAlignment="1">
      <alignment horizontal="center"/>
    </xf>
    <xf numFmtId="174" fontId="3" fillId="0" borderId="0" xfId="0" applyNumberFormat="1" applyFont="1" applyAlignment="1">
      <alignment horizontal="center"/>
    </xf>
    <xf numFmtId="174" fontId="3" fillId="6" borderId="4" xfId="0" applyNumberFormat="1" applyFont="1" applyFill="1" applyBorder="1" applyAlignment="1">
      <alignment horizontal="center"/>
    </xf>
    <xf numFmtId="174" fontId="0" fillId="6" borderId="1" xfId="0" applyNumberFormat="1" applyFill="1" applyBorder="1" applyAlignment="1">
      <alignment horizontal="center"/>
    </xf>
    <xf numFmtId="174" fontId="9" fillId="0" borderId="0" xfId="0" applyNumberFormat="1" applyFont="1" applyAlignment="1">
      <alignment horizontal="center"/>
    </xf>
    <xf numFmtId="174" fontId="19" fillId="0" borderId="0" xfId="0" applyNumberFormat="1" applyFont="1" applyAlignment="1">
      <alignment horizontal="center"/>
    </xf>
    <xf numFmtId="174" fontId="20" fillId="0" borderId="0" xfId="0" applyNumberFormat="1" applyFont="1" applyAlignment="1">
      <alignment horizontal="center"/>
    </xf>
    <xf numFmtId="174" fontId="11" fillId="0" borderId="0" xfId="0" applyNumberFormat="1" applyFont="1" applyAlignment="1">
      <alignment horizontal="center"/>
    </xf>
    <xf numFmtId="174" fontId="9" fillId="0" borderId="0" xfId="0" applyNumberFormat="1" applyFont="1"/>
    <xf numFmtId="0" fontId="14" fillId="0" borderId="0" xfId="0" applyFont="1" applyAlignment="1">
      <alignment horizontal="center"/>
    </xf>
    <xf numFmtId="174" fontId="21" fillId="0" borderId="2" xfId="0" applyNumberFormat="1" applyFont="1" applyBorder="1" applyAlignment="1">
      <alignment horizontal="center"/>
    </xf>
    <xf numFmtId="174" fontId="23" fillId="0" borderId="2" xfId="0" applyNumberFormat="1" applyFont="1" applyBorder="1" applyAlignment="1">
      <alignment horizontal="center"/>
    </xf>
    <xf numFmtId="10" fontId="16" fillId="0" borderId="2" xfId="0" applyNumberFormat="1" applyFont="1" applyBorder="1" applyAlignment="1">
      <alignment horizontal="center"/>
    </xf>
    <xf numFmtId="174" fontId="16" fillId="0" borderId="2" xfId="0" applyNumberFormat="1" applyFont="1" applyBorder="1" applyAlignment="1">
      <alignment horizontal="center"/>
    </xf>
    <xf numFmtId="10" fontId="16" fillId="0" borderId="4" xfId="0" applyNumberFormat="1" applyFont="1" applyBorder="1" applyAlignment="1">
      <alignment horizontal="center"/>
    </xf>
    <xf numFmtId="2" fontId="0" fillId="0" borderId="0" xfId="0" applyNumberFormat="1"/>
    <xf numFmtId="10" fontId="26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10" fontId="26" fillId="0" borderId="1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174" fontId="9" fillId="0" borderId="5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74" fontId="23" fillId="0" borderId="4" xfId="0" applyNumberFormat="1" applyFont="1" applyBorder="1" applyAlignment="1">
      <alignment horizontal="center"/>
    </xf>
    <xf numFmtId="10" fontId="0" fillId="0" borderId="0" xfId="1" applyNumberFormat="1" applyFont="1"/>
    <xf numFmtId="0" fontId="3" fillId="5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0" fontId="6" fillId="6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0" fontId="6" fillId="6" borderId="6" xfId="1" applyNumberFormat="1" applyFont="1" applyFill="1" applyBorder="1" applyAlignment="1">
      <alignment horizontal="center"/>
    </xf>
    <xf numFmtId="10" fontId="25" fillId="5" borderId="6" xfId="1" applyNumberFormat="1" applyFont="1" applyFill="1" applyBorder="1" applyAlignment="1">
      <alignment horizontal="center"/>
    </xf>
    <xf numFmtId="174" fontId="9" fillId="5" borderId="1" xfId="0" applyNumberFormat="1" applyFont="1" applyFill="1" applyBorder="1" applyAlignment="1">
      <alignment horizontal="center"/>
    </xf>
    <xf numFmtId="0" fontId="3" fillId="7" borderId="7" xfId="0" applyFont="1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3" fillId="7" borderId="12" xfId="0" applyFont="1" applyFill="1" applyBorder="1"/>
    <xf numFmtId="0" fontId="27" fillId="7" borderId="5" xfId="8" applyFill="1" applyBorder="1"/>
    <xf numFmtId="0" fontId="3" fillId="7" borderId="13" xfId="0" applyFont="1" applyFill="1" applyBorder="1"/>
    <xf numFmtId="0" fontId="28" fillId="7" borderId="5" xfId="8" applyFont="1" applyFill="1" applyBorder="1"/>
    <xf numFmtId="10" fontId="7" fillId="2" borderId="0" xfId="1" applyNumberFormat="1" applyFont="1" applyFill="1"/>
    <xf numFmtId="1" fontId="0" fillId="0" borderId="0" xfId="0" applyNumberFormat="1"/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74" fontId="23" fillId="0" borderId="5" xfId="0" applyNumberFormat="1" applyFont="1" applyBorder="1" applyAlignment="1">
      <alignment horizontal="center"/>
    </xf>
    <xf numFmtId="174" fontId="23" fillId="0" borderId="13" xfId="0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9">
    <cellStyle name="_x000a_bidires=100_x000d_" xfId="7" xr:uid="{F591D131-AB41-4CDD-818A-3A38872B91EC}"/>
    <cellStyle name="Comma 2" xfId="3" xr:uid="{7C96ED4C-5CDA-4D45-A950-2C1607E05F49}"/>
    <cellStyle name="Currency 2" xfId="4" xr:uid="{E2D14D7B-847A-445F-8298-B32EDE1DC7D9}"/>
    <cellStyle name="Hyperlink" xfId="8" builtinId="8"/>
    <cellStyle name="Hyperlink 2" xfId="5" xr:uid="{AC72A87B-0204-4C3B-8875-4FD97161B090}"/>
    <cellStyle name="Normal" xfId="0" builtinId="0"/>
    <cellStyle name="Normal 2" xfId="2" xr:uid="{1761C94B-4375-4B5A-B363-EB27B9A301F2}"/>
    <cellStyle name="Percent" xfId="1" builtinId="5"/>
    <cellStyle name="Percent 2" xfId="6" xr:uid="{7EBBD904-0BA5-4029-AFC2-07A658FC1644}"/>
  </cellStyles>
  <dxfs count="0"/>
  <tableStyles count="1" defaultTableStyle="TableStyleMedium2" defaultPivotStyle="PivotStyleLight16">
    <tableStyle name="Table Style 1" pivot="0" count="0" xr9:uid="{6EA2296C-2B2A-4583-96FF-6C8B4D71CDE4}"/>
  </tableStyles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2149</xdr:rowOff>
    </xdr:from>
    <xdr:to>
      <xdr:col>16</xdr:col>
      <xdr:colOff>419100</xdr:colOff>
      <xdr:row>49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E72585-C5C8-4294-9B2C-C4978C699A2F}"/>
            </a:ext>
          </a:extLst>
        </xdr:cNvPr>
        <xdr:cNvSpPr txBox="1"/>
      </xdr:nvSpPr>
      <xdr:spPr>
        <a:xfrm>
          <a:off x="123825" y="764149"/>
          <a:ext cx="10382250" cy="87132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/>
            <a:t>S&amp;P 500 Implied</a:t>
          </a:r>
          <a:r>
            <a:rPr lang="en-IN" sz="1400" b="1" baseline="0"/>
            <a:t> Equity Risk Premium &amp; Intrinsic Valuation</a:t>
          </a:r>
          <a:endParaRPr lang="en-IN" sz="1400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="1"/>
        </a:p>
        <a:p>
          <a:r>
            <a:rPr lang="en-IN" sz="1200" b="1"/>
            <a:t>Methodology and Rationale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This model estimates the intrinsic value of the S&amp;P 500 and derives the implied equity risk premium (ERP) currently embedded in market prices.</a:t>
          </a:r>
        </a:p>
        <a:p>
          <a:endParaRPr lang="en-IN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Since broad equity indices do not directly report free cash flow to equity (FCFE), shareholder cash flows are estimated using aggregate cash returned to shareholders through dividends and net buybacks.</a:t>
          </a:r>
          <a:r>
            <a:rPr lang="en-IN" baseline="0"/>
            <a:t> </a:t>
          </a:r>
          <a:r>
            <a:rPr lang="en-IN"/>
            <a:t>Three shareholder cash flow estimation methods are available:</a:t>
          </a:r>
        </a:p>
        <a:p>
          <a:endParaRPr lang="en-IN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/>
            <a:t>Cash Flow Estimation</a:t>
          </a:r>
        </a:p>
        <a:p>
          <a:endParaRPr lang="en-IN" sz="800" b="1"/>
        </a:p>
        <a:p>
          <a:r>
            <a:rPr lang="en-IN" sz="1200" b="1"/>
            <a:t>1.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Trailing 12-Month Cash to Shareholder Distributions</a:t>
          </a:r>
          <a:endParaRPr lang="en-IN" sz="1400" b="1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Uses actual dividends and net buybacks distributed over the last four quarters. </a:t>
          </a:r>
          <a:endParaRPr lang="en-IN">
            <a:effectLst/>
          </a:endParaRPr>
        </a:p>
        <a:p>
          <a:br>
            <a:rPr lang="en-IN" b="1"/>
          </a:br>
          <a:r>
            <a:rPr lang="en-IN" sz="1200" b="1"/>
            <a:t>2.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Historical Average Shareholder Yield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Applies the historical average cash to shareholder yield to the current index level.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IN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Historical Average Payout Ratio</a:t>
          </a:r>
          <a:endParaRPr lang="en-IN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Applies the historical average payout ratio to current trailing earnings.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Earnings Growth Framework</a:t>
          </a:r>
          <a:endParaRPr lang="en-IN" sz="13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/>
            <a:t>Future growth assumptions are estimated using a multi-stage framework with three available approaches: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effectLst/>
            </a:rPr>
            <a:t>1. </a:t>
          </a:r>
          <a:r>
            <a:rPr lang="en-IN" sz="1200" b="1"/>
            <a:t>Forward Consensus Growth Estimates</a:t>
          </a:r>
          <a:endParaRPr lang="en-IN" sz="1200" b="1">
            <a:effectLst/>
          </a:endParaRPr>
        </a:p>
        <a:p>
          <a:r>
            <a:rPr lang="en-IN" sz="1200"/>
            <a:t>Uses forward earnings growth expectations from institutional analyst estimates. </a:t>
          </a:r>
        </a:p>
        <a:p>
          <a:endParaRPr lang="en-IN" sz="1200" b="1"/>
        </a:p>
        <a:p>
          <a:r>
            <a:rPr lang="en-IN" sz="1200" b="1"/>
            <a:t>2. Historical Earnings</a:t>
          </a:r>
          <a:r>
            <a:rPr lang="en-IN" sz="1200" b="1" baseline="0"/>
            <a:t> Growth</a:t>
          </a:r>
          <a:endParaRPr lang="en-IN" sz="1200" b="1"/>
        </a:p>
        <a:p>
          <a:r>
            <a:rPr lang="en-IN" sz="1200"/>
            <a:t>Uses long-term historical earnings growth averages. </a:t>
          </a:r>
        </a:p>
        <a:p>
          <a:endParaRPr lang="en-IN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/>
            <a:t>3. ROE-Based Sustainable Growth</a:t>
          </a:r>
          <a:br>
            <a:rPr lang="en-IN" sz="1200"/>
          </a:br>
          <a:r>
            <a:rPr lang="en-IN" sz="1200"/>
            <a:t>Estimates sustainable growth using aggregate return on equity and retention assumptions.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/>
            <a:t>Risk-free</a:t>
          </a:r>
          <a:r>
            <a:rPr lang="en-IN" sz="1300" b="1" baseline="0"/>
            <a:t> Rate Construction</a:t>
          </a:r>
          <a:endParaRPr lang="en-IN" sz="1300" b="1"/>
        </a:p>
        <a:p>
          <a:endParaRPr lang="en-IN" sz="800"/>
        </a:p>
        <a:p>
          <a:r>
            <a:rPr lang="en-IN" sz="1200"/>
            <a:t>The model uses the U.S. 10-Year Treasury yield as the starting point for the risk-free rate.</a:t>
          </a:r>
          <a:r>
            <a:rPr lang="en-IN" sz="1200" baseline="0"/>
            <a:t> </a:t>
          </a:r>
          <a:r>
            <a:rPr lang="en-IN" sz="1200"/>
            <a:t>A</a:t>
          </a:r>
          <a:r>
            <a:rPr lang="en-IN" sz="1200" baseline="0"/>
            <a:t> </a:t>
          </a:r>
          <a:r>
            <a:rPr lang="en-IN" sz="1200"/>
            <a:t>sovereign spread adjustment mechanism is also incorporated using CDS spreads for the United States and Switzerland. As U.S. is not a "AAA" rated country the</a:t>
          </a:r>
          <a:r>
            <a:rPr lang="en-IN" sz="1200" baseline="0"/>
            <a:t> </a:t>
          </a:r>
          <a:r>
            <a:rPr lang="en-IN" sz="1200"/>
            <a:t>adjustment attempts to remove embedded sovereign default risk from U.S. Treasury yields and generate a cleaner base risk-free rate for valuation purposes.</a:t>
          </a:r>
        </a:p>
        <a:p>
          <a:endParaRPr lang="en-IN" sz="1200"/>
        </a:p>
        <a:p>
          <a:r>
            <a:rPr lang="en-IN" sz="1300" b="1"/>
            <a:t>Implied Equity Risk</a:t>
          </a:r>
          <a:r>
            <a:rPr lang="en-IN" sz="1300" b="1" baseline="0"/>
            <a:t> Premium Estimation</a:t>
          </a:r>
        </a:p>
        <a:p>
          <a:endParaRPr lang="en-IN" sz="8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The primary objective of the model is to estimate the implied equity risk premium currently embedded in market pricing.</a:t>
          </a:r>
        </a:p>
        <a:p>
          <a:endParaRPr lang="en-IN"/>
        </a:p>
        <a:p>
          <a:r>
            <a:rPr lang="en-IN"/>
            <a:t>The implied equity risk premium (ERP) is estimated by solving for the discount rate that equates the present value of projected shareholder cash flows to the current S&amp;P 500 index level.</a:t>
          </a:r>
          <a:r>
            <a:rPr lang="en-IN" baseline="0"/>
            <a:t> </a:t>
          </a:r>
          <a:r>
            <a:rPr lang="en-IN"/>
            <a:t>The required return on equity is defined as:</a:t>
          </a:r>
        </a:p>
        <a:p>
          <a:endParaRPr lang="en-IN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 i="1"/>
            <a:t>Cost of Equity=Risk-Free Rate+Equity Risk Premium</a:t>
          </a:r>
        </a:p>
        <a:p>
          <a:endParaRPr lang="en-IN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Using the current market price of the S&amp;P 500 as the observable input, the model iteratively solves for the equity risk premium through Excel Goal Seek functionality.</a:t>
          </a:r>
        </a:p>
        <a:p>
          <a:endParaRPr lang="en-IN"/>
        </a:p>
        <a:p>
          <a:endParaRPr lang="en-IN" sz="800" b="0"/>
        </a:p>
        <a:p>
          <a:endParaRPr lang="en-IN" sz="8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jay-finance.github.io/portfolio/" TargetMode="External"/><Relationship Id="rId1" Type="http://schemas.openxmlformats.org/officeDocument/2006/relationships/hyperlink" Target="https://jay-finance.github.io/portfol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2210-1AF0-45DF-A459-9DE51EC9050B}">
  <sheetPr>
    <tabColor rgb="FFFFFF00"/>
  </sheetPr>
  <dimension ref="B2:E3"/>
  <sheetViews>
    <sheetView showGridLines="0" workbookViewId="0">
      <selection activeCell="T11" sqref="T11"/>
    </sheetView>
  </sheetViews>
  <sheetFormatPr defaultRowHeight="15"/>
  <cols>
    <col min="1" max="1" width="1.85546875" customWidth="1"/>
    <col min="2" max="2" width="9.85546875" customWidth="1"/>
    <col min="4" max="4" width="16.7109375" customWidth="1"/>
    <col min="5" max="5" width="13.140625" customWidth="1"/>
  </cols>
  <sheetData>
    <row r="2" spans="2:5">
      <c r="B2" s="112" t="s">
        <v>107</v>
      </c>
      <c r="C2" s="113" t="s">
        <v>108</v>
      </c>
      <c r="D2" s="113"/>
      <c r="E2" s="114"/>
    </row>
    <row r="3" spans="2:5">
      <c r="B3" s="115" t="s">
        <v>109</v>
      </c>
      <c r="C3" s="118" t="s">
        <v>106</v>
      </c>
      <c r="D3" s="116"/>
      <c r="E3" s="117"/>
    </row>
  </sheetData>
  <hyperlinks>
    <hyperlink ref="C3:D3" r:id="rId1" display="https://jay-finance.github.io/portfolio/" xr:uid="{46D1F1EC-5B22-4433-9692-E2C78C6D3681}"/>
    <hyperlink ref="C3" r:id="rId2" xr:uid="{B377889B-0FCE-4C30-9DC4-EDAA8B8C9A84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C617-B0AC-40A3-AE6D-59400E7792DF}">
  <dimension ref="B2:AC52"/>
  <sheetViews>
    <sheetView showGridLines="0" tabSelected="1" zoomScale="95" zoomScaleNormal="115" workbookViewId="0">
      <pane ySplit="2" topLeftCell="A27" activePane="bottomLeft" state="frozen"/>
      <selection pane="bottomLeft" activeCell="J49" sqref="J49"/>
    </sheetView>
  </sheetViews>
  <sheetFormatPr defaultRowHeight="15"/>
  <cols>
    <col min="1" max="1" width="2.7109375" customWidth="1"/>
    <col min="2" max="2" width="10.85546875" customWidth="1"/>
    <col min="3" max="3" width="50.140625" customWidth="1"/>
    <col min="4" max="10" width="16.42578125" customWidth="1"/>
    <col min="13" max="13" width="17" bestFit="1" customWidth="1"/>
    <col min="14" max="14" width="14.28515625" bestFit="1" customWidth="1"/>
    <col min="15" max="15" width="13.85546875" bestFit="1" customWidth="1"/>
    <col min="16" max="16" width="11.5703125" bestFit="1" customWidth="1"/>
    <col min="17" max="17" width="12.140625" customWidth="1"/>
    <col min="28" max="29" width="14.140625" bestFit="1" customWidth="1"/>
  </cols>
  <sheetData>
    <row r="2" spans="2:29" s="36" customFormat="1" ht="18.75">
      <c r="B2" s="73" t="s">
        <v>78</v>
      </c>
      <c r="C2" s="35"/>
    </row>
    <row r="3" spans="2:29" ht="15" customHeight="1"/>
    <row r="4" spans="2:29">
      <c r="B4" s="71" t="s">
        <v>20</v>
      </c>
      <c r="C4" s="71"/>
      <c r="D4" s="36"/>
      <c r="F4" s="71" t="s">
        <v>100</v>
      </c>
      <c r="G4" s="36"/>
      <c r="H4" s="36"/>
      <c r="I4" s="36"/>
      <c r="Z4" t="s">
        <v>21</v>
      </c>
      <c r="AA4">
        <f t="shared" ref="AA4:AA13" si="0">AA5+1</f>
        <v>12</v>
      </c>
      <c r="AB4" t="s">
        <v>35</v>
      </c>
      <c r="AC4" s="21" t="s">
        <v>17</v>
      </c>
    </row>
    <row r="5" spans="2:29" ht="3.95" customHeight="1">
      <c r="B5" s="1"/>
      <c r="C5" s="1"/>
      <c r="D5" s="36"/>
      <c r="F5" s="1"/>
      <c r="I5" s="36"/>
      <c r="Z5" t="s">
        <v>22</v>
      </c>
      <c r="AA5">
        <f t="shared" si="0"/>
        <v>11</v>
      </c>
      <c r="AB5" t="s">
        <v>88</v>
      </c>
      <c r="AC5" s="22" t="s">
        <v>38</v>
      </c>
    </row>
    <row r="6" spans="2:29">
      <c r="B6" t="s">
        <v>33</v>
      </c>
      <c r="D6" s="105" t="s">
        <v>30</v>
      </c>
      <c r="F6" s="1" t="s">
        <v>39</v>
      </c>
      <c r="G6" s="1"/>
      <c r="H6" s="1"/>
      <c r="I6" s="104" t="s">
        <v>56</v>
      </c>
      <c r="Z6" t="s">
        <v>23</v>
      </c>
      <c r="AA6">
        <f t="shared" si="0"/>
        <v>10</v>
      </c>
      <c r="AC6" s="22" t="s">
        <v>37</v>
      </c>
    </row>
    <row r="7" spans="2:29">
      <c r="B7" t="s">
        <v>34</v>
      </c>
      <c r="D7" s="108" t="s">
        <v>88</v>
      </c>
      <c r="E7" s="103"/>
      <c r="F7" t="s">
        <v>51</v>
      </c>
      <c r="I7" s="83">
        <f>Yield!I39</f>
        <v>198.88564854208479</v>
      </c>
      <c r="J7" s="26" t="s">
        <v>56</v>
      </c>
      <c r="K7" s="13" t="s">
        <v>101</v>
      </c>
      <c r="Z7" t="s">
        <v>24</v>
      </c>
      <c r="AA7">
        <f t="shared" si="0"/>
        <v>9</v>
      </c>
      <c r="AC7" s="22"/>
    </row>
    <row r="8" spans="2:29">
      <c r="B8" t="s">
        <v>36</v>
      </c>
      <c r="D8" s="111">
        <v>7773.95</v>
      </c>
      <c r="E8" s="103"/>
      <c r="F8" t="s">
        <v>52</v>
      </c>
      <c r="I8" s="83">
        <f>Yield!K28*Calc!D8</f>
        <v>332.47587494405207</v>
      </c>
      <c r="J8" s="26" t="s">
        <v>57</v>
      </c>
      <c r="K8" s="13" t="s">
        <v>59</v>
      </c>
      <c r="Z8" t="s">
        <v>25</v>
      </c>
      <c r="AA8">
        <f t="shared" si="0"/>
        <v>8</v>
      </c>
    </row>
    <row r="9" spans="2:29">
      <c r="B9" t="s">
        <v>97</v>
      </c>
      <c r="D9" s="107">
        <f>IF(I6=J7,I7/D8,IF(I6=J8,I8/D8,I9/D8))</f>
        <v>2.5583602742760732E-2</v>
      </c>
      <c r="E9" s="103"/>
      <c r="F9" t="s">
        <v>55</v>
      </c>
      <c r="I9" s="83">
        <f>Yield!J28*Yield!D39</f>
        <v>206.35516661662624</v>
      </c>
      <c r="J9" s="26" t="s">
        <v>58</v>
      </c>
      <c r="K9" s="13" t="s">
        <v>60</v>
      </c>
      <c r="Z9" t="s">
        <v>26</v>
      </c>
      <c r="AA9">
        <f>AA10+1</f>
        <v>7</v>
      </c>
    </row>
    <row r="10" spans="2:29">
      <c r="I10" s="25"/>
      <c r="J10" s="72"/>
      <c r="K10" s="13"/>
      <c r="Z10" t="s">
        <v>27</v>
      </c>
      <c r="AA10">
        <f t="shared" si="0"/>
        <v>6</v>
      </c>
    </row>
    <row r="11" spans="2:29">
      <c r="B11" s="71" t="s">
        <v>99</v>
      </c>
      <c r="C11" s="36"/>
      <c r="D11" s="36"/>
      <c r="F11" s="71" t="s">
        <v>64</v>
      </c>
      <c r="G11" s="36"/>
      <c r="H11" s="36"/>
      <c r="I11" s="36"/>
      <c r="Z11" t="s">
        <v>28</v>
      </c>
      <c r="AA11">
        <f t="shared" si="0"/>
        <v>5</v>
      </c>
    </row>
    <row r="12" spans="2:29" ht="3.95" customHeight="1">
      <c r="B12" s="1"/>
      <c r="D12" s="36"/>
      <c r="F12" s="1"/>
      <c r="I12" s="36"/>
      <c r="Z12" t="s">
        <v>29</v>
      </c>
      <c r="AA12">
        <f t="shared" si="0"/>
        <v>4</v>
      </c>
    </row>
    <row r="13" spans="2:29">
      <c r="B13" t="s">
        <v>80</v>
      </c>
      <c r="D13" s="110">
        <v>5.28E-2</v>
      </c>
      <c r="F13" s="1" t="s">
        <v>39</v>
      </c>
      <c r="G13" s="1"/>
      <c r="H13" s="1"/>
      <c r="I13" s="104" t="s">
        <v>56</v>
      </c>
      <c r="Z13" t="s">
        <v>30</v>
      </c>
      <c r="AA13">
        <f t="shared" si="0"/>
        <v>3</v>
      </c>
    </row>
    <row r="14" spans="2:29">
      <c r="B14" t="s">
        <v>82</v>
      </c>
      <c r="D14" s="110">
        <v>5.7000000000000002E-3</v>
      </c>
      <c r="F14" t="s">
        <v>95</v>
      </c>
      <c r="I14" s="107">
        <f>Growth!C9</f>
        <v>0.11399370747867854</v>
      </c>
      <c r="J14" s="26" t="s">
        <v>56</v>
      </c>
      <c r="Z14" t="s">
        <v>31</v>
      </c>
      <c r="AA14">
        <f>AA15+1</f>
        <v>2</v>
      </c>
    </row>
    <row r="15" spans="2:29">
      <c r="B15" t="s">
        <v>83</v>
      </c>
      <c r="D15" s="110">
        <v>1.4E-3</v>
      </c>
      <c r="E15" s="79"/>
      <c r="F15" t="s">
        <v>96</v>
      </c>
      <c r="I15" s="109">
        <f>_xlfn.RRI(10,Yield!D17,Yield!D39)</f>
        <v>8.8240181365697001E-2</v>
      </c>
      <c r="J15" s="26" t="s">
        <v>57</v>
      </c>
      <c r="Z15" t="s">
        <v>32</v>
      </c>
      <c r="AA15">
        <v>1</v>
      </c>
    </row>
    <row r="16" spans="2:29">
      <c r="B16" s="1" t="s">
        <v>81</v>
      </c>
      <c r="C16" s="1"/>
      <c r="D16" s="75">
        <f>D13-(D14-D15)</f>
        <v>4.8500000000000001E-2</v>
      </c>
      <c r="F16" t="s">
        <v>98</v>
      </c>
      <c r="I16" s="109">
        <f>(1-((D9*D8)/D24))*Yield!M28</f>
        <v>2.7061211471950213E-2</v>
      </c>
      <c r="J16" s="26" t="s">
        <v>58</v>
      </c>
    </row>
    <row r="17" spans="2:13">
      <c r="J17" s="79"/>
      <c r="M17" s="95"/>
    </row>
    <row r="18" spans="2:13">
      <c r="B18" s="1" t="s">
        <v>41</v>
      </c>
      <c r="C18" s="1"/>
      <c r="D18" s="106" t="s">
        <v>37</v>
      </c>
      <c r="F18" s="1" t="s">
        <v>65</v>
      </c>
      <c r="G18" s="1"/>
      <c r="H18" s="1"/>
      <c r="I18" s="106" t="s">
        <v>66</v>
      </c>
      <c r="M18" s="79"/>
    </row>
    <row r="19" spans="2:13">
      <c r="B19" t="s">
        <v>42</v>
      </c>
      <c r="D19" s="107">
        <f>VLOOKUP(D18,RiskPrem!$K$3:$L$5,2,FALSE)</f>
        <v>3.5925092447337076E-2</v>
      </c>
      <c r="F19" t="s">
        <v>79</v>
      </c>
      <c r="I19" s="74">
        <v>0.03</v>
      </c>
      <c r="M19" s="79"/>
    </row>
    <row r="21" spans="2:13" ht="15.75">
      <c r="B21" s="121" t="s">
        <v>43</v>
      </c>
      <c r="C21" s="122"/>
      <c r="D21" s="122"/>
      <c r="E21" s="122"/>
      <c r="F21" s="122"/>
      <c r="G21" s="122"/>
      <c r="H21" s="122"/>
      <c r="I21" s="122"/>
      <c r="J21" s="123"/>
      <c r="M21" s="79"/>
    </row>
    <row r="22" spans="2:13" ht="8.1" customHeight="1">
      <c r="B22" s="37"/>
      <c r="C22" s="37"/>
      <c r="D22" s="37"/>
      <c r="E22" s="37"/>
      <c r="F22" s="37"/>
      <c r="G22" s="37"/>
      <c r="H22" s="37"/>
      <c r="I22" s="37"/>
      <c r="J22" s="37"/>
    </row>
    <row r="23" spans="2:13">
      <c r="B23" s="20"/>
      <c r="C23" s="20"/>
      <c r="D23" s="20" t="s">
        <v>34</v>
      </c>
      <c r="E23" s="29">
        <v>1</v>
      </c>
      <c r="F23" s="29">
        <f>E23+1</f>
        <v>2</v>
      </c>
      <c r="G23" s="29">
        <f t="shared" ref="G23:I23" si="1">F23+1</f>
        <v>3</v>
      </c>
      <c r="H23" s="29">
        <f t="shared" si="1"/>
        <v>4</v>
      </c>
      <c r="I23" s="29">
        <f t="shared" si="1"/>
        <v>5</v>
      </c>
      <c r="J23" s="20" t="s">
        <v>49</v>
      </c>
    </row>
    <row r="24" spans="2:13">
      <c r="B24" t="s">
        <v>44</v>
      </c>
      <c r="D24" s="80">
        <f>IF(D7="Last Year",Yield!D26,Yield!D39)</f>
        <v>234.06</v>
      </c>
      <c r="E24" s="80">
        <f>IF($I$13=$J$14,D24*(1+$I$14),IF($I$13=$J$15,D24*(1+$I$15),D24*(1+$I$16)))</f>
        <v>260.74136717245949</v>
      </c>
      <c r="F24" s="80">
        <f>IF($I$13=$J$14,E24*(1+$I$14),IF($I$13=$J$15,E24*(1+$I$15),E24*(1+$I$16)))</f>
        <v>290.46424230950754</v>
      </c>
      <c r="G24" s="80">
        <f t="shared" ref="G24:H24" si="2">IF($I$13=$J$14,F24*(1+$I$14),IF($I$13=$J$15,F24*(1+$I$15),F24*(1+$I$16)))</f>
        <v>323.57533818035353</v>
      </c>
      <c r="H24" s="80">
        <f t="shared" si="2"/>
        <v>360.46089062819925</v>
      </c>
      <c r="I24" s="80">
        <f>IF($I$13=$J$14,H24*(1+$I$14),IF($I$13=$J$15,H24*(1+$I$15),H24*(1+$I$16)))</f>
        <v>401.55116395197416</v>
      </c>
      <c r="J24" s="80">
        <f>IF(I18="Yes",I24*(1+D16),I24*(1+I19))</f>
        <v>421.02639540364493</v>
      </c>
    </row>
    <row r="25" spans="2:13">
      <c r="B25" t="str">
        <f>IF($I$6="A",$F$7,IF($I$6="B",$F$8,$F$9))</f>
        <v xml:space="preserve">Dividends and Buybacks Trailing 12 months </v>
      </c>
      <c r="D25" s="23">
        <f>D26/D24</f>
        <v>0.8497207918571511</v>
      </c>
      <c r="E25" s="23">
        <f>D25</f>
        <v>0.8497207918571511</v>
      </c>
      <c r="F25" s="23">
        <f t="shared" ref="F25:J25" si="3">E25</f>
        <v>0.8497207918571511</v>
      </c>
      <c r="G25" s="23">
        <f t="shared" si="3"/>
        <v>0.8497207918571511</v>
      </c>
      <c r="H25" s="23">
        <f t="shared" si="3"/>
        <v>0.8497207918571511</v>
      </c>
      <c r="I25" s="23">
        <f t="shared" si="3"/>
        <v>0.8497207918571511</v>
      </c>
      <c r="J25" s="23">
        <f t="shared" si="3"/>
        <v>0.8497207918571511</v>
      </c>
    </row>
    <row r="26" spans="2:13">
      <c r="B26" t="s">
        <v>61</v>
      </c>
      <c r="D26" s="80">
        <f>IF(I6="A",I7,IF(I6="B",I8,I9))</f>
        <v>198.88564854208479</v>
      </c>
      <c r="E26" s="80">
        <f>E24*E25</f>
        <v>221.55736098369846</v>
      </c>
      <c r="F26" s="80">
        <f t="shared" ref="F26:H26" si="4">F24*F25</f>
        <v>246.81350598142217</v>
      </c>
      <c r="G26" s="80">
        <f t="shared" si="4"/>
        <v>274.94869258405544</v>
      </c>
      <c r="H26" s="80">
        <f t="shared" si="4"/>
        <v>306.2911134181274</v>
      </c>
      <c r="I26" s="80">
        <f>I24*I25</f>
        <v>341.20637300443218</v>
      </c>
      <c r="J26" s="80">
        <f>J24*J25</f>
        <v>357.7548820951472</v>
      </c>
    </row>
    <row r="27" spans="2:13">
      <c r="B27" s="1" t="s">
        <v>48</v>
      </c>
      <c r="C27" s="1"/>
      <c r="D27" s="1"/>
      <c r="E27" s="1"/>
      <c r="F27" s="1"/>
      <c r="G27" s="1"/>
      <c r="H27" s="1"/>
      <c r="I27" s="81">
        <f>IF(I18="Yes",J26/(D16+D19-D16),J26/(D16+D19-I19))</f>
        <v>9958.356617163432</v>
      </c>
    </row>
    <row r="28" spans="2:13">
      <c r="B28" s="1"/>
      <c r="C28" s="1"/>
      <c r="D28" s="1"/>
      <c r="E28" s="1"/>
      <c r="F28" s="1"/>
      <c r="G28" s="1"/>
      <c r="H28" s="1"/>
      <c r="I28" s="31"/>
    </row>
    <row r="29" spans="2:13">
      <c r="B29" t="s">
        <v>45</v>
      </c>
      <c r="E29" s="28">
        <f>VLOOKUP(D6,$Z$4:$AA$15,2,FALSE)/12</f>
        <v>0.25</v>
      </c>
      <c r="F29" s="28">
        <f>E29+1</f>
        <v>1.25</v>
      </c>
      <c r="G29" s="28">
        <f>F29+1</f>
        <v>2.25</v>
      </c>
      <c r="H29" s="28">
        <f>G29+1</f>
        <v>3.25</v>
      </c>
      <c r="I29" s="28">
        <f>H29+1</f>
        <v>4.25</v>
      </c>
      <c r="J29" s="27"/>
    </row>
    <row r="30" spans="2:13">
      <c r="B30" t="s">
        <v>47</v>
      </c>
      <c r="E30" s="80">
        <f>E26*E29/(1+$D$16+$D$19)^E29</f>
        <v>54.278308198910146</v>
      </c>
      <c r="F30" s="80">
        <f>F26/(1+$D$16+$D$19)^F29</f>
        <v>223.03317843638206</v>
      </c>
      <c r="G30" s="80">
        <f>G26/(1+$D$16+$D$19)^G29</f>
        <v>229.11454102964211</v>
      </c>
      <c r="H30" s="80">
        <f>H26/(1+$D$16+$D$19)^H29</f>
        <v>235.36172187133499</v>
      </c>
      <c r="I30" s="81">
        <f>(I26+I27)/(1+$D$16+$D$19)^I29</f>
        <v>7298.282600952607</v>
      </c>
    </row>
    <row r="31" spans="2:13">
      <c r="E31" s="30"/>
      <c r="F31" s="30"/>
      <c r="G31" s="30"/>
      <c r="H31" s="30"/>
      <c r="I31" s="30"/>
    </row>
    <row r="32" spans="2:13">
      <c r="B32" s="32" t="s">
        <v>46</v>
      </c>
      <c r="C32" s="33"/>
      <c r="D32" s="33"/>
      <c r="E32" s="34"/>
      <c r="F32" s="34"/>
      <c r="G32" s="34"/>
      <c r="H32" s="34"/>
      <c r="I32" s="34"/>
      <c r="J32" s="82">
        <f>SUM(E30:I30)</f>
        <v>8040.0703504888761</v>
      </c>
    </row>
    <row r="33" spans="2:10">
      <c r="E33" s="24"/>
      <c r="F33" s="24"/>
      <c r="G33" s="24"/>
      <c r="H33" s="24"/>
      <c r="I33" s="24"/>
    </row>
    <row r="34" spans="2:10" ht="15.75">
      <c r="B34" s="121" t="s">
        <v>62</v>
      </c>
      <c r="C34" s="122"/>
      <c r="D34" s="122"/>
      <c r="E34" s="122"/>
      <c r="F34" s="122"/>
      <c r="G34" s="122"/>
      <c r="H34" s="122"/>
      <c r="I34" s="122"/>
      <c r="J34" s="123"/>
    </row>
    <row r="35" spans="2:10" ht="8.1" customHeight="1">
      <c r="B35" s="37"/>
      <c r="C35" s="37"/>
      <c r="D35" s="37"/>
      <c r="E35" s="37"/>
      <c r="F35" s="37"/>
      <c r="G35" s="37"/>
      <c r="H35" s="37"/>
      <c r="I35" s="37"/>
      <c r="J35" s="37"/>
    </row>
    <row r="36" spans="2:10">
      <c r="B36" s="12" t="s">
        <v>40</v>
      </c>
      <c r="C36" s="37"/>
      <c r="D36" s="38">
        <f>D16</f>
        <v>4.8500000000000001E-2</v>
      </c>
      <c r="E36" s="37"/>
      <c r="F36" s="37"/>
      <c r="G36" s="37"/>
      <c r="H36" s="37"/>
      <c r="I36" s="37"/>
      <c r="J36" s="37"/>
    </row>
    <row r="37" spans="2:10">
      <c r="B37" s="12" t="s">
        <v>15</v>
      </c>
      <c r="C37" s="37"/>
      <c r="D37" s="40">
        <f>D36+D38</f>
        <v>8.5639908694806588E-2</v>
      </c>
      <c r="E37" s="37"/>
      <c r="F37" s="37"/>
      <c r="G37" s="37"/>
      <c r="H37" s="37"/>
      <c r="I37" s="37"/>
      <c r="J37" s="37"/>
    </row>
    <row r="38" spans="2:10">
      <c r="B38" s="12" t="s">
        <v>63</v>
      </c>
      <c r="C38" s="37"/>
      <c r="D38" s="41">
        <v>3.713990869480658E-2</v>
      </c>
      <c r="E38" s="37"/>
      <c r="F38" s="37"/>
      <c r="G38" s="37"/>
      <c r="H38" s="37"/>
      <c r="I38" s="37"/>
      <c r="J38" s="37"/>
    </row>
    <row r="39" spans="2:10">
      <c r="B39" s="37"/>
      <c r="C39" s="37"/>
      <c r="D39" s="37"/>
      <c r="E39" s="37"/>
      <c r="F39" s="37"/>
      <c r="G39" s="37"/>
      <c r="H39" s="37"/>
      <c r="I39" s="37"/>
      <c r="J39" s="37"/>
    </row>
    <row r="40" spans="2:10">
      <c r="B40" s="20"/>
      <c r="C40" s="20"/>
      <c r="D40" s="20" t="s">
        <v>34</v>
      </c>
      <c r="E40" s="29">
        <v>1</v>
      </c>
      <c r="F40" s="29">
        <f>E40+1</f>
        <v>2</v>
      </c>
      <c r="G40" s="29">
        <f t="shared" ref="G40:I40" si="5">F40+1</f>
        <v>3</v>
      </c>
      <c r="H40" s="29">
        <f t="shared" si="5"/>
        <v>4</v>
      </c>
      <c r="I40" s="29">
        <f t="shared" si="5"/>
        <v>5</v>
      </c>
      <c r="J40" s="20" t="s">
        <v>49</v>
      </c>
    </row>
    <row r="41" spans="2:10">
      <c r="B41" t="s">
        <v>44</v>
      </c>
      <c r="D41" s="80">
        <f>D24</f>
        <v>234.06</v>
      </c>
      <c r="E41" s="80">
        <f>E24</f>
        <v>260.74136717245949</v>
      </c>
      <c r="F41" s="80">
        <f t="shared" ref="F41:I41" si="6">F24</f>
        <v>290.46424230950754</v>
      </c>
      <c r="G41" s="80">
        <f t="shared" si="6"/>
        <v>323.57533818035353</v>
      </c>
      <c r="H41" s="80">
        <f t="shared" si="6"/>
        <v>360.46089062819925</v>
      </c>
      <c r="I41" s="80">
        <f t="shared" si="6"/>
        <v>401.55116395197416</v>
      </c>
      <c r="J41" s="80">
        <f>J24</f>
        <v>421.02639540364493</v>
      </c>
    </row>
    <row r="42" spans="2:10">
      <c r="B42" t="str">
        <f>IF($I$6="A",$F$7,IF($I$6="B",$F$8,$F$9))</f>
        <v xml:space="preserve">Dividends and Buybacks Trailing 12 months </v>
      </c>
      <c r="D42" s="23">
        <f>D43/D41</f>
        <v>0.8497207918571511</v>
      </c>
      <c r="E42" s="39">
        <f>D42</f>
        <v>0.8497207918571511</v>
      </c>
      <c r="F42" s="39">
        <f t="shared" ref="F42:I42" si="7">E42</f>
        <v>0.8497207918571511</v>
      </c>
      <c r="G42" s="39">
        <f t="shared" si="7"/>
        <v>0.8497207918571511</v>
      </c>
      <c r="H42" s="39">
        <f t="shared" si="7"/>
        <v>0.8497207918571511</v>
      </c>
      <c r="I42" s="39">
        <f t="shared" si="7"/>
        <v>0.8497207918571511</v>
      </c>
      <c r="J42" s="39">
        <f>I42</f>
        <v>0.8497207918571511</v>
      </c>
    </row>
    <row r="43" spans="2:10">
      <c r="B43" t="s">
        <v>61</v>
      </c>
      <c r="D43" s="80">
        <f>D26</f>
        <v>198.88564854208479</v>
      </c>
      <c r="E43" s="80">
        <f>E41*E42</f>
        <v>221.55736098369846</v>
      </c>
      <c r="F43" s="80">
        <f t="shared" ref="F43:H43" si="8">F41*F42</f>
        <v>246.81350598142217</v>
      </c>
      <c r="G43" s="80">
        <f t="shared" si="8"/>
        <v>274.94869258405544</v>
      </c>
      <c r="H43" s="80">
        <f t="shared" si="8"/>
        <v>306.2911134181274</v>
      </c>
      <c r="I43" s="80">
        <f>I41*I42</f>
        <v>341.20637300443218</v>
      </c>
      <c r="J43" s="80">
        <f>J41*J42</f>
        <v>357.7548820951472</v>
      </c>
    </row>
    <row r="44" spans="2:10">
      <c r="B44" s="1" t="s">
        <v>48</v>
      </c>
      <c r="C44" s="1"/>
      <c r="D44" s="1"/>
      <c r="E44" s="1"/>
      <c r="F44" s="1"/>
      <c r="G44" s="1"/>
      <c r="H44" s="1"/>
      <c r="I44" s="81">
        <f>IF(I18="Yes",J43/(D36+D38-D36),J43/(D36+D38-I19))</f>
        <v>9632.6268606355898</v>
      </c>
    </row>
    <row r="45" spans="2:10">
      <c r="B45" s="1"/>
      <c r="C45" s="1"/>
      <c r="D45" s="1"/>
      <c r="E45" s="1"/>
      <c r="F45" s="1"/>
      <c r="G45" s="1"/>
      <c r="H45" s="1"/>
      <c r="I45" s="42"/>
    </row>
    <row r="46" spans="2:10">
      <c r="B46" t="s">
        <v>45</v>
      </c>
      <c r="E46" s="28">
        <f>E29</f>
        <v>0.25</v>
      </c>
      <c r="F46" s="28">
        <f t="shared" ref="F46:H46" si="9">F29</f>
        <v>1.25</v>
      </c>
      <c r="G46" s="28">
        <f t="shared" si="9"/>
        <v>2.25</v>
      </c>
      <c r="H46" s="28">
        <f t="shared" si="9"/>
        <v>3.25</v>
      </c>
      <c r="I46" s="28">
        <f>I29</f>
        <v>4.25</v>
      </c>
    </row>
    <row r="47" spans="2:10">
      <c r="B47" t="s">
        <v>47</v>
      </c>
      <c r="E47" s="80">
        <f>E43*E46/(1+$D$36+$D$38)^E46</f>
        <v>54.263117651565892</v>
      </c>
      <c r="F47" s="80">
        <f>F43/(1+$D$36+$D$38)^F46</f>
        <v>222.72125822895805</v>
      </c>
      <c r="G47" s="80">
        <f>G43/(1+$D$36+$D$38)^G46</f>
        <v>228.5380983157477</v>
      </c>
      <c r="H47" s="80">
        <f>H43/(1+$D$36+$D$38)^H46</f>
        <v>234.50685757210547</v>
      </c>
      <c r="I47" s="80">
        <f>(I43+I44)/(1+$D$36+$D$38)^I46</f>
        <v>7033.9204612114272</v>
      </c>
    </row>
    <row r="48" spans="2:10">
      <c r="E48" s="7"/>
    </row>
    <row r="49" spans="2:10">
      <c r="B49" s="32" t="s">
        <v>46</v>
      </c>
      <c r="C49" s="33"/>
      <c r="D49" s="33"/>
      <c r="E49" s="34"/>
      <c r="F49" s="34"/>
      <c r="G49" s="34"/>
      <c r="H49" s="34"/>
      <c r="I49" s="34"/>
      <c r="J49" s="82">
        <f>SUM(E47:I47)</f>
        <v>7773.9497929798044</v>
      </c>
    </row>
    <row r="51" spans="2:10">
      <c r="E51" s="120"/>
      <c r="F51" s="120"/>
      <c r="G51" s="120"/>
      <c r="H51" s="120"/>
      <c r="I51" s="120"/>
      <c r="J51" s="120"/>
    </row>
    <row r="52" spans="2:10">
      <c r="J52" s="95"/>
    </row>
  </sheetData>
  <mergeCells count="2">
    <mergeCell ref="B21:J21"/>
    <mergeCell ref="B34:J34"/>
  </mergeCells>
  <dataValidations count="5">
    <dataValidation type="list" allowBlank="1" showInputMessage="1" showErrorMessage="1" sqref="I18:I19" xr:uid="{CDF7B794-E197-4916-A74E-1765B632FFEB}">
      <formula1>"Yes, No"</formula1>
    </dataValidation>
    <dataValidation type="list" allowBlank="1" showInputMessage="1" showErrorMessage="1" sqref="I6 I13" xr:uid="{418126ED-1777-4008-BD55-275D7DFBF6B6}">
      <formula1>$J$7:$J$9</formula1>
    </dataValidation>
    <dataValidation type="list" allowBlank="1" showInputMessage="1" showErrorMessage="1" sqref="D18" xr:uid="{29A4ADAE-FD75-49AC-9F7A-357F4AFCB5ED}">
      <formula1>$AC$4:$AC$6</formula1>
    </dataValidation>
    <dataValidation type="list" allowBlank="1" showInputMessage="1" showErrorMessage="1" sqref="D7" xr:uid="{18AC322A-C4F3-47A1-9029-DEB8A93A7953}">
      <formula1>$AB$4:$AB$5</formula1>
    </dataValidation>
    <dataValidation type="list" allowBlank="1" showInputMessage="1" showErrorMessage="1" sqref="D6" xr:uid="{2814A632-7BE7-497D-B8BD-3AF9348FEEDB}">
      <formula1>$Z$4:$Z$16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0C22-2FA7-44F0-A873-708C1E904581}">
  <dimension ref="B2:M41"/>
  <sheetViews>
    <sheetView showGridLines="0" topLeftCell="A15" workbookViewId="0">
      <selection activeCell="D36" sqref="D36"/>
    </sheetView>
  </sheetViews>
  <sheetFormatPr defaultRowHeight="15"/>
  <cols>
    <col min="1" max="1" width="2.7109375" customWidth="1"/>
    <col min="2" max="2" width="16" bestFit="1" customWidth="1"/>
    <col min="3" max="3" width="14.7109375" customWidth="1"/>
    <col min="4" max="13" width="15.7109375" customWidth="1"/>
  </cols>
  <sheetData>
    <row r="2" spans="2:13" ht="26.25">
      <c r="B2" s="45" t="s">
        <v>0</v>
      </c>
      <c r="C2" s="45" t="s">
        <v>1</v>
      </c>
      <c r="D2" s="45" t="s">
        <v>2</v>
      </c>
      <c r="E2" s="45" t="s">
        <v>67</v>
      </c>
      <c r="F2" s="45" t="s">
        <v>3</v>
      </c>
      <c r="G2" s="45" t="s">
        <v>68</v>
      </c>
      <c r="H2" s="45" t="s">
        <v>5</v>
      </c>
      <c r="I2" s="45" t="s">
        <v>4</v>
      </c>
      <c r="J2" s="45" t="s">
        <v>50</v>
      </c>
      <c r="K2" s="45" t="s">
        <v>6</v>
      </c>
      <c r="L2" s="45" t="s">
        <v>89</v>
      </c>
      <c r="M2" s="45" t="s">
        <v>90</v>
      </c>
    </row>
    <row r="3" spans="2:13">
      <c r="B3" s="89">
        <v>2001</v>
      </c>
      <c r="C3" s="84">
        <v>1148.0899999999999</v>
      </c>
      <c r="D3" s="85">
        <v>38.85</v>
      </c>
      <c r="E3" s="85">
        <v>15.74</v>
      </c>
      <c r="F3" s="85">
        <v>14.339957999999999</v>
      </c>
      <c r="G3" s="96">
        <f>E3/C3</f>
        <v>1.3709726589378883E-2</v>
      </c>
      <c r="H3" s="96">
        <f t="shared" ref="H3:H26" si="0">F3/C3</f>
        <v>1.2490273410621118E-2</v>
      </c>
      <c r="I3" s="87">
        <f t="shared" ref="I3:I26" si="1">E3+F3</f>
        <v>30.079957999999998</v>
      </c>
      <c r="J3" s="50">
        <f t="shared" ref="J3:J25" si="2">(E3+F3)/D3</f>
        <v>0.77425889317889307</v>
      </c>
      <c r="K3" s="96">
        <f>H3+G3</f>
        <v>2.6200000000000001E-2</v>
      </c>
      <c r="L3" s="84">
        <v>325.8</v>
      </c>
      <c r="M3" s="96">
        <f>D3/L3</f>
        <v>0.11924493554327809</v>
      </c>
    </row>
    <row r="4" spans="2:13">
      <c r="B4" s="89">
        <v>2002</v>
      </c>
      <c r="C4" s="84">
        <v>879.82</v>
      </c>
      <c r="D4" s="85">
        <v>46.04</v>
      </c>
      <c r="E4" s="85">
        <v>15.96</v>
      </c>
      <c r="F4" s="85">
        <v>13.865898</v>
      </c>
      <c r="G4" s="96">
        <f t="shared" ref="G4:G26" si="3">E4/C4</f>
        <v>1.8140074106067151E-2</v>
      </c>
      <c r="H4" s="96">
        <f t="shared" si="0"/>
        <v>1.5759925893932849E-2</v>
      </c>
      <c r="I4" s="87">
        <f t="shared" si="1"/>
        <v>29.825898000000002</v>
      </c>
      <c r="J4" s="50">
        <f t="shared" si="2"/>
        <v>0.64782576020851435</v>
      </c>
      <c r="K4" s="96">
        <f t="shared" ref="K4:K25" si="4">H4+G4</f>
        <v>3.39E-2</v>
      </c>
      <c r="L4" s="84">
        <v>338.37</v>
      </c>
      <c r="M4" s="96">
        <f t="shared" ref="M4:M26" si="5">D4/L4</f>
        <v>0.13606407187398409</v>
      </c>
    </row>
    <row r="5" spans="2:13">
      <c r="B5" s="89">
        <v>2003</v>
      </c>
      <c r="C5" s="84">
        <v>1111.9100000000001</v>
      </c>
      <c r="D5" s="85">
        <v>54.69</v>
      </c>
      <c r="E5" s="85">
        <v>17.88</v>
      </c>
      <c r="F5" s="85">
        <v>13.698244000000004</v>
      </c>
      <c r="G5" s="96">
        <f t="shared" si="3"/>
        <v>1.6080438164959392E-2</v>
      </c>
      <c r="H5" s="96">
        <f t="shared" si="0"/>
        <v>1.2319561835040609E-2</v>
      </c>
      <c r="I5" s="87">
        <f t="shared" si="1"/>
        <v>31.578244000000005</v>
      </c>
      <c r="J5" s="50">
        <f t="shared" si="2"/>
        <v>0.57740435180106064</v>
      </c>
      <c r="K5" s="96">
        <f t="shared" si="4"/>
        <v>2.8400000000000002E-2</v>
      </c>
      <c r="L5" s="84">
        <v>325.72000000000003</v>
      </c>
      <c r="M5" s="96">
        <f t="shared" si="5"/>
        <v>0.1679049490359818</v>
      </c>
    </row>
    <row r="6" spans="2:13">
      <c r="B6" s="89">
        <v>2004</v>
      </c>
      <c r="C6" s="84">
        <v>1211.92</v>
      </c>
      <c r="D6" s="85">
        <v>67.680000000000007</v>
      </c>
      <c r="E6" s="85">
        <v>19.010000000000002</v>
      </c>
      <c r="F6" s="85">
        <v>21.589320000000001</v>
      </c>
      <c r="G6" s="96">
        <f t="shared" si="3"/>
        <v>1.568585385173939E-2</v>
      </c>
      <c r="H6" s="96">
        <f t="shared" si="0"/>
        <v>1.7814146148260612E-2</v>
      </c>
      <c r="I6" s="87">
        <f t="shared" si="1"/>
        <v>40.599320000000006</v>
      </c>
      <c r="J6" s="50">
        <f t="shared" si="2"/>
        <v>0.59987174940898347</v>
      </c>
      <c r="K6" s="96">
        <f t="shared" si="4"/>
        <v>3.3500000000000002E-2</v>
      </c>
      <c r="L6" s="84">
        <v>367.17</v>
      </c>
      <c r="M6" s="96">
        <f t="shared" si="5"/>
        <v>0.18432878503145683</v>
      </c>
    </row>
    <row r="7" spans="2:13">
      <c r="B7" s="89">
        <v>2005</v>
      </c>
      <c r="C7" s="84">
        <v>1248.29</v>
      </c>
      <c r="D7" s="85">
        <v>76.45</v>
      </c>
      <c r="E7" s="85">
        <v>22.344390999999998</v>
      </c>
      <c r="F7" s="85">
        <v>38.821818999999998</v>
      </c>
      <c r="G7" s="96">
        <f t="shared" si="3"/>
        <v>1.7899999999999999E-2</v>
      </c>
      <c r="H7" s="96">
        <f t="shared" si="0"/>
        <v>3.1099999999999999E-2</v>
      </c>
      <c r="I7" s="87">
        <f>E7+F7</f>
        <v>61.166209999999992</v>
      </c>
      <c r="J7" s="50">
        <f>(E7+F7)/D7</f>
        <v>0.80008122956180494</v>
      </c>
      <c r="K7" s="96">
        <f t="shared" si="4"/>
        <v>4.9000000000000002E-2</v>
      </c>
      <c r="L7" s="84">
        <v>414.75</v>
      </c>
      <c r="M7" s="96">
        <f t="shared" si="5"/>
        <v>0.18432790837854129</v>
      </c>
    </row>
    <row r="8" spans="2:13">
      <c r="B8" s="89">
        <v>2006</v>
      </c>
      <c r="C8" s="84">
        <v>1418.3</v>
      </c>
      <c r="D8" s="85">
        <v>87.72</v>
      </c>
      <c r="E8" s="85">
        <v>25.042259800455653</v>
      </c>
      <c r="F8" s="85">
        <v>48.115679864875482</v>
      </c>
      <c r="G8" s="96">
        <f t="shared" si="3"/>
        <v>1.765653232775552E-2</v>
      </c>
      <c r="H8" s="96">
        <f t="shared" si="0"/>
        <v>3.3924895906984054E-2</v>
      </c>
      <c r="I8" s="87">
        <f>E8+F8</f>
        <v>73.157939665331128</v>
      </c>
      <c r="J8" s="50">
        <f t="shared" ref="J8:J13" si="6">(E8+F8)/D8</f>
        <v>0.83399384023405299</v>
      </c>
      <c r="K8" s="96">
        <f t="shared" si="4"/>
        <v>5.1581428234739574E-2</v>
      </c>
      <c r="L8" s="84">
        <v>453.06</v>
      </c>
      <c r="M8" s="96">
        <f t="shared" si="5"/>
        <v>0.19361673950470137</v>
      </c>
    </row>
    <row r="9" spans="2:13">
      <c r="B9" s="89">
        <v>2007</v>
      </c>
      <c r="C9" s="84">
        <v>1468.36</v>
      </c>
      <c r="D9" s="85">
        <v>82.54</v>
      </c>
      <c r="E9" s="85">
        <v>28.138241560460056</v>
      </c>
      <c r="F9" s="85">
        <v>67.224140752253646</v>
      </c>
      <c r="G9" s="96">
        <f t="shared" si="3"/>
        <v>1.9163040099471559E-2</v>
      </c>
      <c r="H9" s="96">
        <f t="shared" si="0"/>
        <v>4.5781784271059993E-2</v>
      </c>
      <c r="I9" s="87">
        <f t="shared" si="1"/>
        <v>95.362382312713706</v>
      </c>
      <c r="J9" s="50">
        <f t="shared" si="6"/>
        <v>1.1553474959136625</v>
      </c>
      <c r="K9" s="96">
        <f t="shared" si="4"/>
        <v>6.4944824370531548E-2</v>
      </c>
      <c r="L9" s="84">
        <v>504.39</v>
      </c>
      <c r="M9" s="96">
        <f t="shared" si="5"/>
        <v>0.1636432125934297</v>
      </c>
    </row>
    <row r="10" spans="2:13">
      <c r="B10" s="89">
        <v>2008</v>
      </c>
      <c r="C10" s="84">
        <v>903.25</v>
      </c>
      <c r="D10" s="85">
        <v>49.51</v>
      </c>
      <c r="E10" s="85">
        <v>28.446853349465105</v>
      </c>
      <c r="F10" s="85">
        <v>39.070278909831892</v>
      </c>
      <c r="G10" s="96">
        <f t="shared" si="3"/>
        <v>3.1493886907794193E-2</v>
      </c>
      <c r="H10" s="96">
        <f t="shared" si="0"/>
        <v>4.3255221599592462E-2</v>
      </c>
      <c r="I10" s="87">
        <f t="shared" si="1"/>
        <v>67.517132259297</v>
      </c>
      <c r="J10" s="50">
        <f t="shared" si="6"/>
        <v>1.3637069735264997</v>
      </c>
      <c r="K10" s="96">
        <f t="shared" si="4"/>
        <v>7.4749108507386655E-2</v>
      </c>
      <c r="L10" s="84">
        <v>529.59</v>
      </c>
      <c r="M10" s="96">
        <f t="shared" si="5"/>
        <v>9.3487414792575385E-2</v>
      </c>
    </row>
    <row r="11" spans="2:13">
      <c r="B11" s="89">
        <v>2009</v>
      </c>
      <c r="C11" s="84">
        <v>1115</v>
      </c>
      <c r="D11" s="85">
        <v>56.86</v>
      </c>
      <c r="E11" s="85">
        <v>21.968689564867041</v>
      </c>
      <c r="F11" s="85">
        <v>15.459281829170026</v>
      </c>
      <c r="G11" s="96">
        <f t="shared" si="3"/>
        <v>1.9702860596293312E-2</v>
      </c>
      <c r="H11" s="96">
        <f t="shared" si="0"/>
        <v>1.3864826752618856E-2</v>
      </c>
      <c r="I11" s="87">
        <f t="shared" si="1"/>
        <v>37.427971394037066</v>
      </c>
      <c r="J11" s="50">
        <f t="shared" si="6"/>
        <v>0.65824782613501698</v>
      </c>
      <c r="K11" s="96">
        <f t="shared" si="4"/>
        <v>3.3567687348912169E-2</v>
      </c>
      <c r="L11" s="84">
        <v>451.37</v>
      </c>
      <c r="M11" s="96">
        <f t="shared" si="5"/>
        <v>0.12597204067616369</v>
      </c>
    </row>
    <row r="12" spans="2:13">
      <c r="B12" s="89">
        <v>2010</v>
      </c>
      <c r="C12" s="84">
        <v>1257.6400000000001</v>
      </c>
      <c r="D12" s="85">
        <v>83.77</v>
      </c>
      <c r="E12" s="85">
        <v>22.647422677165356</v>
      </c>
      <c r="F12" s="85">
        <v>32.879088783902013</v>
      </c>
      <c r="G12" s="96">
        <f t="shared" si="3"/>
        <v>1.8007874015748031E-2</v>
      </c>
      <c r="H12" s="96">
        <f t="shared" si="0"/>
        <v>2.6143482064741905E-2</v>
      </c>
      <c r="I12" s="87">
        <f t="shared" si="1"/>
        <v>55.526511461067372</v>
      </c>
      <c r="J12" s="50">
        <f t="shared" si="6"/>
        <v>0.66284483062035782</v>
      </c>
      <c r="K12" s="96">
        <f t="shared" si="4"/>
        <v>4.4151356080489937E-2</v>
      </c>
      <c r="L12" s="84">
        <v>513.58000000000004</v>
      </c>
      <c r="M12" s="96">
        <f t="shared" si="5"/>
        <v>0.16310993418746833</v>
      </c>
    </row>
    <row r="13" spans="2:13">
      <c r="B13" s="89">
        <v>2011</v>
      </c>
      <c r="C13" s="84">
        <v>1257.5999999999999</v>
      </c>
      <c r="D13" s="85">
        <v>96.44</v>
      </c>
      <c r="E13" s="85">
        <v>26.532764163372857</v>
      </c>
      <c r="F13" s="85">
        <v>44.74559578392622</v>
      </c>
      <c r="G13" s="96">
        <f t="shared" si="3"/>
        <v>2.1097935880544576E-2</v>
      </c>
      <c r="H13" s="96">
        <f t="shared" si="0"/>
        <v>3.5580149319279761E-2</v>
      </c>
      <c r="I13" s="87">
        <f t="shared" si="1"/>
        <v>71.27835994729908</v>
      </c>
      <c r="J13" s="50">
        <f t="shared" si="6"/>
        <v>0.73909539555473958</v>
      </c>
      <c r="K13" s="96">
        <f t="shared" si="4"/>
        <v>5.6678085199824341E-2</v>
      </c>
      <c r="L13" s="84">
        <v>579.14</v>
      </c>
      <c r="M13" s="96">
        <f t="shared" si="5"/>
        <v>0.1665227751493594</v>
      </c>
    </row>
    <row r="14" spans="2:13">
      <c r="B14" s="89">
        <v>2012</v>
      </c>
      <c r="C14" s="84">
        <v>1426.19</v>
      </c>
      <c r="D14" s="85">
        <v>96.82</v>
      </c>
      <c r="E14" s="86">
        <v>31.25</v>
      </c>
      <c r="F14" s="85">
        <v>44.649305674148479</v>
      </c>
      <c r="G14" s="96">
        <f t="shared" si="3"/>
        <v>2.1911526514700005E-2</v>
      </c>
      <c r="H14" s="51">
        <f t="shared" si="0"/>
        <v>3.1306702244545591E-2</v>
      </c>
      <c r="I14" s="87">
        <f t="shared" si="1"/>
        <v>75.899305674148479</v>
      </c>
      <c r="J14" s="50">
        <f t="shared" si="2"/>
        <v>0.78392176899554311</v>
      </c>
      <c r="K14" s="96">
        <f t="shared" si="4"/>
        <v>5.3218228759245596E-2</v>
      </c>
      <c r="L14" s="84">
        <v>613.14</v>
      </c>
      <c r="M14" s="96">
        <f t="shared" si="5"/>
        <v>0.1579084711485142</v>
      </c>
    </row>
    <row r="15" spans="2:13">
      <c r="B15" s="89">
        <v>2013</v>
      </c>
      <c r="C15" s="84">
        <v>1848.36</v>
      </c>
      <c r="D15" s="85">
        <v>104.92</v>
      </c>
      <c r="E15" s="86">
        <v>34.9</v>
      </c>
      <c r="F15" s="85">
        <v>53.23</v>
      </c>
      <c r="G15" s="96">
        <f t="shared" si="3"/>
        <v>1.888160315090134E-2</v>
      </c>
      <c r="H15" s="51">
        <f t="shared" si="0"/>
        <v>2.8798502456231469E-2</v>
      </c>
      <c r="I15" s="87">
        <f t="shared" si="1"/>
        <v>88.13</v>
      </c>
      <c r="J15" s="50">
        <f t="shared" si="2"/>
        <v>0.83997331300038114</v>
      </c>
      <c r="K15" s="96">
        <f t="shared" si="4"/>
        <v>4.768010560713281E-2</v>
      </c>
      <c r="L15" s="84">
        <v>666.97</v>
      </c>
      <c r="M15" s="96">
        <f t="shared" si="5"/>
        <v>0.15730842466677661</v>
      </c>
    </row>
    <row r="16" spans="2:13">
      <c r="B16" s="89">
        <v>2014</v>
      </c>
      <c r="C16" s="84">
        <v>2058.9</v>
      </c>
      <c r="D16" s="85">
        <v>116.16</v>
      </c>
      <c r="E16" s="86">
        <v>39.545098766785422</v>
      </c>
      <c r="F16" s="85">
        <v>62.435056344203893</v>
      </c>
      <c r="G16" s="96">
        <f t="shared" si="3"/>
        <v>1.9206906001644285E-2</v>
      </c>
      <c r="H16" s="51">
        <f t="shared" si="0"/>
        <v>3.0324472458207727E-2</v>
      </c>
      <c r="I16" s="87">
        <f t="shared" si="1"/>
        <v>101.98015511098932</v>
      </c>
      <c r="J16" s="50">
        <f t="shared" si="2"/>
        <v>0.87792833256705682</v>
      </c>
      <c r="K16" s="96">
        <f t="shared" si="4"/>
        <v>4.9531378459852012E-2</v>
      </c>
      <c r="L16" s="84">
        <v>715.84</v>
      </c>
      <c r="M16" s="96">
        <f t="shared" si="5"/>
        <v>0.16227089852481</v>
      </c>
    </row>
    <row r="17" spans="2:13">
      <c r="B17" s="89">
        <v>2015</v>
      </c>
      <c r="C17" s="84">
        <v>2043.94</v>
      </c>
      <c r="D17" s="85">
        <v>100.48</v>
      </c>
      <c r="E17" s="86">
        <v>43.41</v>
      </c>
      <c r="F17" s="85">
        <v>64.94</v>
      </c>
      <c r="G17" s="96">
        <f t="shared" si="3"/>
        <v>2.1238392516414375E-2</v>
      </c>
      <c r="H17" s="51">
        <f t="shared" si="0"/>
        <v>3.1771969822988931E-2</v>
      </c>
      <c r="I17" s="87">
        <f t="shared" si="1"/>
        <v>108.35</v>
      </c>
      <c r="J17" s="50">
        <f t="shared" si="2"/>
        <v>1.0783240445859872</v>
      </c>
      <c r="K17" s="96">
        <f t="shared" si="4"/>
        <v>5.3010362339403302E-2</v>
      </c>
      <c r="L17" s="84">
        <v>726.96</v>
      </c>
      <c r="M17" s="96">
        <f t="shared" si="5"/>
        <v>0.13821943435677342</v>
      </c>
    </row>
    <row r="18" spans="2:13">
      <c r="B18" s="89">
        <v>2016</v>
      </c>
      <c r="C18" s="84">
        <v>2238.8200000000002</v>
      </c>
      <c r="D18" s="85">
        <v>106.26</v>
      </c>
      <c r="E18" s="85">
        <v>45.7</v>
      </c>
      <c r="F18" s="85">
        <v>62.32</v>
      </c>
      <c r="G18" s="96">
        <f t="shared" si="3"/>
        <v>2.0412538748090511E-2</v>
      </c>
      <c r="H18" s="51">
        <f t="shared" si="0"/>
        <v>2.7836092227155374E-2</v>
      </c>
      <c r="I18" s="87">
        <f t="shared" si="1"/>
        <v>108.02000000000001</v>
      </c>
      <c r="J18" s="50">
        <f t="shared" si="2"/>
        <v>1.0165631469979297</v>
      </c>
      <c r="K18" s="96">
        <f t="shared" si="4"/>
        <v>4.8248630975245885E-2</v>
      </c>
      <c r="L18" s="84">
        <v>740.29</v>
      </c>
      <c r="M18" s="96">
        <f t="shared" si="5"/>
        <v>0.14353834308176527</v>
      </c>
    </row>
    <row r="19" spans="2:13">
      <c r="B19" s="89">
        <v>2017</v>
      </c>
      <c r="C19" s="84">
        <v>2673.61</v>
      </c>
      <c r="D19" s="85">
        <v>124.51</v>
      </c>
      <c r="E19" s="85">
        <v>48.93</v>
      </c>
      <c r="F19" s="85">
        <v>60.85</v>
      </c>
      <c r="G19" s="96">
        <f t="shared" si="3"/>
        <v>1.830109851474224E-2</v>
      </c>
      <c r="H19" s="51">
        <f t="shared" si="0"/>
        <v>2.2759489977969862E-2</v>
      </c>
      <c r="I19" s="87">
        <f t="shared" si="1"/>
        <v>109.78</v>
      </c>
      <c r="J19" s="50">
        <f t="shared" si="2"/>
        <v>0.88169624929724522</v>
      </c>
      <c r="K19" s="96">
        <f t="shared" si="4"/>
        <v>4.1060588492712102E-2</v>
      </c>
      <c r="L19" s="84">
        <v>768.99</v>
      </c>
      <c r="M19" s="96">
        <f t="shared" si="5"/>
        <v>0.16191367898152123</v>
      </c>
    </row>
    <row r="20" spans="2:13">
      <c r="B20" s="89">
        <v>2018</v>
      </c>
      <c r="C20" s="84">
        <v>2506.85</v>
      </c>
      <c r="D20" s="85">
        <v>152.78</v>
      </c>
      <c r="E20" s="85">
        <v>54.39</v>
      </c>
      <c r="F20" s="85">
        <v>96.11</v>
      </c>
      <c r="G20" s="96">
        <f t="shared" si="3"/>
        <v>2.1696551449029659E-2</v>
      </c>
      <c r="H20" s="51">
        <f t="shared" si="0"/>
        <v>3.8338951273510585E-2</v>
      </c>
      <c r="I20" s="87">
        <f t="shared" si="1"/>
        <v>150.5</v>
      </c>
      <c r="J20" s="50">
        <f t="shared" si="2"/>
        <v>0.98507658070428061</v>
      </c>
      <c r="K20" s="96">
        <f t="shared" si="4"/>
        <v>6.003550272254024E-2</v>
      </c>
      <c r="L20" s="84">
        <v>826.52</v>
      </c>
      <c r="M20" s="96">
        <f t="shared" si="5"/>
        <v>0.18484731161980353</v>
      </c>
    </row>
    <row r="21" spans="2:13">
      <c r="B21" s="89">
        <v>2019</v>
      </c>
      <c r="C21" s="84">
        <v>3230.78</v>
      </c>
      <c r="D21" s="85">
        <v>157.18</v>
      </c>
      <c r="E21" s="85">
        <v>58.5</v>
      </c>
      <c r="F21" s="85">
        <v>87.81</v>
      </c>
      <c r="G21" s="96">
        <f t="shared" si="3"/>
        <v>1.810708250020119E-2</v>
      </c>
      <c r="H21" s="51">
        <f t="shared" si="0"/>
        <v>2.7179195116968657E-2</v>
      </c>
      <c r="I21" s="87">
        <f t="shared" si="1"/>
        <v>146.31</v>
      </c>
      <c r="J21" s="50">
        <f t="shared" si="2"/>
        <v>0.9308436187810154</v>
      </c>
      <c r="K21" s="96">
        <f t="shared" si="4"/>
        <v>4.5286277617169843E-2</v>
      </c>
      <c r="L21" s="84">
        <v>851.62</v>
      </c>
      <c r="M21" s="96">
        <f t="shared" si="5"/>
        <v>0.18456588619337264</v>
      </c>
    </row>
    <row r="22" spans="2:13">
      <c r="B22" s="89">
        <v>2020</v>
      </c>
      <c r="C22" s="84">
        <v>3756.07</v>
      </c>
      <c r="D22" s="85">
        <v>139.76</v>
      </c>
      <c r="E22" s="85">
        <v>57</v>
      </c>
      <c r="F22" s="85">
        <v>61.66</v>
      </c>
      <c r="G22" s="96">
        <f t="shared" si="3"/>
        <v>1.5175436027550072E-2</v>
      </c>
      <c r="H22" s="51">
        <f t="shared" si="0"/>
        <v>1.6416094481732233E-2</v>
      </c>
      <c r="I22" s="87">
        <f t="shared" si="1"/>
        <v>118.66</v>
      </c>
      <c r="J22" s="50">
        <f t="shared" si="2"/>
        <v>0.84902690326273611</v>
      </c>
      <c r="K22" s="96">
        <f t="shared" si="4"/>
        <v>3.1591530509282303E-2</v>
      </c>
      <c r="L22" s="84">
        <v>914.5</v>
      </c>
      <c r="M22" s="96">
        <f t="shared" si="5"/>
        <v>0.15282668124658283</v>
      </c>
    </row>
    <row r="23" spans="2:13">
      <c r="B23" s="89">
        <v>2021</v>
      </c>
      <c r="C23" s="84">
        <v>4766.18</v>
      </c>
      <c r="D23" s="85">
        <v>205.35</v>
      </c>
      <c r="E23" s="85">
        <v>60.65</v>
      </c>
      <c r="F23" s="85">
        <v>104.61</v>
      </c>
      <c r="G23" s="96">
        <f t="shared" si="3"/>
        <v>1.2725075427281386E-2</v>
      </c>
      <c r="H23" s="51">
        <f t="shared" si="0"/>
        <v>2.1948394731210318E-2</v>
      </c>
      <c r="I23" s="87">
        <f t="shared" si="1"/>
        <v>165.26</v>
      </c>
      <c r="J23" s="50">
        <f t="shared" si="2"/>
        <v>0.80477233990747499</v>
      </c>
      <c r="K23" s="96">
        <f t="shared" si="4"/>
        <v>3.4673470158491704E-2</v>
      </c>
      <c r="L23" s="84">
        <v>927.52</v>
      </c>
      <c r="M23" s="96">
        <f t="shared" si="5"/>
        <v>0.22139684319475592</v>
      </c>
    </row>
    <row r="24" spans="2:13">
      <c r="B24" s="89">
        <v>2022</v>
      </c>
      <c r="C24" s="84">
        <v>3839.5</v>
      </c>
      <c r="D24" s="85">
        <v>198.85</v>
      </c>
      <c r="E24" s="85">
        <v>66.98</v>
      </c>
      <c r="F24" s="85">
        <v>109.47</v>
      </c>
      <c r="G24" s="96">
        <f t="shared" si="3"/>
        <v>1.744497981508009E-2</v>
      </c>
      <c r="H24" s="51">
        <f t="shared" si="0"/>
        <v>2.8511524938142987E-2</v>
      </c>
      <c r="I24" s="87">
        <f t="shared" si="1"/>
        <v>176.45</v>
      </c>
      <c r="J24" s="50">
        <f t="shared" si="2"/>
        <v>0.88735227558461149</v>
      </c>
      <c r="K24" s="96">
        <f t="shared" si="4"/>
        <v>4.5956504753223076E-2</v>
      </c>
      <c r="L24" s="84">
        <v>1008.02</v>
      </c>
      <c r="M24" s="96">
        <f t="shared" si="5"/>
        <v>0.19726791135096525</v>
      </c>
    </row>
    <row r="25" spans="2:13">
      <c r="B25" s="89">
        <v>2023</v>
      </c>
      <c r="C25" s="84">
        <v>4769.3900000000003</v>
      </c>
      <c r="D25" s="85">
        <v>211.19</v>
      </c>
      <c r="E25" s="85">
        <v>70.069999999999993</v>
      </c>
      <c r="F25" s="85">
        <v>94.72</v>
      </c>
      <c r="G25" s="96">
        <f t="shared" si="3"/>
        <v>1.4691606264113437E-2</v>
      </c>
      <c r="H25" s="51">
        <f t="shared" si="0"/>
        <v>1.985998209414621E-2</v>
      </c>
      <c r="I25" s="87">
        <f>E25+F25</f>
        <v>164.79</v>
      </c>
      <c r="J25" s="50">
        <f t="shared" si="2"/>
        <v>0.78029262749183192</v>
      </c>
      <c r="K25" s="96">
        <f t="shared" si="4"/>
        <v>3.4551588358259645E-2</v>
      </c>
      <c r="L25" s="84">
        <v>1024.56</v>
      </c>
      <c r="M25" s="96">
        <f t="shared" si="5"/>
        <v>0.20612750839384714</v>
      </c>
    </row>
    <row r="26" spans="2:13">
      <c r="B26" s="89">
        <v>2024</v>
      </c>
      <c r="C26" s="84">
        <v>5580.94</v>
      </c>
      <c r="D26" s="85">
        <v>232.33</v>
      </c>
      <c r="E26" s="85">
        <v>74.349999999999994</v>
      </c>
      <c r="F26" s="85">
        <v>111.3</v>
      </c>
      <c r="G26" s="96">
        <f t="shared" si="3"/>
        <v>1.3322128530319265E-2</v>
      </c>
      <c r="H26" s="51">
        <f t="shared" si="0"/>
        <v>1.9942877006382437E-2</v>
      </c>
      <c r="I26" s="87">
        <f t="shared" si="1"/>
        <v>185.64999999999998</v>
      </c>
      <c r="J26" s="50">
        <f>(E26+F26)/D26</f>
        <v>0.79907889639736562</v>
      </c>
      <c r="K26" s="96">
        <f>H26+G26</f>
        <v>3.3265005536701704E-2</v>
      </c>
      <c r="L26" s="84">
        <v>1106.2</v>
      </c>
      <c r="M26" s="96">
        <f t="shared" si="5"/>
        <v>0.21002531187850298</v>
      </c>
    </row>
    <row r="27" spans="2:13">
      <c r="B27" s="89"/>
      <c r="C27" s="84"/>
      <c r="D27" s="85"/>
      <c r="E27" s="85"/>
      <c r="F27" s="85"/>
      <c r="G27" s="96"/>
      <c r="H27" s="51"/>
      <c r="I27" s="87"/>
      <c r="J27" s="50"/>
      <c r="K27" s="96"/>
      <c r="L27" s="84"/>
      <c r="M27" s="96"/>
    </row>
    <row r="28" spans="2:13">
      <c r="B28" s="58" t="s">
        <v>53</v>
      </c>
      <c r="C28" s="59"/>
      <c r="D28" s="60"/>
      <c r="E28" s="62"/>
      <c r="F28" s="61"/>
      <c r="G28" s="62">
        <f>AVERAGE(G17:G26)</f>
        <v>1.7311488979282225E-2</v>
      </c>
      <c r="H28" s="62">
        <f>AVERAGE(H17:H26)</f>
        <v>2.5456457167020764E-2</v>
      </c>
      <c r="I28" s="61"/>
      <c r="J28" s="62">
        <f>AVERAGE(J18:J26)</f>
        <v>0.88163362649161003</v>
      </c>
      <c r="K28" s="62">
        <f>G28+H28</f>
        <v>4.2767946146302985E-2</v>
      </c>
      <c r="L28" s="62"/>
      <c r="M28" s="63">
        <f>AVERAGE(M17:M26)</f>
        <v>0.18007289102978902</v>
      </c>
    </row>
    <row r="29" spans="2:13">
      <c r="B29" s="64" t="s">
        <v>54</v>
      </c>
      <c r="C29" s="65"/>
      <c r="D29" s="66"/>
      <c r="E29" s="68"/>
      <c r="F29" s="67"/>
      <c r="G29" s="68">
        <f>AVERAGE(G22:G26)</f>
        <v>1.467184521286885E-2</v>
      </c>
      <c r="H29" s="68">
        <f>AVERAGE(H22:H26)</f>
        <v>2.1335774650322839E-2</v>
      </c>
      <c r="I29" s="67"/>
      <c r="J29" s="68">
        <f>AVERAGE(J23:J26)</f>
        <v>0.81787403484532106</v>
      </c>
      <c r="K29" s="68">
        <f t="shared" ref="K29" si="7">G29+H29</f>
        <v>3.6007619863191689E-2</v>
      </c>
      <c r="L29" s="68"/>
      <c r="M29" s="69">
        <f>AVERAGE(M22:M26)</f>
        <v>0.19752885121293082</v>
      </c>
    </row>
    <row r="30" spans="2:13">
      <c r="B30" s="89"/>
      <c r="C30" s="84"/>
      <c r="D30" s="85"/>
      <c r="E30" s="85"/>
      <c r="F30" s="85"/>
      <c r="G30" s="96"/>
      <c r="H30" s="51"/>
      <c r="I30" s="87"/>
      <c r="J30" s="50"/>
      <c r="K30" s="96"/>
      <c r="L30" s="84"/>
      <c r="M30" s="96"/>
    </row>
    <row r="31" spans="2:13">
      <c r="B31" s="89"/>
      <c r="C31" s="84"/>
      <c r="D31" s="85"/>
      <c r="E31" s="85"/>
      <c r="F31" s="85"/>
      <c r="G31" s="50"/>
      <c r="H31" s="52"/>
      <c r="I31" s="87"/>
      <c r="J31" s="50"/>
      <c r="K31" s="50"/>
      <c r="L31" s="50"/>
      <c r="M31" s="50"/>
    </row>
    <row r="32" spans="2:13">
      <c r="B32" s="101" t="s">
        <v>17</v>
      </c>
      <c r="C32" s="90"/>
      <c r="D32" s="91" t="s">
        <v>2</v>
      </c>
      <c r="E32" s="91" t="s">
        <v>67</v>
      </c>
      <c r="F32" s="91" t="s">
        <v>92</v>
      </c>
      <c r="G32" s="91" t="s">
        <v>102</v>
      </c>
      <c r="H32" s="91" t="s">
        <v>103</v>
      </c>
      <c r="I32" s="91" t="s">
        <v>104</v>
      </c>
      <c r="J32" s="91" t="s">
        <v>105</v>
      </c>
      <c r="K32" s="91" t="s">
        <v>6</v>
      </c>
      <c r="L32" s="91" t="s">
        <v>93</v>
      </c>
      <c r="M32" s="102" t="s">
        <v>90</v>
      </c>
    </row>
    <row r="33" spans="2:13">
      <c r="B33" s="97" t="s">
        <v>87</v>
      </c>
      <c r="C33" s="84"/>
      <c r="D33" s="84">
        <v>57.69</v>
      </c>
      <c r="E33" s="84">
        <v>19.809999999999999</v>
      </c>
      <c r="F33" s="84">
        <v>28.75</v>
      </c>
      <c r="G33" s="84"/>
      <c r="H33" s="52"/>
      <c r="I33" s="87"/>
      <c r="J33" s="50"/>
      <c r="K33" s="50"/>
      <c r="L33" s="84">
        <v>1178.5678</v>
      </c>
      <c r="M33" s="98"/>
    </row>
    <row r="34" spans="2:13">
      <c r="B34" s="97" t="s">
        <v>84</v>
      </c>
      <c r="C34" s="84"/>
      <c r="D34" s="84">
        <v>53.89</v>
      </c>
      <c r="E34" s="84">
        <v>19.372895060090599</v>
      </c>
      <c r="F34" s="84">
        <v>34.65</v>
      </c>
      <c r="G34" s="84"/>
      <c r="H34" s="52"/>
      <c r="I34" s="87"/>
      <c r="J34" s="50"/>
      <c r="K34" s="50"/>
      <c r="L34" s="84">
        <v>1197.1102000000001</v>
      </c>
      <c r="M34" s="98"/>
    </row>
    <row r="35" spans="2:13">
      <c r="B35" s="97" t="s">
        <v>85</v>
      </c>
      <c r="C35" s="84"/>
      <c r="D35" s="84">
        <v>58.96</v>
      </c>
      <c r="E35" s="84">
        <v>19.484934831291397</v>
      </c>
      <c r="F35" s="84">
        <v>27.67</v>
      </c>
      <c r="G35" s="84"/>
      <c r="H35" s="52"/>
      <c r="I35" s="87"/>
      <c r="J35" s="50"/>
      <c r="K35" s="50"/>
      <c r="L35" s="84">
        <v>1238.9268999999999</v>
      </c>
      <c r="M35" s="98"/>
    </row>
    <row r="36" spans="2:13">
      <c r="B36" s="97" t="s">
        <v>86</v>
      </c>
      <c r="C36" s="84"/>
      <c r="D36" s="84">
        <v>63.52</v>
      </c>
      <c r="E36" s="84">
        <v>19.807818650702799</v>
      </c>
      <c r="F36" s="84">
        <v>29.34</v>
      </c>
      <c r="G36" s="84"/>
      <c r="H36" s="52"/>
      <c r="I36" s="87"/>
      <c r="J36" s="50"/>
      <c r="K36" s="50"/>
      <c r="L36" s="84">
        <v>1270.3219999999999</v>
      </c>
      <c r="M36" s="98"/>
    </row>
    <row r="37" spans="2:13">
      <c r="B37" s="99" t="s">
        <v>91</v>
      </c>
      <c r="C37" s="100"/>
      <c r="D37" s="124" t="s">
        <v>94</v>
      </c>
      <c r="E37" s="124"/>
      <c r="F37" s="124"/>
      <c r="G37" s="124"/>
      <c r="H37" s="124"/>
      <c r="I37" s="124"/>
      <c r="J37" s="124"/>
      <c r="K37" s="124"/>
      <c r="L37" s="124"/>
      <c r="M37" s="125"/>
    </row>
    <row r="38" spans="2:13">
      <c r="B38" s="7"/>
      <c r="C38" s="84"/>
      <c r="D38" s="84"/>
      <c r="E38" s="84"/>
      <c r="F38" s="84"/>
      <c r="G38" s="50"/>
      <c r="H38" s="52"/>
      <c r="I38" s="87"/>
      <c r="J38" s="50"/>
      <c r="K38" s="50"/>
      <c r="L38" s="50"/>
      <c r="M38" s="50"/>
    </row>
    <row r="39" spans="2:13">
      <c r="B39" s="101" t="s">
        <v>17</v>
      </c>
      <c r="C39" s="90">
        <v>6845.5</v>
      </c>
      <c r="D39" s="91">
        <f>SUM(D33:D36)</f>
        <v>234.06</v>
      </c>
      <c r="E39" s="91">
        <f>SUM(E33:E36)</f>
        <v>78.475648542084798</v>
      </c>
      <c r="F39" s="91">
        <f>SUM(F33:F36)</f>
        <v>120.41</v>
      </c>
      <c r="G39" s="92">
        <f>E39/C39</f>
        <v>1.1463830040476927E-2</v>
      </c>
      <c r="H39" s="92">
        <f>F39/C39</f>
        <v>1.7589657439193631E-2</v>
      </c>
      <c r="I39" s="93">
        <f>E39+F39</f>
        <v>198.88564854208479</v>
      </c>
      <c r="J39" s="92">
        <f>(E39+F39)/D39</f>
        <v>0.8497207918571511</v>
      </c>
      <c r="K39" s="92">
        <f>H39+G39</f>
        <v>2.9053487479670556E-2</v>
      </c>
      <c r="L39" s="93">
        <f>L36</f>
        <v>1270.3219999999999</v>
      </c>
      <c r="M39" s="94">
        <f>D39/L39</f>
        <v>0.18425249661109547</v>
      </c>
    </row>
    <row r="40" spans="2:13">
      <c r="B40" s="46"/>
      <c r="C40" s="49"/>
      <c r="D40" s="48"/>
      <c r="E40" s="52"/>
      <c r="F40" s="47"/>
      <c r="G40" s="47"/>
      <c r="H40" s="52"/>
      <c r="I40" s="47"/>
      <c r="J40" s="50"/>
      <c r="K40" s="52"/>
      <c r="L40" s="52"/>
      <c r="M40" s="52"/>
    </row>
    <row r="41" spans="2:13">
      <c r="B41" s="53"/>
      <c r="C41" s="54"/>
      <c r="D41" s="55"/>
      <c r="E41" s="57"/>
      <c r="F41" s="56"/>
      <c r="G41" s="56"/>
      <c r="H41" s="57"/>
      <c r="I41" s="56"/>
      <c r="J41" s="57"/>
      <c r="K41" s="57"/>
      <c r="L41" s="57"/>
      <c r="M41" s="57"/>
    </row>
  </sheetData>
  <mergeCells count="1">
    <mergeCell ref="D37:M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CD3D-CC08-41AD-BBB4-941B521FC945}">
  <dimension ref="B2:E30"/>
  <sheetViews>
    <sheetView showGridLines="0" workbookViewId="0">
      <selection activeCell="B12" sqref="B12"/>
    </sheetView>
  </sheetViews>
  <sheetFormatPr defaultRowHeight="15"/>
  <cols>
    <col min="1" max="1" width="2.7109375" customWidth="1"/>
    <col min="2" max="2" width="19.7109375" bestFit="1" customWidth="1"/>
    <col min="3" max="3" width="13.140625" customWidth="1"/>
    <col min="4" max="4" width="15.5703125" customWidth="1"/>
    <col min="5" max="5" width="14" customWidth="1"/>
  </cols>
  <sheetData>
    <row r="2" spans="2:5">
      <c r="B2" s="10" t="s">
        <v>7</v>
      </c>
      <c r="C2" s="43"/>
    </row>
    <row r="3" spans="2:5">
      <c r="B3" s="12">
        <v>2026</v>
      </c>
      <c r="C3" s="8">
        <f>D30</f>
        <v>0.16421568627450978</v>
      </c>
    </row>
    <row r="4" spans="2:5">
      <c r="B4" s="12">
        <f>B3+1</f>
        <v>2027</v>
      </c>
      <c r="C4" s="8">
        <f>E30</f>
        <v>0.13416501374534576</v>
      </c>
    </row>
    <row r="5" spans="2:5">
      <c r="B5" s="12">
        <f t="shared" ref="B5:B8" si="0">B4+1</f>
        <v>2028</v>
      </c>
      <c r="C5" s="8">
        <f>C4-($C$4-$C$8)/($B$8-$B$4)</f>
        <v>0.11274876030900932</v>
      </c>
    </row>
    <row r="6" spans="2:5">
      <c r="B6" s="12">
        <f t="shared" si="0"/>
        <v>2029</v>
      </c>
      <c r="C6" s="8">
        <f>C5-($C$4-$C$8)/($B$8-$B$4)</f>
        <v>9.1332506872672886E-2</v>
      </c>
      <c r="D6" s="6"/>
    </row>
    <row r="7" spans="2:5">
      <c r="B7" s="12">
        <f t="shared" si="0"/>
        <v>2030</v>
      </c>
      <c r="C7" s="8">
        <f>C6-($C$4-$C$8)/($B$8-$B$4)</f>
        <v>6.9916253436336451E-2</v>
      </c>
      <c r="D7" s="6"/>
    </row>
    <row r="8" spans="2:5">
      <c r="B8" s="12">
        <f t="shared" si="0"/>
        <v>2031</v>
      </c>
      <c r="C8" s="23">
        <f>IF(Calc!I18="Yes",Calc!D16,Calc!I19)</f>
        <v>4.8500000000000001E-2</v>
      </c>
    </row>
    <row r="9" spans="2:5">
      <c r="B9" s="44" t="s">
        <v>13</v>
      </c>
      <c r="C9" s="9">
        <f>((1+C3)*(1+C4)*(1+C5)*(1+C6)*(1+C7))^(1/5)-1</f>
        <v>0.11399370747867854</v>
      </c>
    </row>
    <row r="11" spans="2:5">
      <c r="B11" s="10" t="s">
        <v>8</v>
      </c>
      <c r="C11" s="11" t="s">
        <v>9</v>
      </c>
      <c r="D11" s="11" t="s">
        <v>10</v>
      </c>
      <c r="E11" s="11" t="s">
        <v>11</v>
      </c>
    </row>
    <row r="12" spans="2:5">
      <c r="B12" t="s">
        <v>72</v>
      </c>
      <c r="C12" s="88">
        <v>272</v>
      </c>
      <c r="D12" s="88">
        <v>309</v>
      </c>
      <c r="E12" s="88">
        <v>342</v>
      </c>
    </row>
    <row r="13" spans="2:5">
      <c r="C13" s="2"/>
      <c r="D13" s="3">
        <f>D12/C12-1</f>
        <v>0.13602941176470584</v>
      </c>
      <c r="E13" s="3">
        <f>E12/D12-1</f>
        <v>0.10679611650485432</v>
      </c>
    </row>
    <row r="14" spans="2:5">
      <c r="C14" s="2"/>
      <c r="D14" s="3"/>
      <c r="E14" s="3"/>
    </row>
    <row r="15" spans="2:5">
      <c r="B15" t="s">
        <v>73</v>
      </c>
      <c r="C15" s="88">
        <v>272</v>
      </c>
      <c r="D15" s="88">
        <v>330</v>
      </c>
      <c r="E15" s="88">
        <v>385</v>
      </c>
    </row>
    <row r="16" spans="2:5">
      <c r="C16" s="2"/>
      <c r="D16" s="3">
        <f>D15/C15-1</f>
        <v>0.21323529411764697</v>
      </c>
      <c r="E16" s="3">
        <f>E15/D15-1</f>
        <v>0.16666666666666674</v>
      </c>
    </row>
    <row r="17" spans="2:5">
      <c r="C17" s="2"/>
      <c r="D17" s="3"/>
      <c r="E17" s="3"/>
    </row>
    <row r="18" spans="2:5">
      <c r="B18" t="s">
        <v>75</v>
      </c>
      <c r="C18" s="88">
        <v>272</v>
      </c>
      <c r="D18" s="88">
        <v>310</v>
      </c>
      <c r="E18" s="3"/>
    </row>
    <row r="19" spans="2:5">
      <c r="C19" s="2"/>
      <c r="D19" s="3">
        <f>D18/C18-1</f>
        <v>0.13970588235294112</v>
      </c>
      <c r="E19" s="3"/>
    </row>
    <row r="20" spans="2:5">
      <c r="C20" s="2"/>
      <c r="D20" s="3"/>
      <c r="E20" s="3"/>
    </row>
    <row r="21" spans="2:5">
      <c r="B21" t="s">
        <v>74</v>
      </c>
      <c r="C21" s="88">
        <v>272</v>
      </c>
      <c r="D21" s="88">
        <v>320</v>
      </c>
      <c r="E21" s="70"/>
    </row>
    <row r="22" spans="2:5">
      <c r="C22" s="2"/>
      <c r="D22" s="3">
        <f>D21/C21-1</f>
        <v>0.17647058823529416</v>
      </c>
      <c r="E22" s="3"/>
    </row>
    <row r="23" spans="2:5">
      <c r="C23" s="2"/>
      <c r="D23" s="3"/>
      <c r="E23" s="3"/>
    </row>
    <row r="24" spans="2:5">
      <c r="B24" t="s">
        <v>76</v>
      </c>
      <c r="C24" s="88">
        <v>272</v>
      </c>
      <c r="D24" s="88">
        <v>310</v>
      </c>
      <c r="E24" s="88">
        <v>350</v>
      </c>
    </row>
    <row r="25" spans="2:5">
      <c r="C25" s="2"/>
      <c r="D25" s="3">
        <f>D24/C24-1</f>
        <v>0.13970588235294112</v>
      </c>
      <c r="E25" s="3">
        <f>E24/D24-1</f>
        <v>0.12903225806451624</v>
      </c>
    </row>
    <row r="26" spans="2:5">
      <c r="C26" s="2"/>
      <c r="D26" s="3"/>
      <c r="E26" s="3"/>
    </row>
    <row r="27" spans="2:5">
      <c r="B27" t="s">
        <v>77</v>
      </c>
      <c r="C27" s="88">
        <v>272</v>
      </c>
      <c r="D27" s="88">
        <v>321</v>
      </c>
      <c r="E27" s="3"/>
    </row>
    <row r="28" spans="2:5">
      <c r="C28" s="2"/>
      <c r="D28" s="3">
        <f>D27/C27-1</f>
        <v>0.18014705882352944</v>
      </c>
      <c r="E28" s="3"/>
    </row>
    <row r="29" spans="2:5">
      <c r="C29" s="2"/>
      <c r="D29" s="3"/>
      <c r="E29" s="3"/>
    </row>
    <row r="30" spans="2:5">
      <c r="B30" s="4" t="s">
        <v>12</v>
      </c>
      <c r="C30" s="5"/>
      <c r="D30" s="119">
        <f>AVERAGE(D28,D25,D22,D19,D16,D13)</f>
        <v>0.16421568627450978</v>
      </c>
      <c r="E30" s="119">
        <f>AVERAGE(E28,E25,E22,E19,E16,E13)</f>
        <v>0.13416501374534576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7686-EE19-42ED-8849-A924FE2BCAA9}">
  <dimension ref="B2:L291"/>
  <sheetViews>
    <sheetView showGridLines="0" workbookViewId="0">
      <selection activeCell="H26" sqref="H7:H26"/>
    </sheetView>
  </sheetViews>
  <sheetFormatPr defaultRowHeight="15"/>
  <cols>
    <col min="1" max="1" width="2.7109375" customWidth="1"/>
    <col min="2" max="6" width="15.7109375" customWidth="1"/>
    <col min="7" max="7" width="14.140625" bestFit="1" customWidth="1"/>
    <col min="8" max="8" width="20.7109375" bestFit="1" customWidth="1"/>
    <col min="9" max="9" width="15.7109375" customWidth="1"/>
    <col min="10" max="10" width="8.28515625" customWidth="1"/>
    <col min="11" max="11" width="15.7109375" customWidth="1"/>
    <col min="12" max="12" width="14.140625" bestFit="1" customWidth="1"/>
    <col min="14" max="14" width="8" customWidth="1"/>
    <col min="15" max="15" width="14.140625" bestFit="1" customWidth="1"/>
  </cols>
  <sheetData>
    <row r="2" spans="2:12">
      <c r="B2" s="20" t="s">
        <v>14</v>
      </c>
      <c r="C2" s="20" t="s">
        <v>69</v>
      </c>
      <c r="D2" s="20" t="s">
        <v>40</v>
      </c>
      <c r="E2" s="20" t="s">
        <v>70</v>
      </c>
      <c r="G2" s="14" t="s">
        <v>14</v>
      </c>
      <c r="H2" s="14" t="s">
        <v>16</v>
      </c>
      <c r="J2" s="126" t="s">
        <v>19</v>
      </c>
      <c r="K2" s="126"/>
      <c r="L2" s="126"/>
    </row>
    <row r="3" spans="2:12">
      <c r="B3" s="76">
        <v>37392</v>
      </c>
      <c r="C3" s="8">
        <v>8.1589999999999996E-2</v>
      </c>
      <c r="D3" s="8">
        <f>C3-E3</f>
        <v>5.1999999999999991E-2</v>
      </c>
      <c r="E3" s="8">
        <v>2.9590000000000002E-2</v>
      </c>
      <c r="G3" s="77">
        <v>2002</v>
      </c>
      <c r="H3" s="19">
        <f>AVERAGEIFS($E$3:$E$291,$B$3:$B$291,"&gt;="&amp;DATE(G3,1,1),$B$3:$B$291,"&lt;="&amp;DATE(G3,12,31))</f>
        <v>3.8018749999999997E-2</v>
      </c>
      <c r="J3" s="1" t="s">
        <v>18</v>
      </c>
      <c r="K3" s="15" t="s">
        <v>17</v>
      </c>
      <c r="L3" s="16">
        <f>AVERAGE(H27)</f>
        <v>2.6340867929593937E-2</v>
      </c>
    </row>
    <row r="4" spans="2:12">
      <c r="B4" s="76">
        <v>37427</v>
      </c>
      <c r="C4" s="8">
        <v>8.2089999999999996E-2</v>
      </c>
      <c r="D4" s="8">
        <f t="shared" ref="D4:D67" si="0">C4-E4</f>
        <v>4.8499999999999995E-2</v>
      </c>
      <c r="E4" s="8">
        <v>3.3590000000000002E-2</v>
      </c>
      <c r="G4" s="18">
        <f>G3+1</f>
        <v>2003</v>
      </c>
      <c r="H4" s="19">
        <f t="shared" ref="H4:H25" si="1">AVERAGEIFS($E$3:$E$291,$B$3:$B$291,"&gt;="&amp;DATE(G4,1,1),$B$3:$B$291,"&lt;="&amp;DATE(G4,12,31))</f>
        <v>3.6897500000000007E-2</v>
      </c>
      <c r="J4" s="1" t="s">
        <v>18</v>
      </c>
      <c r="K4" s="17" t="s">
        <v>38</v>
      </c>
      <c r="L4" s="16">
        <f>AVERAGE(H22:H26)</f>
        <v>2.9556351561340805E-2</v>
      </c>
    </row>
    <row r="5" spans="2:12">
      <c r="B5" s="76">
        <v>37455</v>
      </c>
      <c r="C5" s="8">
        <v>8.5260000000000002E-2</v>
      </c>
      <c r="D5" s="8">
        <f t="shared" si="0"/>
        <v>4.6600000000000003E-2</v>
      </c>
      <c r="E5" s="8">
        <v>3.866E-2</v>
      </c>
      <c r="G5" s="18">
        <f t="shared" ref="G5:G26" si="2">G4+1</f>
        <v>2004</v>
      </c>
      <c r="H5" s="19">
        <f t="shared" si="1"/>
        <v>3.40875E-2</v>
      </c>
      <c r="J5" s="1" t="s">
        <v>18</v>
      </c>
      <c r="K5" s="17" t="s">
        <v>37</v>
      </c>
      <c r="L5" s="16">
        <f>AVERAGE(H17:H26)</f>
        <v>3.5925092447337076E-2</v>
      </c>
    </row>
    <row r="6" spans="2:12">
      <c r="B6" s="76">
        <v>37483</v>
      </c>
      <c r="C6" s="8">
        <v>8.1890000000000004E-2</v>
      </c>
      <c r="D6" s="8">
        <f t="shared" si="0"/>
        <v>4.1700000000000008E-2</v>
      </c>
      <c r="E6" s="8">
        <v>4.0189999999999997E-2</v>
      </c>
      <c r="G6" s="18">
        <f t="shared" si="2"/>
        <v>2005</v>
      </c>
      <c r="H6" s="19">
        <f t="shared" si="1"/>
        <v>3.6973333333333323E-2</v>
      </c>
    </row>
    <row r="7" spans="2:12">
      <c r="B7" s="76">
        <v>37518</v>
      </c>
      <c r="C7" s="8">
        <v>8.1790000000000002E-2</v>
      </c>
      <c r="D7" s="8">
        <f t="shared" si="0"/>
        <v>3.7900000000000003E-2</v>
      </c>
      <c r="E7" s="8">
        <v>4.3889999999999998E-2</v>
      </c>
      <c r="G7" s="18">
        <f t="shared" si="2"/>
        <v>2006</v>
      </c>
      <c r="H7" s="19">
        <f t="shared" si="1"/>
        <v>3.6172499999999996E-2</v>
      </c>
      <c r="J7" s="13" t="s">
        <v>71</v>
      </c>
    </row>
    <row r="8" spans="2:12">
      <c r="B8" s="76">
        <v>37546</v>
      </c>
      <c r="C8" s="8">
        <v>8.1799999999999998E-2</v>
      </c>
      <c r="D8" s="8">
        <f t="shared" si="0"/>
        <v>4.1599999999999998E-2</v>
      </c>
      <c r="E8" s="8">
        <v>4.02E-2</v>
      </c>
      <c r="G8" s="18">
        <f t="shared" si="2"/>
        <v>2007</v>
      </c>
      <c r="H8" s="19">
        <f t="shared" si="1"/>
        <v>3.6617499999999997E-2</v>
      </c>
      <c r="L8" s="18"/>
    </row>
    <row r="9" spans="2:12">
      <c r="B9" s="76">
        <v>37574</v>
      </c>
      <c r="C9" s="8">
        <v>7.961E-2</v>
      </c>
      <c r="D9" s="8">
        <f t="shared" si="0"/>
        <v>4.0300000000000002E-2</v>
      </c>
      <c r="E9" s="8">
        <v>3.9309999999999998E-2</v>
      </c>
      <c r="G9" s="18">
        <f t="shared" si="2"/>
        <v>2008</v>
      </c>
      <c r="H9" s="19">
        <f t="shared" si="1"/>
        <v>5.6767500000000019E-2</v>
      </c>
      <c r="L9" s="18"/>
    </row>
    <row r="10" spans="2:12">
      <c r="B10" s="76">
        <v>37609</v>
      </c>
      <c r="C10" s="8">
        <v>7.8320000000000001E-2</v>
      </c>
      <c r="D10" s="8">
        <f t="shared" si="0"/>
        <v>3.9600000000000003E-2</v>
      </c>
      <c r="E10" s="8">
        <v>3.8719999999999997E-2</v>
      </c>
      <c r="G10" s="18">
        <f t="shared" si="2"/>
        <v>2009</v>
      </c>
      <c r="H10" s="19">
        <f t="shared" si="1"/>
        <v>5.772583333333333E-2</v>
      </c>
      <c r="L10" s="18"/>
    </row>
    <row r="11" spans="2:12">
      <c r="B11" s="76">
        <v>37637</v>
      </c>
      <c r="C11" s="8">
        <v>7.6819999999999999E-2</v>
      </c>
      <c r="D11" s="8">
        <f t="shared" si="0"/>
        <v>4.1000000000000002E-2</v>
      </c>
      <c r="E11" s="8">
        <v>3.5819999999999998E-2</v>
      </c>
      <c r="G11" s="18">
        <f t="shared" si="2"/>
        <v>2010</v>
      </c>
      <c r="H11" s="19">
        <f t="shared" si="1"/>
        <v>5.3345833333333322E-2</v>
      </c>
      <c r="L11" s="18"/>
    </row>
    <row r="12" spans="2:12">
      <c r="B12" s="76">
        <v>37672</v>
      </c>
      <c r="C12" s="8">
        <v>8.5339999999999999E-2</v>
      </c>
      <c r="D12" s="8">
        <f t="shared" si="0"/>
        <v>3.85E-2</v>
      </c>
      <c r="E12" s="8">
        <v>4.684E-2</v>
      </c>
      <c r="G12" s="18">
        <f t="shared" si="2"/>
        <v>2011</v>
      </c>
      <c r="H12" s="19">
        <f t="shared" si="1"/>
        <v>5.7633333333333335E-2</v>
      </c>
      <c r="L12" s="18"/>
    </row>
    <row r="13" spans="2:12">
      <c r="B13" s="76">
        <v>37700</v>
      </c>
      <c r="C13" s="8">
        <v>8.2419999999999993E-2</v>
      </c>
      <c r="D13" s="8">
        <f t="shared" si="0"/>
        <v>4.009999999999999E-2</v>
      </c>
      <c r="E13" s="8">
        <v>4.2320000000000003E-2</v>
      </c>
      <c r="G13" s="18">
        <f t="shared" si="2"/>
        <v>2012</v>
      </c>
      <c r="H13" s="19">
        <f t="shared" si="1"/>
        <v>6.2174166666666676E-2</v>
      </c>
      <c r="L13" s="18"/>
    </row>
    <row r="14" spans="2:12">
      <c r="B14" s="76">
        <v>37728</v>
      </c>
      <c r="C14" s="8">
        <v>8.0860000000000001E-2</v>
      </c>
      <c r="D14" s="8">
        <f t="shared" si="0"/>
        <v>3.9800000000000002E-2</v>
      </c>
      <c r="E14" s="8">
        <v>4.1059999999999999E-2</v>
      </c>
      <c r="G14" s="18">
        <f t="shared" si="2"/>
        <v>2013</v>
      </c>
      <c r="H14" s="19">
        <f t="shared" si="1"/>
        <v>4.9065833333333329E-2</v>
      </c>
      <c r="L14" s="18"/>
    </row>
    <row r="15" spans="2:12">
      <c r="B15" s="76">
        <v>37756</v>
      </c>
      <c r="C15" s="8">
        <v>7.5980000000000006E-2</v>
      </c>
      <c r="D15" s="8">
        <f t="shared" si="0"/>
        <v>3.5300000000000005E-2</v>
      </c>
      <c r="E15" s="8">
        <v>4.0680000000000001E-2</v>
      </c>
      <c r="G15" s="18">
        <f t="shared" si="2"/>
        <v>2014</v>
      </c>
      <c r="H15" s="19">
        <f t="shared" si="1"/>
        <v>4.3009166666666661E-2</v>
      </c>
      <c r="L15" s="18"/>
    </row>
    <row r="16" spans="2:12">
      <c r="B16" s="76">
        <v>37791</v>
      </c>
      <c r="C16" s="8">
        <v>7.0800000000000002E-2</v>
      </c>
      <c r="D16" s="8">
        <f t="shared" si="0"/>
        <v>3.3500000000000002E-2</v>
      </c>
      <c r="E16" s="8">
        <v>3.73E-2</v>
      </c>
      <c r="G16" s="18">
        <f t="shared" si="2"/>
        <v>2015</v>
      </c>
      <c r="H16" s="19">
        <f t="shared" si="1"/>
        <v>4.3008333333333336E-2</v>
      </c>
      <c r="L16" s="18"/>
    </row>
    <row r="17" spans="2:12">
      <c r="B17" s="76">
        <v>37819</v>
      </c>
      <c r="C17" s="8">
        <v>7.6280000000000001E-2</v>
      </c>
      <c r="D17" s="8">
        <f t="shared" si="0"/>
        <v>3.9800000000000002E-2</v>
      </c>
      <c r="E17" s="8">
        <v>3.6479999999999999E-2</v>
      </c>
      <c r="G17" s="18">
        <f t="shared" si="2"/>
        <v>2016</v>
      </c>
      <c r="H17" s="19">
        <f t="shared" si="1"/>
        <v>4.5871666666666665E-2</v>
      </c>
      <c r="L17" s="18"/>
    </row>
    <row r="18" spans="2:12">
      <c r="B18" s="76">
        <v>37847</v>
      </c>
      <c r="C18" s="8">
        <v>7.9000000000000001E-2</v>
      </c>
      <c r="D18" s="8">
        <f t="shared" si="0"/>
        <v>4.5499999999999999E-2</v>
      </c>
      <c r="E18" s="8">
        <v>3.3500000000000002E-2</v>
      </c>
      <c r="G18" s="18">
        <f t="shared" si="2"/>
        <v>2017</v>
      </c>
      <c r="H18" s="19">
        <f t="shared" si="1"/>
        <v>3.7279166666666669E-2</v>
      </c>
      <c r="L18" s="18"/>
    </row>
    <row r="19" spans="2:12">
      <c r="B19" s="76">
        <v>37882</v>
      </c>
      <c r="C19" s="8">
        <v>7.4829999999999994E-2</v>
      </c>
      <c r="D19" s="8">
        <f t="shared" si="0"/>
        <v>4.1899999999999993E-2</v>
      </c>
      <c r="E19" s="8">
        <v>3.2930000000000001E-2</v>
      </c>
      <c r="G19" s="18">
        <f t="shared" si="2"/>
        <v>2018</v>
      </c>
      <c r="H19" s="19">
        <f t="shared" si="1"/>
        <v>3.8923333333333331E-2</v>
      </c>
      <c r="L19" s="18"/>
    </row>
    <row r="20" spans="2:12">
      <c r="B20" s="76">
        <v>37910</v>
      </c>
      <c r="C20" s="8">
        <v>7.5399999999999995E-2</v>
      </c>
      <c r="D20" s="8">
        <f t="shared" si="0"/>
        <v>4.469999999999999E-2</v>
      </c>
      <c r="E20" s="8">
        <v>3.0700000000000002E-2</v>
      </c>
      <c r="G20" s="18">
        <f t="shared" si="2"/>
        <v>2019</v>
      </c>
      <c r="H20" s="19">
        <f t="shared" si="1"/>
        <v>4.2272499999999998E-2</v>
      </c>
      <c r="L20" s="18"/>
    </row>
    <row r="21" spans="2:12">
      <c r="B21" s="76">
        <v>37945</v>
      </c>
      <c r="C21" s="8">
        <v>7.4450000000000002E-2</v>
      </c>
      <c r="D21" s="8">
        <f t="shared" si="0"/>
        <v>4.1600000000000005E-2</v>
      </c>
      <c r="E21" s="8">
        <v>3.2849999999999997E-2</v>
      </c>
      <c r="G21" s="18">
        <f t="shared" si="2"/>
        <v>2020</v>
      </c>
      <c r="H21" s="19">
        <f t="shared" si="1"/>
        <v>4.7122500000000005E-2</v>
      </c>
      <c r="L21" s="18"/>
    </row>
    <row r="22" spans="2:12">
      <c r="B22" s="76">
        <v>37973</v>
      </c>
      <c r="C22" s="8">
        <v>7.3889999999999997E-2</v>
      </c>
      <c r="D22" s="8">
        <f t="shared" si="0"/>
        <v>4.1599999999999998E-2</v>
      </c>
      <c r="E22" s="8">
        <v>3.2289999999999999E-2</v>
      </c>
      <c r="G22" s="18">
        <f t="shared" si="2"/>
        <v>2021</v>
      </c>
      <c r="H22" s="19">
        <f t="shared" si="1"/>
        <v>3.3992500000000002E-2</v>
      </c>
      <c r="L22" s="18"/>
    </row>
    <row r="23" spans="2:12">
      <c r="B23" s="76">
        <v>38001</v>
      </c>
      <c r="C23" s="8">
        <v>7.0809999999999998E-2</v>
      </c>
      <c r="D23" s="8">
        <f t="shared" si="0"/>
        <v>3.9899999999999998E-2</v>
      </c>
      <c r="E23" s="8">
        <v>3.091E-2</v>
      </c>
      <c r="G23" s="18">
        <f t="shared" si="2"/>
        <v>2022</v>
      </c>
      <c r="H23" s="19">
        <f t="shared" si="1"/>
        <v>3.4315217897574239E-2</v>
      </c>
      <c r="L23" s="18"/>
    </row>
    <row r="24" spans="2:12">
      <c r="B24" s="76">
        <v>38036</v>
      </c>
      <c r="C24" s="8">
        <v>7.2760000000000005E-2</v>
      </c>
      <c r="D24" s="8">
        <f t="shared" si="0"/>
        <v>4.0500000000000008E-2</v>
      </c>
      <c r="E24" s="8">
        <v>3.2259999999999997E-2</v>
      </c>
      <c r="G24" s="18">
        <f t="shared" si="2"/>
        <v>2023</v>
      </c>
      <c r="H24" s="19">
        <f t="shared" si="1"/>
        <v>3.0241434640242402E-2</v>
      </c>
      <c r="L24" s="18"/>
    </row>
    <row r="25" spans="2:12">
      <c r="B25" s="76">
        <v>38064</v>
      </c>
      <c r="C25" s="8">
        <v>7.2249999999999995E-2</v>
      </c>
      <c r="D25" s="8">
        <f t="shared" si="0"/>
        <v>3.7599999999999995E-2</v>
      </c>
      <c r="E25" s="8">
        <v>3.465E-2</v>
      </c>
      <c r="G25" s="18">
        <f t="shared" si="2"/>
        <v>2024</v>
      </c>
      <c r="H25" s="19">
        <f t="shared" si="1"/>
        <v>2.4996840695168197E-2</v>
      </c>
      <c r="L25" s="18"/>
    </row>
    <row r="26" spans="2:12">
      <c r="B26" s="76">
        <v>38092</v>
      </c>
      <c r="C26" s="8">
        <v>7.6980000000000007E-2</v>
      </c>
      <c r="D26" s="8">
        <f t="shared" si="0"/>
        <v>4.420000000000001E-2</v>
      </c>
      <c r="E26" s="8">
        <v>3.2779999999999997E-2</v>
      </c>
      <c r="G26" s="18">
        <f t="shared" si="2"/>
        <v>2025</v>
      </c>
      <c r="H26" s="19">
        <f>AVERAGEIFS($E$3:$E$291,$B$3:$B$291,"&gt;="&amp;DATE(G26,1,1),$B$3:$B$291,"&lt;="&amp;DATE(G26,12,31))</f>
        <v>2.423576457371918E-2</v>
      </c>
      <c r="L26" s="18"/>
    </row>
    <row r="27" spans="2:12">
      <c r="B27" s="76">
        <v>38127</v>
      </c>
      <c r="C27" s="8">
        <v>8.1759999999999999E-2</v>
      </c>
      <c r="D27" s="8">
        <f t="shared" si="0"/>
        <v>4.7199999999999999E-2</v>
      </c>
      <c r="E27" s="8">
        <v>3.456E-2</v>
      </c>
      <c r="G27" s="7" t="s">
        <v>17</v>
      </c>
      <c r="H27" s="78">
        <f>AVERAGE(E279:E290)</f>
        <v>2.6340867929593937E-2</v>
      </c>
      <c r="L27" s="18"/>
    </row>
    <row r="28" spans="2:12">
      <c r="B28" s="76">
        <v>38155</v>
      </c>
      <c r="C28" s="8">
        <v>7.9519999999999993E-2</v>
      </c>
      <c r="D28" s="8">
        <f t="shared" si="0"/>
        <v>4.7099999999999996E-2</v>
      </c>
      <c r="E28" s="8">
        <v>3.2419999999999997E-2</v>
      </c>
      <c r="L28" s="18"/>
    </row>
    <row r="29" spans="2:12">
      <c r="B29" s="76">
        <v>38183</v>
      </c>
      <c r="C29" s="8">
        <v>7.9430000000000001E-2</v>
      </c>
      <c r="D29" s="8">
        <f t="shared" si="0"/>
        <v>4.4999999999999998E-2</v>
      </c>
      <c r="E29" s="8">
        <v>3.4430000000000002E-2</v>
      </c>
      <c r="L29" s="18"/>
    </row>
    <row r="30" spans="2:12">
      <c r="B30" s="76">
        <v>38218</v>
      </c>
      <c r="C30" s="8">
        <v>7.9020000000000007E-2</v>
      </c>
      <c r="D30" s="8">
        <f t="shared" si="0"/>
        <v>4.2200000000000008E-2</v>
      </c>
      <c r="E30" s="8">
        <v>3.6819999999999999E-2</v>
      </c>
    </row>
    <row r="31" spans="2:12">
      <c r="B31" s="76">
        <v>38246</v>
      </c>
      <c r="C31" s="8">
        <v>7.7280000000000001E-2</v>
      </c>
      <c r="D31" s="8">
        <f t="shared" si="0"/>
        <v>4.0800000000000003E-2</v>
      </c>
      <c r="E31" s="8">
        <v>3.6479999999999999E-2</v>
      </c>
    </row>
    <row r="32" spans="2:12">
      <c r="B32" s="76">
        <v>38274</v>
      </c>
      <c r="C32" s="8">
        <v>7.7229999999999993E-2</v>
      </c>
      <c r="D32" s="8">
        <f t="shared" si="0"/>
        <v>4.0299999999999996E-2</v>
      </c>
      <c r="E32" s="8">
        <v>3.6929999999999998E-2</v>
      </c>
    </row>
    <row r="33" spans="2:5">
      <c r="B33" s="76">
        <v>38309</v>
      </c>
      <c r="C33" s="8">
        <v>7.5259999999999994E-2</v>
      </c>
      <c r="D33" s="8">
        <f t="shared" si="0"/>
        <v>4.1199999999999994E-2</v>
      </c>
      <c r="E33" s="8">
        <v>3.406E-2</v>
      </c>
    </row>
    <row r="34" spans="2:5">
      <c r="B34" s="76">
        <v>38337</v>
      </c>
      <c r="C34" s="8">
        <v>7.4649999999999994E-2</v>
      </c>
      <c r="D34" s="8">
        <f t="shared" si="0"/>
        <v>4.1899999999999993E-2</v>
      </c>
      <c r="E34" s="8">
        <v>3.2750000000000001E-2</v>
      </c>
    </row>
    <row r="35" spans="2:5">
      <c r="B35" s="76">
        <v>38372</v>
      </c>
      <c r="C35" s="8">
        <v>7.6319999999999999E-2</v>
      </c>
      <c r="D35" s="8">
        <f t="shared" si="0"/>
        <v>4.1700000000000001E-2</v>
      </c>
      <c r="E35" s="8">
        <v>3.4619999999999998E-2</v>
      </c>
    </row>
    <row r="36" spans="2:5">
      <c r="B36" s="76">
        <v>38400</v>
      </c>
      <c r="C36" s="8">
        <v>7.7740000000000004E-2</v>
      </c>
      <c r="D36" s="8">
        <f t="shared" si="0"/>
        <v>4.1900000000000007E-2</v>
      </c>
      <c r="E36" s="8">
        <v>3.5839999999999997E-2</v>
      </c>
    </row>
    <row r="37" spans="2:5">
      <c r="B37" s="76">
        <v>38428</v>
      </c>
      <c r="C37" s="8">
        <v>8.1240000000000007E-2</v>
      </c>
      <c r="D37" s="8">
        <f t="shared" si="0"/>
        <v>4.4700000000000004E-2</v>
      </c>
      <c r="E37" s="8">
        <v>3.6540000000000003E-2</v>
      </c>
    </row>
    <row r="38" spans="2:5">
      <c r="B38" s="76">
        <v>38456</v>
      </c>
      <c r="C38" s="8">
        <v>8.1629999999999994E-2</v>
      </c>
      <c r="D38" s="8">
        <f t="shared" si="0"/>
        <v>4.3699999999999996E-2</v>
      </c>
      <c r="E38" s="8">
        <v>3.7929999999999998E-2</v>
      </c>
    </row>
    <row r="39" spans="2:5">
      <c r="B39" s="76">
        <v>38491</v>
      </c>
      <c r="C39" s="8">
        <v>7.9479999999999995E-2</v>
      </c>
      <c r="D39" s="8">
        <f t="shared" si="0"/>
        <v>4.1099999999999998E-2</v>
      </c>
      <c r="E39" s="8">
        <v>3.8379999999999997E-2</v>
      </c>
    </row>
    <row r="40" spans="2:5">
      <c r="B40" s="76">
        <v>38519</v>
      </c>
      <c r="C40" s="8">
        <v>7.825E-2</v>
      </c>
      <c r="D40" s="8">
        <f t="shared" si="0"/>
        <v>4.0899999999999999E-2</v>
      </c>
      <c r="E40" s="8">
        <v>3.7350000000000001E-2</v>
      </c>
    </row>
    <row r="41" spans="2:5">
      <c r="B41" s="76">
        <v>38547</v>
      </c>
      <c r="C41" s="8">
        <v>7.8600000000000003E-2</v>
      </c>
      <c r="D41" s="8">
        <f t="shared" si="0"/>
        <v>4.19E-2</v>
      </c>
      <c r="E41" s="8">
        <v>3.6700000000000003E-2</v>
      </c>
    </row>
    <row r="42" spans="2:5">
      <c r="B42" s="76">
        <v>38582</v>
      </c>
      <c r="C42" s="8">
        <v>7.9979999999999996E-2</v>
      </c>
      <c r="D42" s="8">
        <f t="shared" si="0"/>
        <v>4.2099999999999999E-2</v>
      </c>
      <c r="E42" s="8">
        <v>3.7879999999999997E-2</v>
      </c>
    </row>
    <row r="43" spans="2:5">
      <c r="B43" s="76">
        <v>38610</v>
      </c>
      <c r="C43" s="8">
        <v>7.9979999999999996E-2</v>
      </c>
      <c r="D43" s="8">
        <f t="shared" si="0"/>
        <v>4.2199999999999994E-2</v>
      </c>
      <c r="E43" s="8">
        <v>3.7780000000000001E-2</v>
      </c>
    </row>
    <row r="44" spans="2:5">
      <c r="B44" s="76">
        <v>38645</v>
      </c>
      <c r="C44" s="8">
        <v>8.3820000000000006E-2</v>
      </c>
      <c r="D44" s="8">
        <f t="shared" si="0"/>
        <v>4.4600000000000008E-2</v>
      </c>
      <c r="E44" s="8">
        <v>3.9219999999999998E-2</v>
      </c>
    </row>
    <row r="45" spans="2:5">
      <c r="B45" s="76">
        <v>38673</v>
      </c>
      <c r="C45" s="8">
        <v>8.1710000000000005E-2</v>
      </c>
      <c r="D45" s="8">
        <f t="shared" si="0"/>
        <v>4.4600000000000008E-2</v>
      </c>
      <c r="E45" s="8">
        <v>3.7109999999999997E-2</v>
      </c>
    </row>
    <row r="46" spans="2:5">
      <c r="B46" s="76">
        <v>38701</v>
      </c>
      <c r="C46" s="8">
        <v>7.9030000000000003E-2</v>
      </c>
      <c r="D46" s="8">
        <f t="shared" si="0"/>
        <v>4.4700000000000004E-2</v>
      </c>
      <c r="E46" s="8">
        <v>3.4329999999999999E-2</v>
      </c>
    </row>
    <row r="47" spans="2:5">
      <c r="B47" s="76">
        <v>38736</v>
      </c>
      <c r="C47" s="8">
        <v>7.9130000000000006E-2</v>
      </c>
      <c r="D47" s="8">
        <f t="shared" si="0"/>
        <v>4.3800000000000006E-2</v>
      </c>
      <c r="E47" s="8">
        <v>3.533E-2</v>
      </c>
    </row>
    <row r="48" spans="2:5">
      <c r="B48" s="76">
        <v>38764</v>
      </c>
      <c r="C48" s="8">
        <v>8.2619999999999999E-2</v>
      </c>
      <c r="D48" s="8">
        <f t="shared" si="0"/>
        <v>4.5899999999999996E-2</v>
      </c>
      <c r="E48" s="8">
        <v>3.6720000000000003E-2</v>
      </c>
    </row>
    <row r="49" spans="2:5">
      <c r="B49" s="76">
        <v>38792</v>
      </c>
      <c r="C49" s="8">
        <v>8.2379999999999995E-2</v>
      </c>
      <c r="D49" s="8">
        <f t="shared" si="0"/>
        <v>4.6499999999999993E-2</v>
      </c>
      <c r="E49" s="8">
        <v>3.5880000000000002E-2</v>
      </c>
    </row>
    <row r="50" spans="2:5">
      <c r="B50" s="76">
        <v>38827</v>
      </c>
      <c r="C50" s="8">
        <v>8.4529999999999994E-2</v>
      </c>
      <c r="D50" s="8">
        <f t="shared" si="0"/>
        <v>5.0399999999999993E-2</v>
      </c>
      <c r="E50" s="8">
        <v>3.4130000000000001E-2</v>
      </c>
    </row>
    <row r="51" spans="2:5">
      <c r="B51" s="76">
        <v>38855</v>
      </c>
      <c r="C51" s="8">
        <v>8.6620000000000003E-2</v>
      </c>
      <c r="D51" s="8">
        <f t="shared" si="0"/>
        <v>5.0800000000000005E-2</v>
      </c>
      <c r="E51" s="8">
        <v>3.5819999999999998E-2</v>
      </c>
    </row>
    <row r="52" spans="2:5">
      <c r="B52" s="76">
        <v>38883</v>
      </c>
      <c r="C52" s="8">
        <v>8.9349999999999999E-2</v>
      </c>
      <c r="D52" s="8">
        <f t="shared" si="0"/>
        <v>5.0999999999999997E-2</v>
      </c>
      <c r="E52" s="8">
        <v>3.8350000000000002E-2</v>
      </c>
    </row>
    <row r="53" spans="2:5">
      <c r="B53" s="76">
        <v>38918</v>
      </c>
      <c r="C53" s="8">
        <v>8.8480000000000003E-2</v>
      </c>
      <c r="D53" s="8">
        <f t="shared" si="0"/>
        <v>5.0300000000000004E-2</v>
      </c>
      <c r="E53" s="8">
        <v>3.8179999999999999E-2</v>
      </c>
    </row>
    <row r="54" spans="2:5">
      <c r="B54" s="76">
        <v>38946</v>
      </c>
      <c r="C54" s="8">
        <v>8.6540000000000006E-2</v>
      </c>
      <c r="D54" s="8">
        <f t="shared" si="0"/>
        <v>4.8700000000000007E-2</v>
      </c>
      <c r="E54" s="8">
        <v>3.7839999999999999E-2</v>
      </c>
    </row>
    <row r="55" spans="2:5">
      <c r="B55" s="76">
        <v>38974</v>
      </c>
      <c r="C55" s="8">
        <v>8.5180000000000006E-2</v>
      </c>
      <c r="D55" s="8">
        <f t="shared" si="0"/>
        <v>4.7900000000000005E-2</v>
      </c>
      <c r="E55" s="8">
        <v>3.7280000000000001E-2</v>
      </c>
    </row>
    <row r="56" spans="2:5">
      <c r="B56" s="76">
        <v>39009</v>
      </c>
      <c r="C56" s="8">
        <v>8.3159999999999998E-2</v>
      </c>
      <c r="D56" s="8">
        <f t="shared" si="0"/>
        <v>4.7899999999999998E-2</v>
      </c>
      <c r="E56" s="8">
        <v>3.526E-2</v>
      </c>
    </row>
    <row r="57" spans="2:5">
      <c r="B57" s="76">
        <v>39037</v>
      </c>
      <c r="C57" s="8">
        <v>8.1140000000000004E-2</v>
      </c>
      <c r="D57" s="8">
        <f t="shared" si="0"/>
        <v>4.6600000000000003E-2</v>
      </c>
      <c r="E57" s="8">
        <v>3.4540000000000001E-2</v>
      </c>
    </row>
    <row r="58" spans="2:5">
      <c r="B58" s="76">
        <v>39065</v>
      </c>
      <c r="C58" s="8">
        <v>8.0740000000000006E-2</v>
      </c>
      <c r="D58" s="8">
        <f t="shared" si="0"/>
        <v>4.6000000000000006E-2</v>
      </c>
      <c r="E58" s="8">
        <v>3.474E-2</v>
      </c>
    </row>
    <row r="59" spans="2:5">
      <c r="B59" s="76">
        <v>39100</v>
      </c>
      <c r="C59" s="8">
        <v>8.1479999999999997E-2</v>
      </c>
      <c r="D59" s="8">
        <f t="shared" si="0"/>
        <v>4.7499999999999994E-2</v>
      </c>
      <c r="E59" s="8">
        <v>3.3980000000000003E-2</v>
      </c>
    </row>
    <row r="60" spans="2:5">
      <c r="B60" s="76">
        <v>39128</v>
      </c>
      <c r="C60" s="8">
        <v>8.2790000000000002E-2</v>
      </c>
      <c r="D60" s="8">
        <f t="shared" si="0"/>
        <v>4.7E-2</v>
      </c>
      <c r="E60" s="8">
        <v>3.5790000000000002E-2</v>
      </c>
    </row>
    <row r="61" spans="2:5">
      <c r="B61" s="76">
        <v>39156</v>
      </c>
      <c r="C61" s="8">
        <v>8.4860000000000005E-2</v>
      </c>
      <c r="D61" s="8">
        <f t="shared" si="0"/>
        <v>4.5400000000000003E-2</v>
      </c>
      <c r="E61" s="8">
        <v>3.9460000000000002E-2</v>
      </c>
    </row>
    <row r="62" spans="2:5">
      <c r="B62" s="76">
        <v>39191</v>
      </c>
      <c r="C62" s="8">
        <v>8.2530000000000006E-2</v>
      </c>
      <c r="D62" s="8">
        <f t="shared" si="0"/>
        <v>4.6800000000000008E-2</v>
      </c>
      <c r="E62" s="8">
        <v>3.5729999999999998E-2</v>
      </c>
    </row>
    <row r="63" spans="2:5">
      <c r="B63" s="76">
        <v>39219</v>
      </c>
      <c r="C63" s="8">
        <v>8.2229999999999998E-2</v>
      </c>
      <c r="D63" s="8">
        <f t="shared" si="0"/>
        <v>4.7599999999999996E-2</v>
      </c>
      <c r="E63" s="8">
        <v>3.4630000000000001E-2</v>
      </c>
    </row>
    <row r="64" spans="2:5">
      <c r="B64" s="76">
        <v>39247</v>
      </c>
      <c r="C64" s="8">
        <v>8.5110000000000005E-2</v>
      </c>
      <c r="D64" s="8">
        <f t="shared" si="0"/>
        <v>5.2300000000000006E-2</v>
      </c>
      <c r="E64" s="8">
        <v>3.2809999999999999E-2</v>
      </c>
    </row>
    <row r="65" spans="2:5">
      <c r="B65" s="76">
        <v>39282</v>
      </c>
      <c r="C65" s="8">
        <v>8.3650000000000002E-2</v>
      </c>
      <c r="D65" s="8">
        <f t="shared" si="0"/>
        <v>5.04E-2</v>
      </c>
      <c r="E65" s="8">
        <v>3.3250000000000002E-2</v>
      </c>
    </row>
    <row r="66" spans="2:5">
      <c r="B66" s="76">
        <v>39310</v>
      </c>
      <c r="C66" s="8">
        <v>8.702E-2</v>
      </c>
      <c r="D66" s="8">
        <f t="shared" si="0"/>
        <v>4.5999999999999999E-2</v>
      </c>
      <c r="E66" s="8">
        <v>4.1020000000000001E-2</v>
      </c>
    </row>
    <row r="67" spans="2:5">
      <c r="B67" s="76">
        <v>39345</v>
      </c>
      <c r="C67" s="8">
        <v>8.2650000000000001E-2</v>
      </c>
      <c r="D67" s="8">
        <f t="shared" si="0"/>
        <v>4.6900000000000004E-2</v>
      </c>
      <c r="E67" s="8">
        <v>3.5749999999999997E-2</v>
      </c>
    </row>
    <row r="68" spans="2:5">
      <c r="B68" s="76">
        <v>39373</v>
      </c>
      <c r="C68" s="8">
        <v>8.1240000000000007E-2</v>
      </c>
      <c r="D68" s="8">
        <f t="shared" ref="D68:D131" si="3">C68-E68</f>
        <v>4.5200000000000004E-2</v>
      </c>
      <c r="E68" s="8">
        <v>3.6040000000000003E-2</v>
      </c>
    </row>
    <row r="69" spans="2:5">
      <c r="B69" s="76">
        <v>39401</v>
      </c>
      <c r="C69" s="8">
        <v>8.1710000000000005E-2</v>
      </c>
      <c r="D69" s="8">
        <f t="shared" si="3"/>
        <v>4.1700000000000008E-2</v>
      </c>
      <c r="E69" s="8">
        <v>4.0009999999999997E-2</v>
      </c>
    </row>
    <row r="70" spans="2:5">
      <c r="B70" s="76">
        <v>39436</v>
      </c>
      <c r="C70" s="8">
        <v>8.1339999999999996E-2</v>
      </c>
      <c r="D70" s="8">
        <f t="shared" si="3"/>
        <v>4.0399999999999998E-2</v>
      </c>
      <c r="E70" s="8">
        <v>4.0939999999999997E-2</v>
      </c>
    </row>
    <row r="71" spans="2:5">
      <c r="B71" s="76">
        <v>39464</v>
      </c>
      <c r="C71" s="8">
        <v>8.2640000000000005E-2</v>
      </c>
      <c r="D71" s="8">
        <f t="shared" si="3"/>
        <v>3.6600000000000008E-2</v>
      </c>
      <c r="E71" s="8">
        <v>4.6039999999999998E-2</v>
      </c>
    </row>
    <row r="72" spans="2:5">
      <c r="B72" s="76">
        <v>39492</v>
      </c>
      <c r="C72" s="8">
        <v>8.6639999999999995E-2</v>
      </c>
      <c r="D72" s="8">
        <f t="shared" si="3"/>
        <v>3.8499999999999993E-2</v>
      </c>
      <c r="E72" s="8">
        <v>4.8140000000000002E-2</v>
      </c>
    </row>
    <row r="73" spans="2:5">
      <c r="B73" s="76">
        <v>39527</v>
      </c>
      <c r="C73" s="8">
        <v>8.8289999999999993E-2</v>
      </c>
      <c r="D73" s="8">
        <f t="shared" si="3"/>
        <v>3.3399999999999992E-2</v>
      </c>
      <c r="E73" s="8">
        <v>5.4890000000000001E-2</v>
      </c>
    </row>
    <row r="74" spans="2:5">
      <c r="B74" s="76">
        <v>39555</v>
      </c>
      <c r="C74" s="8">
        <v>8.6379999999999998E-2</v>
      </c>
      <c r="D74" s="8">
        <f t="shared" si="3"/>
        <v>3.7499999999999999E-2</v>
      </c>
      <c r="E74" s="8">
        <v>4.888E-2</v>
      </c>
    </row>
    <row r="75" spans="2:5">
      <c r="B75" s="76">
        <v>39583</v>
      </c>
      <c r="C75" s="8">
        <v>8.5150000000000003E-2</v>
      </c>
      <c r="D75" s="8">
        <f t="shared" si="3"/>
        <v>3.8300000000000001E-2</v>
      </c>
      <c r="E75" s="8">
        <v>4.6850000000000003E-2</v>
      </c>
    </row>
    <row r="76" spans="2:5">
      <c r="B76" s="76">
        <v>39618</v>
      </c>
      <c r="C76" s="8">
        <v>9.0670000000000001E-2</v>
      </c>
      <c r="D76" s="8">
        <f t="shared" si="3"/>
        <v>4.2200000000000001E-2</v>
      </c>
      <c r="E76" s="8">
        <v>4.8469999999999999E-2</v>
      </c>
    </row>
    <row r="77" spans="2:5">
      <c r="B77" s="76">
        <v>39646</v>
      </c>
      <c r="C77" s="8">
        <v>9.4899999999999998E-2</v>
      </c>
      <c r="D77" s="8">
        <f t="shared" si="3"/>
        <v>4.07E-2</v>
      </c>
      <c r="E77" s="8">
        <v>5.4199999999999998E-2</v>
      </c>
    </row>
    <row r="78" spans="2:5">
      <c r="B78" s="76">
        <v>39674</v>
      </c>
      <c r="C78" s="8">
        <v>9.1429999999999997E-2</v>
      </c>
      <c r="D78" s="8">
        <f t="shared" si="3"/>
        <v>3.8899999999999997E-2</v>
      </c>
      <c r="E78" s="8">
        <v>5.253E-2</v>
      </c>
    </row>
    <row r="79" spans="2:5">
      <c r="B79" s="76">
        <v>39709</v>
      </c>
      <c r="C79" s="8">
        <v>9.5759999999999998E-2</v>
      </c>
      <c r="D79" s="8">
        <f t="shared" si="3"/>
        <v>3.5400000000000001E-2</v>
      </c>
      <c r="E79" s="8">
        <v>6.0359999999999997E-2</v>
      </c>
    </row>
    <row r="80" spans="2:5">
      <c r="B80" s="76">
        <v>39737</v>
      </c>
      <c r="C80" s="8">
        <v>0.111</v>
      </c>
      <c r="D80" s="8">
        <f t="shared" si="3"/>
        <v>3.9919999999999997E-2</v>
      </c>
      <c r="E80" s="8">
        <v>7.1080000000000004E-2</v>
      </c>
    </row>
    <row r="81" spans="2:5">
      <c r="B81" s="76">
        <v>39772</v>
      </c>
      <c r="C81" s="8">
        <v>0.11020000000000001</v>
      </c>
      <c r="D81" s="8">
        <f t="shared" si="3"/>
        <v>3.1020000000000006E-2</v>
      </c>
      <c r="E81" s="8">
        <v>7.918E-2</v>
      </c>
    </row>
    <row r="82" spans="2:5">
      <c r="B82" s="76">
        <v>39800</v>
      </c>
      <c r="C82" s="8">
        <v>9.1389999999999999E-2</v>
      </c>
      <c r="D82" s="8">
        <f t="shared" si="3"/>
        <v>2.0799999999999999E-2</v>
      </c>
      <c r="E82" s="8">
        <v>7.059E-2</v>
      </c>
    </row>
    <row r="83" spans="2:5">
      <c r="B83" s="76">
        <v>39828</v>
      </c>
      <c r="C83" s="8">
        <v>9.4170000000000004E-2</v>
      </c>
      <c r="D83" s="8">
        <f t="shared" si="3"/>
        <v>2.23E-2</v>
      </c>
      <c r="E83" s="8">
        <v>7.1870000000000003E-2</v>
      </c>
    </row>
    <row r="84" spans="2:5">
      <c r="B84" s="76">
        <v>39863</v>
      </c>
      <c r="C84" s="8">
        <v>0.1055</v>
      </c>
      <c r="D84" s="8">
        <f t="shared" si="3"/>
        <v>2.8509999999999994E-2</v>
      </c>
      <c r="E84" s="8">
        <v>7.6990000000000003E-2</v>
      </c>
    </row>
    <row r="85" spans="2:5">
      <c r="B85" s="76">
        <v>39891</v>
      </c>
      <c r="C85" s="8">
        <v>0.1013</v>
      </c>
      <c r="D85" s="8">
        <f t="shared" si="3"/>
        <v>2.613E-2</v>
      </c>
      <c r="E85" s="8">
        <v>7.5170000000000001E-2</v>
      </c>
    </row>
    <row r="86" spans="2:5">
      <c r="B86" s="76">
        <v>39919</v>
      </c>
      <c r="C86" s="8">
        <v>9.4810000000000005E-2</v>
      </c>
      <c r="D86" s="8">
        <f t="shared" si="3"/>
        <v>2.86E-2</v>
      </c>
      <c r="E86" s="8">
        <v>6.6210000000000005E-2</v>
      </c>
    </row>
    <row r="87" spans="2:5">
      <c r="B87" s="76">
        <v>39947</v>
      </c>
      <c r="C87" s="8">
        <v>9.1329999999999995E-2</v>
      </c>
      <c r="D87" s="8">
        <f t="shared" si="3"/>
        <v>3.0999999999999993E-2</v>
      </c>
      <c r="E87" s="8">
        <v>6.0330000000000002E-2</v>
      </c>
    </row>
    <row r="88" spans="2:5">
      <c r="B88" s="76">
        <v>39982</v>
      </c>
      <c r="C88" s="8">
        <v>9.1990000000000002E-2</v>
      </c>
      <c r="D88" s="8">
        <f t="shared" si="3"/>
        <v>3.8600000000000002E-2</v>
      </c>
      <c r="E88" s="8">
        <v>5.339E-2</v>
      </c>
    </row>
    <row r="89" spans="2:5">
      <c r="B89" s="76">
        <v>40010</v>
      </c>
      <c r="C89" s="8">
        <v>8.9499999999999996E-2</v>
      </c>
      <c r="D89" s="8">
        <f t="shared" si="3"/>
        <v>3.5899999999999994E-2</v>
      </c>
      <c r="E89" s="8">
        <v>5.3600000000000002E-2</v>
      </c>
    </row>
    <row r="90" spans="2:5">
      <c r="B90" s="76">
        <v>40045</v>
      </c>
      <c r="C90" s="8">
        <v>8.4989999999999996E-2</v>
      </c>
      <c r="D90" s="8">
        <f t="shared" si="3"/>
        <v>3.4199999999999994E-2</v>
      </c>
      <c r="E90" s="8">
        <v>5.0790000000000002E-2</v>
      </c>
    </row>
    <row r="91" spans="2:5">
      <c r="B91" s="76">
        <v>40073</v>
      </c>
      <c r="C91" s="8">
        <v>8.054E-2</v>
      </c>
      <c r="D91" s="8">
        <f t="shared" si="3"/>
        <v>3.4200000000000001E-2</v>
      </c>
      <c r="E91" s="8">
        <v>4.6339999999999999E-2</v>
      </c>
    </row>
    <row r="92" spans="2:5">
      <c r="B92" s="76">
        <v>40101</v>
      </c>
      <c r="C92" s="8">
        <v>8.0159999999999995E-2</v>
      </c>
      <c r="D92" s="8">
        <f t="shared" si="3"/>
        <v>3.4899999999999994E-2</v>
      </c>
      <c r="E92" s="8">
        <v>4.5260000000000002E-2</v>
      </c>
    </row>
    <row r="93" spans="2:5">
      <c r="B93" s="76">
        <v>40136</v>
      </c>
      <c r="C93" s="8">
        <v>8.0100000000000005E-2</v>
      </c>
      <c r="D93" s="8">
        <f t="shared" si="3"/>
        <v>3.3500000000000002E-2</v>
      </c>
      <c r="E93" s="8">
        <v>4.6600000000000003E-2</v>
      </c>
    </row>
    <row r="94" spans="2:5">
      <c r="B94" s="76">
        <v>40164</v>
      </c>
      <c r="C94" s="8">
        <v>8.1159999999999996E-2</v>
      </c>
      <c r="D94" s="8">
        <f t="shared" si="3"/>
        <v>3.4999999999999996E-2</v>
      </c>
      <c r="E94" s="8">
        <v>4.616E-2</v>
      </c>
    </row>
    <row r="95" spans="2:5">
      <c r="B95" s="76">
        <v>40192</v>
      </c>
      <c r="C95" s="8">
        <v>8.0280000000000004E-2</v>
      </c>
      <c r="D95" s="8">
        <f t="shared" si="3"/>
        <v>3.7600000000000001E-2</v>
      </c>
      <c r="E95" s="8">
        <v>4.2680000000000003E-2</v>
      </c>
    </row>
    <row r="96" spans="2:5">
      <c r="B96" s="76">
        <v>40227</v>
      </c>
      <c r="C96" s="8">
        <v>8.9690000000000006E-2</v>
      </c>
      <c r="D96" s="8">
        <f t="shared" si="3"/>
        <v>3.7900000000000003E-2</v>
      </c>
      <c r="E96" s="8">
        <v>5.1790000000000003E-2</v>
      </c>
    </row>
    <row r="97" spans="2:5">
      <c r="B97" s="76">
        <v>40255</v>
      </c>
      <c r="C97" s="8">
        <v>8.5870000000000002E-2</v>
      </c>
      <c r="D97" s="8">
        <f t="shared" si="3"/>
        <v>3.6799999999999999E-2</v>
      </c>
      <c r="E97" s="8">
        <v>4.9070000000000003E-2</v>
      </c>
    </row>
    <row r="98" spans="2:5">
      <c r="B98" s="76">
        <v>40283</v>
      </c>
      <c r="C98" s="8">
        <v>8.4570000000000006E-2</v>
      </c>
      <c r="D98" s="8">
        <f t="shared" si="3"/>
        <v>3.8600000000000009E-2</v>
      </c>
      <c r="E98" s="8">
        <v>4.5969999999999997E-2</v>
      </c>
    </row>
    <row r="99" spans="2:5">
      <c r="B99" s="76">
        <v>40318</v>
      </c>
      <c r="C99" s="8">
        <v>8.8969999999999994E-2</v>
      </c>
      <c r="D99" s="8">
        <f t="shared" si="3"/>
        <v>3.2499999999999994E-2</v>
      </c>
      <c r="E99" s="8">
        <v>5.6469999999999999E-2</v>
      </c>
    </row>
    <row r="100" spans="2:5">
      <c r="B100" s="76">
        <v>40346</v>
      </c>
      <c r="C100" s="8">
        <v>8.8700000000000001E-2</v>
      </c>
      <c r="D100" s="8">
        <f t="shared" si="3"/>
        <v>3.2100000000000004E-2</v>
      </c>
      <c r="E100" s="8">
        <v>5.6599999999999998E-2</v>
      </c>
    </row>
    <row r="101" spans="2:5">
      <c r="B101" s="76">
        <v>40374</v>
      </c>
      <c r="C101" s="8">
        <v>8.9080000000000006E-2</v>
      </c>
      <c r="D101" s="8">
        <f t="shared" si="3"/>
        <v>3.0000000000000006E-2</v>
      </c>
      <c r="E101" s="8">
        <v>5.9080000000000001E-2</v>
      </c>
    </row>
    <row r="102" spans="2:5">
      <c r="B102" s="76">
        <v>40409</v>
      </c>
      <c r="C102" s="8">
        <v>8.7679999999999994E-2</v>
      </c>
      <c r="D102" s="8">
        <f t="shared" si="3"/>
        <v>2.5799999999999997E-2</v>
      </c>
      <c r="E102" s="8">
        <v>6.1879999999999998E-2</v>
      </c>
    </row>
    <row r="103" spans="2:5">
      <c r="B103" s="76">
        <v>40437</v>
      </c>
      <c r="C103" s="8">
        <v>8.6040000000000005E-2</v>
      </c>
      <c r="D103" s="8">
        <f t="shared" si="3"/>
        <v>2.7700000000000002E-2</v>
      </c>
      <c r="E103" s="8">
        <v>5.8340000000000003E-2</v>
      </c>
    </row>
    <row r="104" spans="2:5">
      <c r="B104" s="76">
        <v>40465</v>
      </c>
      <c r="C104" s="8">
        <v>8.1210000000000004E-2</v>
      </c>
      <c r="D104" s="8">
        <f t="shared" si="3"/>
        <v>2.5200000000000007E-2</v>
      </c>
      <c r="E104" s="8">
        <v>5.6009999999999997E-2</v>
      </c>
    </row>
    <row r="105" spans="2:5">
      <c r="B105" s="76">
        <v>40500</v>
      </c>
      <c r="C105" s="8">
        <v>8.3290000000000003E-2</v>
      </c>
      <c r="D105" s="8">
        <f t="shared" si="3"/>
        <v>2.9000000000000005E-2</v>
      </c>
      <c r="E105" s="8">
        <v>5.4289999999999998E-2</v>
      </c>
    </row>
    <row r="106" spans="2:5">
      <c r="B106" s="76">
        <v>40528</v>
      </c>
      <c r="C106" s="8">
        <v>8.2669999999999993E-2</v>
      </c>
      <c r="D106" s="8">
        <f t="shared" si="3"/>
        <v>3.4699999999999995E-2</v>
      </c>
      <c r="E106" s="8">
        <v>4.7969999999999999E-2</v>
      </c>
    </row>
    <row r="107" spans="2:5">
      <c r="B107" s="76">
        <v>40563</v>
      </c>
      <c r="C107" s="8">
        <v>8.1979999999999997E-2</v>
      </c>
      <c r="D107" s="8">
        <f t="shared" si="3"/>
        <v>3.4699999999999995E-2</v>
      </c>
      <c r="E107" s="8">
        <v>4.7280000000000003E-2</v>
      </c>
    </row>
    <row r="108" spans="2:5">
      <c r="B108" s="76">
        <v>40591</v>
      </c>
      <c r="C108" s="8">
        <v>8.2610000000000003E-2</v>
      </c>
      <c r="D108" s="8">
        <f t="shared" si="3"/>
        <v>3.5800000000000005E-2</v>
      </c>
      <c r="E108" s="8">
        <v>4.6809999999999997E-2</v>
      </c>
    </row>
    <row r="109" spans="2:5">
      <c r="B109" s="76">
        <v>40619</v>
      </c>
      <c r="C109" s="8">
        <v>8.6699999999999999E-2</v>
      </c>
      <c r="D109" s="8">
        <f t="shared" si="3"/>
        <v>3.2500000000000001E-2</v>
      </c>
      <c r="E109" s="8">
        <v>5.4199999999999998E-2</v>
      </c>
    </row>
    <row r="110" spans="2:5">
      <c r="B110" s="76">
        <v>40647</v>
      </c>
      <c r="C110" s="8">
        <v>8.5029999999999994E-2</v>
      </c>
      <c r="D110" s="8">
        <f t="shared" si="3"/>
        <v>3.5099999999999992E-2</v>
      </c>
      <c r="E110" s="8">
        <v>4.9930000000000002E-2</v>
      </c>
    </row>
    <row r="111" spans="2:5">
      <c r="B111" s="76">
        <v>40682</v>
      </c>
      <c r="C111" s="8">
        <v>8.3199999999999996E-2</v>
      </c>
      <c r="D111" s="8">
        <f t="shared" si="3"/>
        <v>3.1699999999999999E-2</v>
      </c>
      <c r="E111" s="8">
        <v>5.1499999999999997E-2</v>
      </c>
    </row>
    <row r="112" spans="2:5">
      <c r="B112" s="76">
        <v>40710</v>
      </c>
      <c r="C112" s="8">
        <v>8.6929999999999993E-2</v>
      </c>
      <c r="D112" s="8">
        <f t="shared" si="3"/>
        <v>2.9299999999999993E-2</v>
      </c>
      <c r="E112" s="8">
        <v>5.7630000000000001E-2</v>
      </c>
    </row>
    <row r="113" spans="2:5">
      <c r="B113" s="76">
        <v>40738</v>
      </c>
      <c r="C113" s="8">
        <v>8.4150000000000003E-2</v>
      </c>
      <c r="D113" s="8">
        <f t="shared" si="3"/>
        <v>2.98E-2</v>
      </c>
      <c r="E113" s="8">
        <v>5.4350000000000002E-2</v>
      </c>
    </row>
    <row r="114" spans="2:5">
      <c r="B114" s="76">
        <v>40773</v>
      </c>
      <c r="C114" s="8">
        <v>8.899E-2</v>
      </c>
      <c r="D114" s="8">
        <f t="shared" si="3"/>
        <v>2.0799999999999999E-2</v>
      </c>
      <c r="E114" s="8">
        <v>6.8190000000000001E-2</v>
      </c>
    </row>
    <row r="115" spans="2:5">
      <c r="B115" s="76">
        <v>40801</v>
      </c>
      <c r="C115" s="8">
        <v>8.8279999999999997E-2</v>
      </c>
      <c r="D115" s="8">
        <f t="shared" si="3"/>
        <v>2.0900000000000002E-2</v>
      </c>
      <c r="E115" s="8">
        <v>6.7379999999999995E-2</v>
      </c>
    </row>
    <row r="116" spans="2:5">
      <c r="B116" s="76">
        <v>40836</v>
      </c>
      <c r="C116" s="8">
        <v>8.6249999999999993E-2</v>
      </c>
      <c r="D116" s="8">
        <f t="shared" si="3"/>
        <v>2.1999999999999992E-2</v>
      </c>
      <c r="E116" s="8">
        <v>6.4250000000000002E-2</v>
      </c>
    </row>
    <row r="117" spans="2:5">
      <c r="B117" s="76">
        <v>40864</v>
      </c>
      <c r="C117" s="8">
        <v>8.3500000000000005E-2</v>
      </c>
      <c r="D117" s="8">
        <f t="shared" si="3"/>
        <v>1.9600000000000006E-2</v>
      </c>
      <c r="E117" s="8">
        <v>6.3899999999999998E-2</v>
      </c>
    </row>
    <row r="118" spans="2:5">
      <c r="B118" s="76">
        <v>40892</v>
      </c>
      <c r="C118" s="8">
        <v>8.5379999999999998E-2</v>
      </c>
      <c r="D118" s="8">
        <f t="shared" si="3"/>
        <v>1.9199999999999995E-2</v>
      </c>
      <c r="E118" s="8">
        <v>6.6180000000000003E-2</v>
      </c>
    </row>
    <row r="119" spans="2:5">
      <c r="B119" s="76">
        <v>40927</v>
      </c>
      <c r="C119" s="8">
        <v>8.0560000000000007E-2</v>
      </c>
      <c r="D119" s="8">
        <f t="shared" si="3"/>
        <v>2.0100000000000007E-2</v>
      </c>
      <c r="E119" s="8">
        <v>6.046E-2</v>
      </c>
    </row>
    <row r="120" spans="2:5">
      <c r="B120" s="76">
        <v>40955</v>
      </c>
      <c r="C120" s="8">
        <v>8.1860000000000002E-2</v>
      </c>
      <c r="D120" s="8">
        <f t="shared" si="3"/>
        <v>1.9900000000000001E-2</v>
      </c>
      <c r="E120" s="8">
        <v>6.1960000000000001E-2</v>
      </c>
    </row>
    <row r="121" spans="2:5">
      <c r="B121" s="76">
        <v>40983</v>
      </c>
      <c r="C121" s="8">
        <v>8.1439999999999999E-2</v>
      </c>
      <c r="D121" s="8">
        <f t="shared" si="3"/>
        <v>2.2899999999999997E-2</v>
      </c>
      <c r="E121" s="8">
        <v>5.8540000000000002E-2</v>
      </c>
    </row>
    <row r="122" spans="2:5">
      <c r="B122" s="76">
        <v>41018</v>
      </c>
      <c r="C122" s="8">
        <v>8.2769999999999996E-2</v>
      </c>
      <c r="D122" s="8">
        <f t="shared" si="3"/>
        <v>1.9799999999999998E-2</v>
      </c>
      <c r="E122" s="8">
        <v>6.2969999999999998E-2</v>
      </c>
    </row>
    <row r="123" spans="2:5">
      <c r="B123" s="76">
        <v>41046</v>
      </c>
      <c r="C123" s="8">
        <v>8.4309999999999996E-2</v>
      </c>
      <c r="D123" s="8">
        <f t="shared" si="3"/>
        <v>1.7000000000000001E-2</v>
      </c>
      <c r="E123" s="8">
        <v>6.7309999999999995E-2</v>
      </c>
    </row>
    <row r="124" spans="2:5">
      <c r="B124" s="76">
        <v>41074</v>
      </c>
      <c r="C124" s="8">
        <v>8.5129999999999997E-2</v>
      </c>
      <c r="D124" s="8">
        <f t="shared" si="3"/>
        <v>1.6399999999999998E-2</v>
      </c>
      <c r="E124" s="8">
        <v>6.8729999999999999E-2</v>
      </c>
    </row>
    <row r="125" spans="2:5">
      <c r="B125" s="76">
        <v>41109</v>
      </c>
      <c r="C125" s="8">
        <v>8.1350000000000006E-2</v>
      </c>
      <c r="D125" s="8">
        <f t="shared" si="3"/>
        <v>1.5400000000000011E-2</v>
      </c>
      <c r="E125" s="8">
        <v>6.5949999999999995E-2</v>
      </c>
    </row>
    <row r="126" spans="2:5">
      <c r="B126" s="76">
        <v>41137</v>
      </c>
      <c r="C126" s="8">
        <v>7.9250000000000001E-2</v>
      </c>
      <c r="D126" s="8">
        <f t="shared" si="3"/>
        <v>1.8300000000000004E-2</v>
      </c>
      <c r="E126" s="8">
        <v>6.0949999999999997E-2</v>
      </c>
    </row>
    <row r="127" spans="2:5">
      <c r="B127" s="76">
        <v>41172</v>
      </c>
      <c r="C127" s="8">
        <v>7.6160000000000005E-2</v>
      </c>
      <c r="D127" s="8">
        <f t="shared" si="3"/>
        <v>1.8000000000000002E-2</v>
      </c>
      <c r="E127" s="8">
        <v>5.8160000000000003E-2</v>
      </c>
    </row>
    <row r="128" spans="2:5">
      <c r="B128" s="76">
        <v>41200</v>
      </c>
      <c r="C128" s="8">
        <v>7.6020000000000004E-2</v>
      </c>
      <c r="D128" s="8">
        <f t="shared" si="3"/>
        <v>1.8600000000000005E-2</v>
      </c>
      <c r="E128" s="8">
        <v>5.7419999999999999E-2</v>
      </c>
    </row>
    <row r="129" spans="2:5">
      <c r="B129" s="76">
        <v>41228</v>
      </c>
      <c r="C129" s="8">
        <v>8.1049999999999997E-2</v>
      </c>
      <c r="D129" s="8">
        <f t="shared" si="3"/>
        <v>1.5799999999999995E-2</v>
      </c>
      <c r="E129" s="8">
        <v>6.5250000000000002E-2</v>
      </c>
    </row>
    <row r="130" spans="2:5">
      <c r="B130" s="76">
        <v>41263</v>
      </c>
      <c r="C130" s="8">
        <v>7.6490000000000002E-2</v>
      </c>
      <c r="D130" s="8">
        <f t="shared" si="3"/>
        <v>1.8100000000000005E-2</v>
      </c>
      <c r="E130" s="8">
        <v>5.8389999999999997E-2</v>
      </c>
    </row>
    <row r="131" spans="2:5">
      <c r="B131" s="76">
        <v>41305</v>
      </c>
      <c r="C131" s="8">
        <v>7.4749999999999997E-2</v>
      </c>
      <c r="D131" s="8">
        <f t="shared" si="3"/>
        <v>2.0199999999999996E-2</v>
      </c>
      <c r="E131" s="8">
        <v>5.4550000000000001E-2</v>
      </c>
    </row>
    <row r="132" spans="2:5">
      <c r="B132" s="76">
        <v>41332</v>
      </c>
      <c r="C132" s="8">
        <v>7.7630000000000005E-2</v>
      </c>
      <c r="D132" s="8">
        <f t="shared" ref="D132:D195" si="4">C132-E132</f>
        <v>1.9100000000000006E-2</v>
      </c>
      <c r="E132" s="8">
        <v>5.8529999999999999E-2</v>
      </c>
    </row>
    <row r="133" spans="2:5">
      <c r="B133" s="76">
        <v>41361</v>
      </c>
      <c r="C133" s="8">
        <v>7.4910000000000004E-2</v>
      </c>
      <c r="D133" s="8">
        <f t="shared" si="4"/>
        <v>1.8700000000000001E-2</v>
      </c>
      <c r="E133" s="8">
        <v>5.6210000000000003E-2</v>
      </c>
    </row>
    <row r="134" spans="2:5">
      <c r="B134" s="76">
        <v>41394</v>
      </c>
      <c r="C134" s="8">
        <v>7.3359999999999995E-2</v>
      </c>
      <c r="D134" s="8">
        <f t="shared" si="4"/>
        <v>1.6999999999999994E-2</v>
      </c>
      <c r="E134" s="8">
        <v>5.636E-2</v>
      </c>
    </row>
    <row r="135" spans="2:5">
      <c r="B135" s="76">
        <v>41425</v>
      </c>
      <c r="C135" s="8">
        <v>7.1889999999999996E-2</v>
      </c>
      <c r="D135" s="8">
        <f t="shared" si="4"/>
        <v>2.1599999999999994E-2</v>
      </c>
      <c r="E135" s="8">
        <v>5.0290000000000001E-2</v>
      </c>
    </row>
    <row r="136" spans="2:5">
      <c r="B136" s="76">
        <v>41453</v>
      </c>
      <c r="C136" s="8">
        <v>7.535E-2</v>
      </c>
      <c r="D136" s="8">
        <f t="shared" si="4"/>
        <v>2.52E-2</v>
      </c>
      <c r="E136" s="8">
        <v>5.015E-2</v>
      </c>
    </row>
    <row r="137" spans="2:5">
      <c r="B137" s="76">
        <v>41486</v>
      </c>
      <c r="C137" s="8">
        <v>7.2410000000000002E-2</v>
      </c>
      <c r="D137" s="8">
        <f t="shared" si="4"/>
        <v>2.6000000000000002E-2</v>
      </c>
      <c r="E137" s="8">
        <v>4.641E-2</v>
      </c>
    </row>
    <row r="138" spans="2:5">
      <c r="B138" s="76">
        <v>41516</v>
      </c>
      <c r="C138" s="8">
        <v>7.467E-2</v>
      </c>
      <c r="D138" s="8">
        <f t="shared" si="4"/>
        <v>2.7799999999999998E-2</v>
      </c>
      <c r="E138" s="8">
        <v>4.6870000000000002E-2</v>
      </c>
    </row>
    <row r="139" spans="2:5">
      <c r="B139" s="76">
        <v>41547</v>
      </c>
      <c r="C139" s="8">
        <v>7.195E-2</v>
      </c>
      <c r="D139" s="8">
        <f t="shared" si="4"/>
        <v>2.64E-2</v>
      </c>
      <c r="E139" s="8">
        <v>4.555E-2</v>
      </c>
    </row>
    <row r="140" spans="2:5">
      <c r="B140" s="76">
        <v>41578</v>
      </c>
      <c r="C140" s="8">
        <v>6.9379999999999997E-2</v>
      </c>
      <c r="D140" s="8">
        <f t="shared" si="4"/>
        <v>2.5700000000000001E-2</v>
      </c>
      <c r="E140" s="8">
        <v>4.3679999999999997E-2</v>
      </c>
    </row>
    <row r="141" spans="2:5">
      <c r="B141" s="76">
        <v>41607</v>
      </c>
      <c r="C141" s="8">
        <v>6.8900000000000003E-2</v>
      </c>
      <c r="D141" s="8">
        <f t="shared" si="4"/>
        <v>2.7500000000000004E-2</v>
      </c>
      <c r="E141" s="8">
        <v>4.1399999999999999E-2</v>
      </c>
    </row>
    <row r="142" spans="2:5">
      <c r="B142" s="76">
        <v>41639</v>
      </c>
      <c r="C142" s="8">
        <v>6.9190000000000002E-2</v>
      </c>
      <c r="D142" s="8">
        <f t="shared" si="4"/>
        <v>3.0400000000000003E-2</v>
      </c>
      <c r="E142" s="8">
        <v>3.8789999999999998E-2</v>
      </c>
    </row>
    <row r="143" spans="2:5">
      <c r="B143" s="76">
        <v>41670</v>
      </c>
      <c r="C143" s="8">
        <v>7.0230000000000001E-2</v>
      </c>
      <c r="D143" s="8">
        <f t="shared" si="4"/>
        <v>2.6700000000000002E-2</v>
      </c>
      <c r="E143" s="8">
        <v>4.3529999999999999E-2</v>
      </c>
    </row>
    <row r="144" spans="2:5">
      <c r="B144" s="76">
        <v>41698</v>
      </c>
      <c r="C144" s="8">
        <v>7.0370000000000002E-2</v>
      </c>
      <c r="D144" s="8">
        <f t="shared" si="4"/>
        <v>2.6599999999999999E-2</v>
      </c>
      <c r="E144" s="8">
        <v>4.3770000000000003E-2</v>
      </c>
    </row>
    <row r="145" spans="2:5">
      <c r="B145" s="76">
        <v>41729</v>
      </c>
      <c r="C145" s="8">
        <v>7.0949999999999999E-2</v>
      </c>
      <c r="D145" s="8">
        <f t="shared" si="4"/>
        <v>2.7299999999999998E-2</v>
      </c>
      <c r="E145" s="8">
        <v>4.3650000000000001E-2</v>
      </c>
    </row>
    <row r="146" spans="2:5">
      <c r="B146" s="76">
        <v>41759</v>
      </c>
      <c r="C146" s="8">
        <v>7.0790000000000006E-2</v>
      </c>
      <c r="D146" s="8">
        <f t="shared" si="4"/>
        <v>2.6700000000000008E-2</v>
      </c>
      <c r="E146" s="8">
        <v>4.4089999999999997E-2</v>
      </c>
    </row>
    <row r="147" spans="2:5">
      <c r="B147" s="76">
        <v>41789</v>
      </c>
      <c r="C147" s="8">
        <v>6.8909999999999999E-2</v>
      </c>
      <c r="D147" s="8">
        <f t="shared" si="4"/>
        <v>2.4799999999999996E-2</v>
      </c>
      <c r="E147" s="8">
        <v>4.4110000000000003E-2</v>
      </c>
    </row>
    <row r="148" spans="2:5">
      <c r="B148" s="76">
        <v>41820</v>
      </c>
      <c r="C148" s="8">
        <v>6.7470000000000002E-2</v>
      </c>
      <c r="D148" s="8">
        <f t="shared" si="4"/>
        <v>2.5300000000000003E-2</v>
      </c>
      <c r="E148" s="8">
        <v>4.2169999999999999E-2</v>
      </c>
    </row>
    <row r="149" spans="2:5">
      <c r="B149" s="76">
        <v>41851</v>
      </c>
      <c r="C149" s="8">
        <v>6.93E-2</v>
      </c>
      <c r="D149" s="8">
        <f t="shared" si="4"/>
        <v>2.5800000000000003E-2</v>
      </c>
      <c r="E149" s="8">
        <v>4.3499999999999997E-2</v>
      </c>
    </row>
    <row r="150" spans="2:5">
      <c r="B150" s="76">
        <v>41880</v>
      </c>
      <c r="C150" s="8">
        <v>6.6280000000000006E-2</v>
      </c>
      <c r="D150" s="8">
        <f t="shared" si="4"/>
        <v>2.3500000000000007E-2</v>
      </c>
      <c r="E150" s="8">
        <v>4.2779999999999999E-2</v>
      </c>
    </row>
    <row r="151" spans="2:5">
      <c r="B151" s="76">
        <v>41912</v>
      </c>
      <c r="C151" s="8">
        <v>6.9089999999999999E-2</v>
      </c>
      <c r="D151" s="8">
        <f t="shared" si="4"/>
        <v>2.52E-2</v>
      </c>
      <c r="E151" s="8">
        <v>4.3889999999999998E-2</v>
      </c>
    </row>
    <row r="152" spans="2:5">
      <c r="B152" s="76">
        <v>41943</v>
      </c>
      <c r="C152" s="8">
        <v>6.5930000000000002E-2</v>
      </c>
      <c r="D152" s="8">
        <f t="shared" si="4"/>
        <v>2.35E-2</v>
      </c>
      <c r="E152" s="8">
        <v>4.2430000000000002E-2</v>
      </c>
    </row>
    <row r="153" spans="2:5">
      <c r="B153" s="76">
        <v>41971</v>
      </c>
      <c r="C153" s="8">
        <v>6.3270000000000007E-2</v>
      </c>
      <c r="D153" s="8">
        <f t="shared" si="4"/>
        <v>2.1800000000000007E-2</v>
      </c>
      <c r="E153" s="8">
        <v>4.147E-2</v>
      </c>
    </row>
    <row r="154" spans="2:5">
      <c r="B154" s="76">
        <v>42004</v>
      </c>
      <c r="C154" s="8">
        <v>6.2420000000000003E-2</v>
      </c>
      <c r="D154" s="8">
        <f t="shared" si="4"/>
        <v>2.1700000000000004E-2</v>
      </c>
      <c r="E154" s="8">
        <v>4.0719999999999999E-2</v>
      </c>
    </row>
    <row r="155" spans="2:5">
      <c r="B155" s="76">
        <v>42034</v>
      </c>
      <c r="C155" s="8">
        <v>6.3560000000000005E-2</v>
      </c>
      <c r="D155" s="8">
        <f t="shared" si="4"/>
        <v>1.6800000000000002E-2</v>
      </c>
      <c r="E155" s="8">
        <v>4.6760000000000003E-2</v>
      </c>
    </row>
    <row r="156" spans="2:5">
      <c r="B156" s="76">
        <v>42062</v>
      </c>
      <c r="C156" s="8">
        <v>6.3070000000000001E-2</v>
      </c>
      <c r="D156" s="8">
        <f t="shared" si="4"/>
        <v>2.0000000000000004E-2</v>
      </c>
      <c r="E156" s="8">
        <v>4.3069999999999997E-2</v>
      </c>
    </row>
    <row r="157" spans="2:5">
      <c r="B157" s="76">
        <v>42094</v>
      </c>
      <c r="C157" s="8">
        <v>6.3490000000000005E-2</v>
      </c>
      <c r="D157" s="8">
        <f t="shared" si="4"/>
        <v>1.9400000000000008E-2</v>
      </c>
      <c r="E157" s="8">
        <v>4.4089999999999997E-2</v>
      </c>
    </row>
    <row r="158" spans="2:5">
      <c r="B158" s="76">
        <v>42124</v>
      </c>
      <c r="C158" s="8">
        <v>6.2789999999999999E-2</v>
      </c>
      <c r="D158" s="8">
        <f t="shared" si="4"/>
        <v>2.0499999999999997E-2</v>
      </c>
      <c r="E158" s="8">
        <v>4.2290000000000001E-2</v>
      </c>
    </row>
    <row r="159" spans="2:5">
      <c r="B159" s="76">
        <v>42153</v>
      </c>
      <c r="C159" s="8">
        <v>6.2489999999999997E-2</v>
      </c>
      <c r="D159" s="8">
        <f t="shared" si="4"/>
        <v>2.1199999999999997E-2</v>
      </c>
      <c r="E159" s="8">
        <v>4.129E-2</v>
      </c>
    </row>
    <row r="160" spans="2:5">
      <c r="B160" s="76">
        <v>42185</v>
      </c>
      <c r="C160" s="8">
        <v>6.4930000000000002E-2</v>
      </c>
      <c r="D160" s="8">
        <f t="shared" si="4"/>
        <v>2.35E-2</v>
      </c>
      <c r="E160" s="8">
        <v>4.1430000000000002E-2</v>
      </c>
    </row>
    <row r="161" spans="2:5">
      <c r="B161" s="76">
        <v>42216</v>
      </c>
      <c r="C161" s="8">
        <v>6.3519999999999993E-2</v>
      </c>
      <c r="D161" s="8">
        <f t="shared" si="4"/>
        <v>2.1999999999999992E-2</v>
      </c>
      <c r="E161" s="8">
        <v>4.1520000000000001E-2</v>
      </c>
    </row>
    <row r="162" spans="2:5">
      <c r="B162" s="76">
        <v>42247</v>
      </c>
      <c r="C162" s="8">
        <v>6.6799999999999998E-2</v>
      </c>
      <c r="D162" s="8">
        <f t="shared" si="4"/>
        <v>2.2100000000000002E-2</v>
      </c>
      <c r="E162" s="8">
        <v>4.4699999999999997E-2</v>
      </c>
    </row>
    <row r="163" spans="2:5">
      <c r="B163" s="76">
        <v>42277</v>
      </c>
      <c r="C163" s="8">
        <v>6.7669999999999994E-2</v>
      </c>
      <c r="D163" s="8">
        <f t="shared" si="4"/>
        <v>2.0599999999999993E-2</v>
      </c>
      <c r="E163" s="8">
        <v>4.7070000000000001E-2</v>
      </c>
    </row>
    <row r="164" spans="2:5">
      <c r="B164" s="76">
        <v>42308</v>
      </c>
      <c r="C164" s="8">
        <v>6.3009999999999997E-2</v>
      </c>
      <c r="D164" s="8">
        <f t="shared" si="4"/>
        <v>2.1599999999999994E-2</v>
      </c>
      <c r="E164" s="8">
        <v>4.1410000000000002E-2</v>
      </c>
    </row>
    <row r="165" spans="2:5">
      <c r="B165" s="76">
        <v>42338</v>
      </c>
      <c r="C165" s="8">
        <v>6.2839999999999993E-2</v>
      </c>
      <c r="D165" s="8">
        <f t="shared" si="4"/>
        <v>2.2099999999999995E-2</v>
      </c>
      <c r="E165" s="8">
        <v>4.0739999999999998E-2</v>
      </c>
    </row>
    <row r="166" spans="2:5">
      <c r="B166" s="76">
        <v>42369</v>
      </c>
      <c r="C166" s="8">
        <v>6.4430000000000001E-2</v>
      </c>
      <c r="D166" s="8">
        <f t="shared" si="4"/>
        <v>2.2699999999999998E-2</v>
      </c>
      <c r="E166" s="8">
        <v>4.1730000000000003E-2</v>
      </c>
    </row>
    <row r="167" spans="2:5">
      <c r="B167" s="76">
        <v>42400</v>
      </c>
      <c r="C167" s="8">
        <v>6.8739999999999996E-2</v>
      </c>
      <c r="D167" s="8">
        <f t="shared" si="4"/>
        <v>1.9399999999999994E-2</v>
      </c>
      <c r="E167" s="8">
        <v>4.9340000000000002E-2</v>
      </c>
    </row>
    <row r="168" spans="2:5">
      <c r="B168" s="76">
        <v>42429</v>
      </c>
      <c r="C168" s="8">
        <v>7.0080000000000003E-2</v>
      </c>
      <c r="D168" s="8">
        <f t="shared" si="4"/>
        <v>1.7400000000000006E-2</v>
      </c>
      <c r="E168" s="8">
        <v>5.2679999999999998E-2</v>
      </c>
    </row>
    <row r="169" spans="2:5">
      <c r="B169" s="76">
        <v>42460</v>
      </c>
      <c r="C169" s="8">
        <v>6.5640000000000004E-2</v>
      </c>
      <c r="D169" s="8">
        <f t="shared" si="4"/>
        <v>1.7800000000000003E-2</v>
      </c>
      <c r="E169" s="8">
        <v>4.7840000000000001E-2</v>
      </c>
    </row>
    <row r="170" spans="2:5">
      <c r="B170" s="76">
        <v>42490</v>
      </c>
      <c r="C170" s="8">
        <v>6.4680000000000001E-2</v>
      </c>
      <c r="D170" s="8">
        <f t="shared" si="4"/>
        <v>1.8300000000000004E-2</v>
      </c>
      <c r="E170" s="8">
        <v>4.6379999999999998E-2</v>
      </c>
    </row>
    <row r="171" spans="2:5">
      <c r="B171" s="76">
        <v>42521</v>
      </c>
      <c r="C171" s="8">
        <v>6.4100000000000004E-2</v>
      </c>
      <c r="D171" s="8">
        <f t="shared" si="4"/>
        <v>1.8400000000000007E-2</v>
      </c>
      <c r="E171" s="8">
        <v>4.5699999999999998E-2</v>
      </c>
    </row>
    <row r="172" spans="2:5">
      <c r="B172" s="76">
        <v>42551</v>
      </c>
      <c r="C172" s="8">
        <v>6.4180000000000001E-2</v>
      </c>
      <c r="D172" s="8">
        <f t="shared" si="4"/>
        <v>1.4900000000000004E-2</v>
      </c>
      <c r="E172" s="8">
        <v>4.9279999999999997E-2</v>
      </c>
    </row>
    <row r="173" spans="2:5">
      <c r="B173" s="76">
        <v>42582</v>
      </c>
      <c r="C173" s="8">
        <v>6.1749999999999999E-2</v>
      </c>
      <c r="D173" s="8">
        <f t="shared" si="4"/>
        <v>1.4600000000000002E-2</v>
      </c>
      <c r="E173" s="8">
        <v>4.7149999999999997E-2</v>
      </c>
    </row>
    <row r="174" spans="2:5">
      <c r="B174" s="76">
        <v>42613</v>
      </c>
      <c r="C174" s="8">
        <v>6.1519999999999998E-2</v>
      </c>
      <c r="D174" s="8">
        <f t="shared" si="4"/>
        <v>1.5800000000000002E-2</v>
      </c>
      <c r="E174" s="8">
        <v>4.5719999999999997E-2</v>
      </c>
    </row>
    <row r="175" spans="2:5">
      <c r="B175" s="76">
        <v>42643</v>
      </c>
      <c r="C175" s="8">
        <v>6.173E-2</v>
      </c>
      <c r="D175" s="8">
        <f t="shared" si="4"/>
        <v>1.6E-2</v>
      </c>
      <c r="E175" s="8">
        <v>4.573E-2</v>
      </c>
    </row>
    <row r="176" spans="2:5">
      <c r="B176" s="76">
        <v>42674</v>
      </c>
      <c r="C176" s="8">
        <v>6.2509999999999996E-2</v>
      </c>
      <c r="D176" s="8">
        <f t="shared" si="4"/>
        <v>1.8399999999999993E-2</v>
      </c>
      <c r="E176" s="8">
        <v>4.4110000000000003E-2</v>
      </c>
    </row>
    <row r="177" spans="2:5">
      <c r="B177" s="76">
        <v>42704</v>
      </c>
      <c r="C177" s="8">
        <v>6.2839999999999993E-2</v>
      </c>
      <c r="D177" s="8">
        <f t="shared" si="4"/>
        <v>2.3699999999999992E-2</v>
      </c>
      <c r="E177" s="8">
        <v>3.9140000000000001E-2</v>
      </c>
    </row>
    <row r="178" spans="2:5">
      <c r="B178" s="76">
        <v>42735</v>
      </c>
      <c r="C178" s="8">
        <v>6.1890000000000001E-2</v>
      </c>
      <c r="D178" s="8">
        <f t="shared" si="4"/>
        <v>2.4500000000000001E-2</v>
      </c>
      <c r="E178" s="8">
        <v>3.739E-2</v>
      </c>
    </row>
    <row r="179" spans="2:5">
      <c r="B179" s="76">
        <v>42766</v>
      </c>
      <c r="C179" s="8">
        <v>6.1850000000000002E-2</v>
      </c>
      <c r="D179" s="8">
        <f t="shared" si="4"/>
        <v>2.4500000000000001E-2</v>
      </c>
      <c r="E179" s="8">
        <v>3.7350000000000001E-2</v>
      </c>
    </row>
    <row r="180" spans="2:5">
      <c r="B180" s="76">
        <v>42794</v>
      </c>
      <c r="C180" s="8">
        <v>6.2719999999999998E-2</v>
      </c>
      <c r="D180" s="8">
        <f t="shared" si="4"/>
        <v>2.3599999999999996E-2</v>
      </c>
      <c r="E180" s="8">
        <v>3.9120000000000002E-2</v>
      </c>
    </row>
    <row r="181" spans="2:5">
      <c r="B181" s="76">
        <v>42825</v>
      </c>
      <c r="C181" s="8">
        <v>6.318E-2</v>
      </c>
      <c r="D181" s="8">
        <f t="shared" si="4"/>
        <v>2.4E-2</v>
      </c>
      <c r="E181" s="8">
        <v>3.918E-2</v>
      </c>
    </row>
    <row r="182" spans="2:5">
      <c r="B182" s="76">
        <v>42855</v>
      </c>
      <c r="C182" s="8">
        <v>6.198E-2</v>
      </c>
      <c r="D182" s="8">
        <f t="shared" si="4"/>
        <v>2.2900000000000004E-2</v>
      </c>
      <c r="E182" s="8">
        <v>3.9079999999999997E-2</v>
      </c>
    </row>
    <row r="183" spans="2:5">
      <c r="B183" s="76">
        <v>42886</v>
      </c>
      <c r="C183" s="8">
        <v>6.2469999999999998E-2</v>
      </c>
      <c r="D183" s="8">
        <f t="shared" si="4"/>
        <v>2.2099999999999995E-2</v>
      </c>
      <c r="E183" s="8">
        <v>4.0370000000000003E-2</v>
      </c>
    </row>
    <row r="184" spans="2:5">
      <c r="B184" s="76">
        <v>42916</v>
      </c>
      <c r="C184" s="8">
        <v>6.132E-2</v>
      </c>
      <c r="D184" s="8">
        <f t="shared" si="4"/>
        <v>2.3100000000000002E-2</v>
      </c>
      <c r="E184" s="8">
        <v>3.8219999999999997E-2</v>
      </c>
    </row>
    <row r="185" spans="2:5">
      <c r="B185" s="76">
        <v>42947</v>
      </c>
      <c r="C185" s="8">
        <v>6.0339999999999998E-2</v>
      </c>
      <c r="D185" s="8">
        <f t="shared" si="4"/>
        <v>2.3E-2</v>
      </c>
      <c r="E185" s="8">
        <v>3.7339999999999998E-2</v>
      </c>
    </row>
    <row r="186" spans="2:5">
      <c r="B186" s="76">
        <v>42978</v>
      </c>
      <c r="C186" s="8">
        <v>5.9279999999999999E-2</v>
      </c>
      <c r="D186" s="8">
        <f t="shared" si="4"/>
        <v>2.1199999999999997E-2</v>
      </c>
      <c r="E186" s="8">
        <v>3.8080000000000003E-2</v>
      </c>
    </row>
    <row r="187" spans="2:5">
      <c r="B187" s="76">
        <v>43008</v>
      </c>
      <c r="C187" s="8">
        <v>5.9380000000000002E-2</v>
      </c>
      <c r="D187" s="8">
        <f t="shared" si="4"/>
        <v>2.3300000000000001E-2</v>
      </c>
      <c r="E187" s="8">
        <v>3.6080000000000001E-2</v>
      </c>
    </row>
    <row r="188" spans="2:5">
      <c r="B188" s="76">
        <v>43039</v>
      </c>
      <c r="C188" s="8">
        <v>5.8900000000000001E-2</v>
      </c>
      <c r="D188" s="8">
        <f t="shared" si="4"/>
        <v>2.3800000000000002E-2</v>
      </c>
      <c r="E188" s="8">
        <v>3.5099999999999999E-2</v>
      </c>
    </row>
    <row r="189" spans="2:5">
      <c r="B189" s="76">
        <v>43069</v>
      </c>
      <c r="C189" s="8">
        <v>5.7889999999999997E-2</v>
      </c>
      <c r="D189" s="8">
        <f t="shared" si="4"/>
        <v>2.4199999999999999E-2</v>
      </c>
      <c r="E189" s="8">
        <v>3.3689999999999998E-2</v>
      </c>
    </row>
    <row r="190" spans="2:5">
      <c r="B190" s="76">
        <v>43100</v>
      </c>
      <c r="C190" s="8">
        <v>5.774E-2</v>
      </c>
      <c r="D190" s="8">
        <f t="shared" si="4"/>
        <v>2.4E-2</v>
      </c>
      <c r="E190" s="8">
        <v>3.3739999999999999E-2</v>
      </c>
    </row>
    <row r="191" spans="2:5">
      <c r="B191" s="76">
        <v>43131</v>
      </c>
      <c r="C191" s="8">
        <v>5.9760000000000001E-2</v>
      </c>
      <c r="D191" s="8">
        <f t="shared" si="4"/>
        <v>2.7200000000000002E-2</v>
      </c>
      <c r="E191" s="8">
        <v>3.2559999999999999E-2</v>
      </c>
    </row>
    <row r="192" spans="2:5">
      <c r="B192" s="76">
        <v>43159</v>
      </c>
      <c r="C192" s="8">
        <v>6.6669999999999993E-2</v>
      </c>
      <c r="D192" s="8">
        <f t="shared" si="4"/>
        <v>2.8699999999999996E-2</v>
      </c>
      <c r="E192" s="8">
        <v>3.7969999999999997E-2</v>
      </c>
    </row>
    <row r="193" spans="2:5">
      <c r="B193" s="76">
        <v>43190</v>
      </c>
      <c r="C193" s="8">
        <v>6.6369999999999998E-2</v>
      </c>
      <c r="D193" s="8">
        <f t="shared" si="4"/>
        <v>2.7400000000000001E-2</v>
      </c>
      <c r="E193" s="8">
        <v>3.8969999999999998E-2</v>
      </c>
    </row>
    <row r="194" spans="2:5">
      <c r="B194" s="76">
        <v>43220</v>
      </c>
      <c r="C194" s="8">
        <v>6.8459999999999993E-2</v>
      </c>
      <c r="D194" s="8">
        <f t="shared" si="4"/>
        <v>2.9499999999999992E-2</v>
      </c>
      <c r="E194" s="8">
        <v>3.8960000000000002E-2</v>
      </c>
    </row>
    <row r="195" spans="2:5">
      <c r="B195" s="76">
        <v>43251</v>
      </c>
      <c r="C195" s="8">
        <v>6.83E-2</v>
      </c>
      <c r="D195" s="8">
        <f t="shared" si="4"/>
        <v>2.8299999999999999E-2</v>
      </c>
      <c r="E195" s="8">
        <v>0.04</v>
      </c>
    </row>
    <row r="196" spans="2:5">
      <c r="B196" s="76">
        <v>43281</v>
      </c>
      <c r="C196" s="8">
        <v>6.7229999999999998E-2</v>
      </c>
      <c r="D196" s="8">
        <f t="shared" ref="D196:D259" si="5">C196-E196</f>
        <v>2.8499999999999998E-2</v>
      </c>
      <c r="E196" s="8">
        <v>3.8730000000000001E-2</v>
      </c>
    </row>
    <row r="197" spans="2:5">
      <c r="B197" s="76">
        <v>43312</v>
      </c>
      <c r="C197" s="8">
        <v>6.7930000000000004E-2</v>
      </c>
      <c r="D197" s="8">
        <f t="shared" si="5"/>
        <v>2.9600000000000001E-2</v>
      </c>
      <c r="E197" s="8">
        <v>3.8330000000000003E-2</v>
      </c>
    </row>
    <row r="198" spans="2:5">
      <c r="B198" s="76">
        <v>43343</v>
      </c>
      <c r="C198" s="8">
        <v>6.7519999999999997E-2</v>
      </c>
      <c r="D198" s="8">
        <f t="shared" si="5"/>
        <v>2.8599999999999993E-2</v>
      </c>
      <c r="E198" s="8">
        <v>3.8920000000000003E-2</v>
      </c>
    </row>
    <row r="199" spans="2:5">
      <c r="B199" s="76">
        <v>43373</v>
      </c>
      <c r="C199" s="8">
        <v>6.6809999999999994E-2</v>
      </c>
      <c r="D199" s="8">
        <f t="shared" si="5"/>
        <v>3.0499999999999992E-2</v>
      </c>
      <c r="E199" s="8">
        <v>3.6310000000000002E-2</v>
      </c>
    </row>
    <row r="200" spans="2:5">
      <c r="B200" s="76">
        <v>43404</v>
      </c>
      <c r="C200" s="8">
        <v>6.9860000000000005E-2</v>
      </c>
      <c r="D200" s="8">
        <f t="shared" si="5"/>
        <v>3.1500000000000007E-2</v>
      </c>
      <c r="E200" s="8">
        <v>3.8359999999999998E-2</v>
      </c>
    </row>
    <row r="201" spans="2:5">
      <c r="B201" s="76">
        <v>43434</v>
      </c>
      <c r="C201" s="8">
        <v>7.1370000000000003E-2</v>
      </c>
      <c r="D201" s="8">
        <f t="shared" si="5"/>
        <v>3.0100000000000002E-2</v>
      </c>
      <c r="E201" s="8">
        <v>4.1270000000000001E-2</v>
      </c>
    </row>
    <row r="202" spans="2:5">
      <c r="B202" s="76">
        <v>43465</v>
      </c>
      <c r="C202" s="8">
        <v>7.3599999999999999E-2</v>
      </c>
      <c r="D202" s="8">
        <f t="shared" si="5"/>
        <v>2.69E-2</v>
      </c>
      <c r="E202" s="8">
        <v>4.6699999999999998E-2</v>
      </c>
    </row>
    <row r="203" spans="2:5">
      <c r="B203" s="76">
        <v>43496</v>
      </c>
      <c r="C203" s="8">
        <v>7.1169999999999997E-2</v>
      </c>
      <c r="D203" s="8">
        <f t="shared" si="5"/>
        <v>2.6299999999999997E-2</v>
      </c>
      <c r="E203" s="8">
        <v>4.487E-2</v>
      </c>
    </row>
    <row r="204" spans="2:5">
      <c r="B204" s="76">
        <v>43524</v>
      </c>
      <c r="C204" s="8">
        <v>7.009E-2</v>
      </c>
      <c r="D204" s="8">
        <f t="shared" si="5"/>
        <v>2.7299999999999998E-2</v>
      </c>
      <c r="E204" s="8">
        <v>4.2790000000000002E-2</v>
      </c>
    </row>
    <row r="205" spans="2:5">
      <c r="B205" s="76">
        <v>43555</v>
      </c>
      <c r="C205" s="8">
        <v>6.6879999999999995E-2</v>
      </c>
      <c r="D205" s="8">
        <f t="shared" si="5"/>
        <v>2.4099999999999996E-2</v>
      </c>
      <c r="E205" s="8">
        <v>4.2779999999999999E-2</v>
      </c>
    </row>
    <row r="206" spans="2:5">
      <c r="B206" s="76">
        <v>43585</v>
      </c>
      <c r="C206" s="8">
        <v>6.5420000000000006E-2</v>
      </c>
      <c r="D206" s="8">
        <f t="shared" si="5"/>
        <v>2.5100000000000004E-2</v>
      </c>
      <c r="E206" s="8">
        <v>4.0320000000000002E-2</v>
      </c>
    </row>
    <row r="207" spans="2:5">
      <c r="B207" s="76">
        <v>43616</v>
      </c>
      <c r="C207" s="8">
        <v>6.3969999999999999E-2</v>
      </c>
      <c r="D207" s="8">
        <f t="shared" si="5"/>
        <v>2.1400000000000002E-2</v>
      </c>
      <c r="E207" s="8">
        <v>4.2569999999999997E-2</v>
      </c>
    </row>
    <row r="208" spans="2:5">
      <c r="B208" s="76">
        <v>43646</v>
      </c>
      <c r="C208" s="8">
        <v>6.1620000000000001E-2</v>
      </c>
      <c r="D208" s="8">
        <f t="shared" si="5"/>
        <v>2.0000000000000004E-2</v>
      </c>
      <c r="E208" s="8">
        <v>4.1619999999999997E-2</v>
      </c>
    </row>
    <row r="209" spans="2:5">
      <c r="B209" s="76">
        <v>43677</v>
      </c>
      <c r="C209" s="8">
        <v>6.1219999999999997E-2</v>
      </c>
      <c r="D209" s="8">
        <f t="shared" si="5"/>
        <v>2.0199999999999996E-2</v>
      </c>
      <c r="E209" s="8">
        <v>4.1020000000000001E-2</v>
      </c>
    </row>
    <row r="210" spans="2:5">
      <c r="B210" s="76">
        <v>43708</v>
      </c>
      <c r="C210" s="8">
        <v>6.3250000000000001E-2</v>
      </c>
      <c r="D210" s="8">
        <f t="shared" si="5"/>
        <v>1.4999999999999999E-2</v>
      </c>
      <c r="E210" s="8">
        <v>4.8250000000000001E-2</v>
      </c>
    </row>
    <row r="211" spans="2:5">
      <c r="B211" s="76">
        <v>43738</v>
      </c>
      <c r="C211" s="8">
        <v>5.9769999999999997E-2</v>
      </c>
      <c r="D211" s="8">
        <f t="shared" si="5"/>
        <v>1.6799999999999995E-2</v>
      </c>
      <c r="E211" s="8">
        <v>4.2970000000000001E-2</v>
      </c>
    </row>
    <row r="212" spans="2:5">
      <c r="B212" s="76">
        <v>43769</v>
      </c>
      <c r="C212" s="8">
        <v>6.003E-2</v>
      </c>
      <c r="D212" s="8">
        <f t="shared" si="5"/>
        <v>1.6899999999999998E-2</v>
      </c>
      <c r="E212" s="8">
        <v>4.3130000000000002E-2</v>
      </c>
    </row>
    <row r="213" spans="2:5">
      <c r="B213" s="76">
        <v>43799</v>
      </c>
      <c r="C213" s="8">
        <v>5.7790000000000001E-2</v>
      </c>
      <c r="D213" s="8">
        <f t="shared" si="5"/>
        <v>1.7800000000000003E-2</v>
      </c>
      <c r="E213" s="8">
        <v>3.9989999999999998E-2</v>
      </c>
    </row>
    <row r="214" spans="2:5">
      <c r="B214" s="76">
        <v>43830</v>
      </c>
      <c r="C214" s="8">
        <v>5.6160000000000002E-2</v>
      </c>
      <c r="D214" s="8">
        <f t="shared" si="5"/>
        <v>1.9200000000000002E-2</v>
      </c>
      <c r="E214" s="8">
        <v>3.696E-2</v>
      </c>
    </row>
    <row r="215" spans="2:5">
      <c r="B215" s="76">
        <v>43861</v>
      </c>
      <c r="C215" s="8">
        <v>5.6509999999999998E-2</v>
      </c>
      <c r="D215" s="8">
        <f t="shared" si="5"/>
        <v>1.5099999999999995E-2</v>
      </c>
      <c r="E215" s="8">
        <v>4.1410000000000002E-2</v>
      </c>
    </row>
    <row r="216" spans="2:5">
      <c r="B216" s="76">
        <v>43890</v>
      </c>
      <c r="C216" s="8">
        <v>5.6239999999999998E-2</v>
      </c>
      <c r="D216" s="8">
        <f t="shared" si="5"/>
        <v>1.1299999999999998E-2</v>
      </c>
      <c r="E216" s="8">
        <v>4.4940000000000001E-2</v>
      </c>
    </row>
    <row r="217" spans="2:5">
      <c r="B217" s="76">
        <v>43921</v>
      </c>
      <c r="C217" s="8">
        <v>7.7210000000000001E-2</v>
      </c>
      <c r="D217" s="8">
        <f t="shared" si="5"/>
        <v>7.0000000000000062E-3</v>
      </c>
      <c r="E217" s="8">
        <v>7.0209999999999995E-2</v>
      </c>
    </row>
    <row r="218" spans="2:5">
      <c r="B218" s="76">
        <v>43951</v>
      </c>
      <c r="C218" s="8">
        <v>6.2399999999999997E-2</v>
      </c>
      <c r="D218" s="8">
        <f t="shared" si="5"/>
        <v>6.399999999999996E-3</v>
      </c>
      <c r="E218" s="8">
        <v>5.6000000000000001E-2</v>
      </c>
    </row>
    <row r="219" spans="2:5">
      <c r="B219" s="76">
        <v>43982</v>
      </c>
      <c r="C219" s="8">
        <v>5.885E-2</v>
      </c>
      <c r="D219" s="8">
        <f t="shared" si="5"/>
        <v>6.4999999999999988E-3</v>
      </c>
      <c r="E219" s="8">
        <v>5.2350000000000001E-2</v>
      </c>
    </row>
    <row r="220" spans="2:5">
      <c r="B220" s="76">
        <v>44012</v>
      </c>
      <c r="C220" s="8">
        <v>5.3400000000000003E-2</v>
      </c>
      <c r="D220" s="8">
        <f t="shared" si="5"/>
        <v>6.6000000000000017E-3</v>
      </c>
      <c r="E220" s="8">
        <v>4.6800000000000001E-2</v>
      </c>
    </row>
    <row r="221" spans="2:5">
      <c r="B221" s="76">
        <v>44043</v>
      </c>
      <c r="C221" s="8">
        <v>5.212E-2</v>
      </c>
      <c r="D221" s="8">
        <f t="shared" si="5"/>
        <v>5.4999999999999979E-3</v>
      </c>
      <c r="E221" s="8">
        <v>4.6620000000000002E-2</v>
      </c>
    </row>
    <row r="222" spans="2:5">
      <c r="B222" s="76">
        <v>44074</v>
      </c>
      <c r="C222" s="8">
        <v>5.0689999999999999E-2</v>
      </c>
      <c r="D222" s="8">
        <f t="shared" si="5"/>
        <v>7.1999999999999981E-3</v>
      </c>
      <c r="E222" s="8">
        <v>4.3490000000000001E-2</v>
      </c>
    </row>
    <row r="223" spans="2:5">
      <c r="B223" s="76">
        <v>44104</v>
      </c>
      <c r="C223" s="8">
        <v>5.0860000000000002E-2</v>
      </c>
      <c r="D223" s="8">
        <f t="shared" si="5"/>
        <v>6.9000000000000034E-3</v>
      </c>
      <c r="E223" s="8">
        <v>4.3959999999999999E-2</v>
      </c>
    </row>
    <row r="224" spans="2:5">
      <c r="B224" s="76">
        <v>44135</v>
      </c>
      <c r="C224" s="8">
        <v>5.0110000000000002E-2</v>
      </c>
      <c r="D224" s="8">
        <f t="shared" si="5"/>
        <v>8.8000000000000023E-3</v>
      </c>
      <c r="E224" s="8">
        <v>4.1309999999999999E-2</v>
      </c>
    </row>
    <row r="225" spans="2:5">
      <c r="B225" s="76">
        <v>44165</v>
      </c>
      <c r="C225" s="8">
        <v>4.9000000000000002E-2</v>
      </c>
      <c r="D225" s="8">
        <f t="shared" si="5"/>
        <v>8.4000000000000047E-3</v>
      </c>
      <c r="E225" s="8">
        <v>4.0599999999999997E-2</v>
      </c>
    </row>
    <row r="226" spans="2:5">
      <c r="B226" s="76">
        <v>44196</v>
      </c>
      <c r="C226" s="8">
        <v>4.7079999999999997E-2</v>
      </c>
      <c r="D226" s="8">
        <f t="shared" si="5"/>
        <v>9.2999999999999958E-3</v>
      </c>
      <c r="E226" s="8">
        <v>3.7780000000000001E-2</v>
      </c>
    </row>
    <row r="227" spans="2:5">
      <c r="B227" s="76">
        <v>44227</v>
      </c>
      <c r="C227" s="8">
        <v>4.6780000000000002E-2</v>
      </c>
      <c r="D227" s="8">
        <f t="shared" si="5"/>
        <v>1.1099999999999999E-2</v>
      </c>
      <c r="E227" s="8">
        <v>3.5680000000000003E-2</v>
      </c>
    </row>
    <row r="228" spans="2:5">
      <c r="B228" s="76">
        <v>44255</v>
      </c>
      <c r="C228" s="8">
        <v>4.863E-2</v>
      </c>
      <c r="D228" s="8">
        <f t="shared" si="5"/>
        <v>1.4400000000000003E-2</v>
      </c>
      <c r="E228" s="8">
        <v>3.4229999999999997E-2</v>
      </c>
    </row>
    <row r="229" spans="2:5">
      <c r="B229" s="76">
        <v>44286</v>
      </c>
      <c r="C229" s="8">
        <v>4.9209999999999997E-2</v>
      </c>
      <c r="D229" s="8">
        <f t="shared" si="5"/>
        <v>1.7399999999999999E-2</v>
      </c>
      <c r="E229" s="8">
        <v>3.1809999999999998E-2</v>
      </c>
    </row>
    <row r="230" spans="2:5">
      <c r="B230" s="76">
        <v>44316</v>
      </c>
      <c r="C230" s="8">
        <v>4.8349999999999997E-2</v>
      </c>
      <c r="D230" s="8">
        <f t="shared" si="5"/>
        <v>1.6499999999999994E-2</v>
      </c>
      <c r="E230" s="8">
        <v>3.1850000000000003E-2</v>
      </c>
    </row>
    <row r="231" spans="2:5">
      <c r="B231" s="76">
        <v>44347</v>
      </c>
      <c r="C231" s="8">
        <v>5.0209999999999998E-2</v>
      </c>
      <c r="D231" s="8">
        <f t="shared" si="5"/>
        <v>1.5799999999999995E-2</v>
      </c>
      <c r="E231" s="8">
        <v>3.4410000000000003E-2</v>
      </c>
    </row>
    <row r="232" spans="2:5">
      <c r="B232" s="76">
        <v>44377</v>
      </c>
      <c r="C232" s="8">
        <v>4.888E-2</v>
      </c>
      <c r="D232" s="8">
        <f t="shared" si="5"/>
        <v>1.4499999999999999E-2</v>
      </c>
      <c r="E232" s="8">
        <v>3.4380000000000001E-2</v>
      </c>
    </row>
    <row r="233" spans="2:5">
      <c r="B233" s="76">
        <v>44408</v>
      </c>
      <c r="C233" s="8">
        <v>4.8259999999999997E-2</v>
      </c>
      <c r="D233" s="8">
        <f t="shared" si="5"/>
        <v>1.2399999999999994E-2</v>
      </c>
      <c r="E233" s="8">
        <v>3.5860000000000003E-2</v>
      </c>
    </row>
    <row r="234" spans="2:5">
      <c r="B234" s="76">
        <v>44439</v>
      </c>
      <c r="C234" s="8">
        <v>4.913E-2</v>
      </c>
      <c r="D234" s="8">
        <f t="shared" si="5"/>
        <v>1.2999999999999998E-2</v>
      </c>
      <c r="E234" s="8">
        <v>3.6130000000000002E-2</v>
      </c>
    </row>
    <row r="235" spans="2:5">
      <c r="B235" s="76">
        <v>44469</v>
      </c>
      <c r="C235" s="8">
        <v>4.8439999999999997E-2</v>
      </c>
      <c r="D235" s="8">
        <f t="shared" si="5"/>
        <v>1.5199999999999998E-2</v>
      </c>
      <c r="E235" s="8">
        <v>3.3239999999999999E-2</v>
      </c>
    </row>
    <row r="236" spans="2:5">
      <c r="B236" s="76">
        <v>44500</v>
      </c>
      <c r="C236" s="8">
        <v>5.0169999999999999E-2</v>
      </c>
      <c r="D236" s="8">
        <f t="shared" si="5"/>
        <v>1.55E-2</v>
      </c>
      <c r="E236" s="8">
        <v>3.4669999999999999E-2</v>
      </c>
    </row>
    <row r="237" spans="2:5">
      <c r="B237" s="76">
        <v>44530</v>
      </c>
      <c r="C237" s="8">
        <v>4.7070000000000001E-2</v>
      </c>
      <c r="D237" s="8">
        <f t="shared" si="5"/>
        <v>1.43E-2</v>
      </c>
      <c r="E237" s="8">
        <v>3.2770000000000001E-2</v>
      </c>
    </row>
    <row r="238" spans="2:5">
      <c r="B238" s="76">
        <v>44561</v>
      </c>
      <c r="C238" s="8">
        <v>4.8079999999999998E-2</v>
      </c>
      <c r="D238" s="8">
        <f t="shared" si="5"/>
        <v>1.5199999999999998E-2</v>
      </c>
      <c r="E238" s="8">
        <v>3.288E-2</v>
      </c>
    </row>
    <row r="239" spans="2:5">
      <c r="B239" s="76">
        <v>44592</v>
      </c>
      <c r="C239" s="8">
        <v>5.1729999999999998E-2</v>
      </c>
      <c r="D239" s="8">
        <f t="shared" si="5"/>
        <v>1.7899999999999999E-2</v>
      </c>
      <c r="E239" s="8">
        <v>3.3829999999999999E-2</v>
      </c>
    </row>
    <row r="240" spans="2:5">
      <c r="B240" s="76">
        <v>44620</v>
      </c>
      <c r="C240" s="8">
        <v>5.2990000000000002E-2</v>
      </c>
      <c r="D240" s="8">
        <f t="shared" si="5"/>
        <v>1.8300000000000004E-2</v>
      </c>
      <c r="E240" s="8">
        <v>3.4689999999999999E-2</v>
      </c>
    </row>
    <row r="241" spans="2:5">
      <c r="B241" s="76">
        <v>44651</v>
      </c>
      <c r="C241" s="8">
        <v>5.5289999999999999E-2</v>
      </c>
      <c r="D241" s="8">
        <f t="shared" si="5"/>
        <v>2.3199999999999998E-2</v>
      </c>
      <c r="E241" s="8">
        <v>3.209E-2</v>
      </c>
    </row>
    <row r="242" spans="2:5">
      <c r="B242" s="76">
        <v>44681</v>
      </c>
      <c r="C242" s="8">
        <v>5.9859999999999997E-2</v>
      </c>
      <c r="D242" s="8">
        <f t="shared" si="5"/>
        <v>2.8899999999999995E-2</v>
      </c>
      <c r="E242" s="8">
        <v>3.0960000000000001E-2</v>
      </c>
    </row>
    <row r="243" spans="2:5">
      <c r="B243" s="76">
        <v>44712</v>
      </c>
      <c r="C243" s="8">
        <v>6.6839999999999997E-2</v>
      </c>
      <c r="D243" s="8">
        <f t="shared" si="5"/>
        <v>2.8499999999999998E-2</v>
      </c>
      <c r="E243" s="8">
        <v>3.8339999999999999E-2</v>
      </c>
    </row>
    <row r="244" spans="2:5">
      <c r="B244" s="76">
        <v>44742</v>
      </c>
      <c r="C244" s="8">
        <v>6.9449999999999998E-2</v>
      </c>
      <c r="D244" s="8">
        <f t="shared" si="5"/>
        <v>2.98E-2</v>
      </c>
      <c r="E244" s="8">
        <v>3.9649999999999998E-2</v>
      </c>
    </row>
    <row r="245" spans="2:5">
      <c r="B245" s="76">
        <v>44773</v>
      </c>
      <c r="C245" s="8">
        <v>6.7080000000000001E-2</v>
      </c>
      <c r="D245" s="8">
        <f t="shared" si="5"/>
        <v>2.6700000000000002E-2</v>
      </c>
      <c r="E245" s="8">
        <v>4.0379999999999999E-2</v>
      </c>
    </row>
    <row r="246" spans="2:5">
      <c r="B246" s="76">
        <v>44804</v>
      </c>
      <c r="C246" s="8">
        <v>6.2920000000000004E-2</v>
      </c>
      <c r="D246" s="8">
        <f t="shared" si="5"/>
        <v>3.1500000000000007E-2</v>
      </c>
      <c r="E246" s="8">
        <v>3.1419999999999997E-2</v>
      </c>
    </row>
    <row r="247" spans="2:5">
      <c r="B247" s="76">
        <v>44834</v>
      </c>
      <c r="C247" s="8">
        <v>7.0989999999999998E-2</v>
      </c>
      <c r="D247" s="8">
        <f t="shared" si="5"/>
        <v>3.8300000000000001E-2</v>
      </c>
      <c r="E247" s="8">
        <v>3.2689999999999997E-2</v>
      </c>
    </row>
    <row r="248" spans="2:5">
      <c r="B248" s="76">
        <v>44865</v>
      </c>
      <c r="C248" s="8">
        <v>7.6365498498738804E-2</v>
      </c>
      <c r="D248" s="8">
        <f t="shared" si="5"/>
        <v>4.1000000000000002E-2</v>
      </c>
      <c r="E248" s="8">
        <v>3.5365498498738802E-2</v>
      </c>
    </row>
    <row r="249" spans="2:5">
      <c r="B249" s="76">
        <v>44895</v>
      </c>
      <c r="C249" s="8">
        <v>6.8506504414004896E-2</v>
      </c>
      <c r="D249" s="8">
        <f t="shared" si="5"/>
        <v>3.6799999999999992E-2</v>
      </c>
      <c r="E249" s="8">
        <v>3.1706504414004903E-2</v>
      </c>
    </row>
    <row r="250" spans="2:5">
      <c r="B250" s="76">
        <v>44926</v>
      </c>
      <c r="C250" s="8">
        <v>6.94606118581471E-2</v>
      </c>
      <c r="D250" s="8">
        <f t="shared" si="5"/>
        <v>3.8800000000000001E-2</v>
      </c>
      <c r="E250" s="8">
        <v>3.0660611858147099E-2</v>
      </c>
    </row>
    <row r="251" spans="2:5">
      <c r="B251" s="76">
        <v>44957</v>
      </c>
      <c r="C251" s="8">
        <v>6.7589119477567905E-2</v>
      </c>
      <c r="D251" s="8">
        <f t="shared" si="5"/>
        <v>3.5200000000000002E-2</v>
      </c>
      <c r="E251" s="8">
        <v>3.2389119477567903E-2</v>
      </c>
    </row>
    <row r="252" spans="2:5">
      <c r="B252" s="76">
        <v>44985</v>
      </c>
      <c r="C252" s="8">
        <v>6.9673492553411098E-2</v>
      </c>
      <c r="D252" s="8">
        <f t="shared" si="5"/>
        <v>3.9199999999999999E-2</v>
      </c>
      <c r="E252" s="8">
        <v>3.04734925534111E-2</v>
      </c>
    </row>
    <row r="253" spans="2:5">
      <c r="B253" s="76">
        <v>45016</v>
      </c>
      <c r="C253" s="8">
        <v>7.14872170069345E-2</v>
      </c>
      <c r="D253" s="8">
        <f t="shared" si="5"/>
        <v>3.4799999999999998E-2</v>
      </c>
      <c r="E253" s="8">
        <v>3.6687217006934503E-2</v>
      </c>
    </row>
    <row r="254" spans="2:5">
      <c r="B254" s="76">
        <v>45046</v>
      </c>
      <c r="C254" s="8">
        <v>6.7577942463366097E-2</v>
      </c>
      <c r="D254" s="8">
        <f t="shared" si="5"/>
        <v>3.44E-2</v>
      </c>
      <c r="E254" s="8">
        <v>3.3177942463366097E-2</v>
      </c>
    </row>
    <row r="255" spans="2:5">
      <c r="B255" s="76">
        <v>45077</v>
      </c>
      <c r="C255" s="8">
        <v>6.9036274430879299E-2</v>
      </c>
      <c r="D255" s="8">
        <f t="shared" si="5"/>
        <v>3.6400000000000002E-2</v>
      </c>
      <c r="E255" s="8">
        <v>3.2636274430879297E-2</v>
      </c>
    </row>
    <row r="256" spans="2:5">
      <c r="B256" s="76">
        <v>45107</v>
      </c>
      <c r="C256" s="8">
        <v>6.7903833316118697E-2</v>
      </c>
      <c r="D256" s="8">
        <f t="shared" si="5"/>
        <v>3.8099999999999995E-2</v>
      </c>
      <c r="E256" s="8">
        <v>2.9803833316118699E-2</v>
      </c>
    </row>
    <row r="257" spans="2:5">
      <c r="B257" s="76">
        <v>45138</v>
      </c>
      <c r="C257" s="8">
        <v>6.7124158761038499E-2</v>
      </c>
      <c r="D257" s="8">
        <f t="shared" si="5"/>
        <v>3.9699999999999999E-2</v>
      </c>
      <c r="E257" s="8">
        <v>2.74241587610385E-2</v>
      </c>
    </row>
    <row r="258" spans="2:5">
      <c r="B258" s="76">
        <v>45169</v>
      </c>
      <c r="C258" s="8">
        <v>7.0825044758070096E-2</v>
      </c>
      <c r="D258" s="8">
        <f t="shared" si="5"/>
        <v>4.0899999999999992E-2</v>
      </c>
      <c r="E258" s="8">
        <v>2.9925044758070101E-2</v>
      </c>
    </row>
    <row r="259" spans="2:5">
      <c r="B259" s="76">
        <v>45199</v>
      </c>
      <c r="C259" s="8">
        <v>7.3254562306218393E-2</v>
      </c>
      <c r="D259" s="8">
        <f t="shared" si="5"/>
        <v>4.5899999999999996E-2</v>
      </c>
      <c r="E259" s="8">
        <v>2.73545623062184E-2</v>
      </c>
    </row>
    <row r="260" spans="2:5">
      <c r="B260" s="76">
        <v>45230</v>
      </c>
      <c r="C260" s="8">
        <v>7.6696437668733505E-2</v>
      </c>
      <c r="D260" s="8">
        <f t="shared" ref="D260:D288" si="6">C260-E260</f>
        <v>4.880000000000001E-2</v>
      </c>
      <c r="E260" s="8">
        <v>2.7896437668733499E-2</v>
      </c>
    </row>
    <row r="261" spans="2:5">
      <c r="B261" s="76">
        <v>45260</v>
      </c>
      <c r="C261" s="8">
        <v>7.1511854102221203E-2</v>
      </c>
      <c r="D261" s="8">
        <f t="shared" si="6"/>
        <v>4.3700000000000003E-2</v>
      </c>
      <c r="E261" s="8">
        <v>2.7811854102221201E-2</v>
      </c>
    </row>
    <row r="262" spans="2:5">
      <c r="B262" s="76">
        <v>45291</v>
      </c>
      <c r="C262" s="8">
        <v>6.6117278838349502E-2</v>
      </c>
      <c r="D262" s="8">
        <f t="shared" si="6"/>
        <v>3.8800000000000001E-2</v>
      </c>
      <c r="E262" s="8">
        <v>2.7317278838349501E-2</v>
      </c>
    </row>
    <row r="263" spans="2:5">
      <c r="B263" s="76">
        <v>45322</v>
      </c>
      <c r="C263" s="8">
        <v>6.7515661334200699E-2</v>
      </c>
      <c r="D263" s="8">
        <f t="shared" si="6"/>
        <v>3.9899999999999998E-2</v>
      </c>
      <c r="E263" s="8">
        <v>2.7615661334200702E-2</v>
      </c>
    </row>
    <row r="264" spans="2:5">
      <c r="B264" s="76">
        <v>45351</v>
      </c>
      <c r="C264" s="8">
        <v>6.9321884008857998E-2</v>
      </c>
      <c r="D264" s="8">
        <f t="shared" si="6"/>
        <v>4.2499999999999996E-2</v>
      </c>
      <c r="E264" s="8">
        <v>2.6821884008857998E-2</v>
      </c>
    </row>
    <row r="265" spans="2:5">
      <c r="B265" s="76">
        <v>45382</v>
      </c>
      <c r="C265" s="8">
        <v>6.8119582567383402E-2</v>
      </c>
      <c r="D265" s="8">
        <f t="shared" si="6"/>
        <v>4.2000000000000003E-2</v>
      </c>
      <c r="E265" s="8">
        <v>2.61195825673834E-2</v>
      </c>
    </row>
    <row r="266" spans="2:5">
      <c r="B266" s="76">
        <v>45412</v>
      </c>
      <c r="C266" s="8">
        <v>7.2982586687120293E-2</v>
      </c>
      <c r="D266" s="8">
        <f t="shared" si="6"/>
        <v>4.6899999999999997E-2</v>
      </c>
      <c r="E266" s="8">
        <v>2.60825866871203E-2</v>
      </c>
    </row>
    <row r="267" spans="2:5">
      <c r="B267" s="76">
        <v>45443</v>
      </c>
      <c r="C267" s="8">
        <v>6.9785891864086E-2</v>
      </c>
      <c r="D267" s="8">
        <f t="shared" si="6"/>
        <v>4.5100000000000001E-2</v>
      </c>
      <c r="E267" s="8">
        <v>2.4685891864085999E-2</v>
      </c>
    </row>
    <row r="268" spans="2:5">
      <c r="B268" s="76">
        <v>45473</v>
      </c>
      <c r="C268" s="8">
        <v>6.8144903805930204E-2</v>
      </c>
      <c r="D268" s="8">
        <f t="shared" si="6"/>
        <v>4.36E-2</v>
      </c>
      <c r="E268" s="8">
        <v>2.4544903805930201E-2</v>
      </c>
    </row>
    <row r="269" spans="2:5">
      <c r="B269" s="76">
        <v>45504</v>
      </c>
      <c r="C269" s="8">
        <v>6.5995375415987795E-2</v>
      </c>
      <c r="D269" s="8">
        <f t="shared" si="6"/>
        <v>4.0899999999999992E-2</v>
      </c>
      <c r="E269" s="8">
        <v>2.5095375415987799E-2</v>
      </c>
    </row>
    <row r="270" spans="2:5">
      <c r="B270" s="76">
        <v>45535</v>
      </c>
      <c r="C270" s="8">
        <v>6.5880194132345596E-2</v>
      </c>
      <c r="D270" s="8">
        <f t="shared" si="6"/>
        <v>3.9099999999999996E-2</v>
      </c>
      <c r="E270" s="8">
        <v>2.67801941323456E-2</v>
      </c>
    </row>
    <row r="271" spans="2:5">
      <c r="B271" s="76">
        <v>45565</v>
      </c>
      <c r="C271" s="8">
        <v>6.3749043512209905E-2</v>
      </c>
      <c r="D271" s="8">
        <f t="shared" si="6"/>
        <v>3.8100000000000009E-2</v>
      </c>
      <c r="E271" s="8">
        <v>2.5649043512209899E-2</v>
      </c>
    </row>
    <row r="272" spans="2:5">
      <c r="B272" s="76">
        <v>45596</v>
      </c>
      <c r="C272" s="8">
        <v>6.5693949845532701E-2</v>
      </c>
      <c r="D272" s="8">
        <f t="shared" si="6"/>
        <v>4.2800000000000005E-2</v>
      </c>
      <c r="E272" s="8">
        <v>2.28939498455327E-2</v>
      </c>
    </row>
    <row r="273" spans="2:5">
      <c r="B273" s="76">
        <v>45626</v>
      </c>
      <c r="C273" s="8">
        <v>6.3642879325122803E-2</v>
      </c>
      <c r="D273" s="8">
        <f t="shared" si="6"/>
        <v>4.1800000000000004E-2</v>
      </c>
      <c r="E273" s="8">
        <v>2.1842879325122799E-2</v>
      </c>
    </row>
    <row r="274" spans="2:5">
      <c r="B274" s="76">
        <v>45657</v>
      </c>
      <c r="C274" s="8">
        <v>6.7630135843240999E-2</v>
      </c>
      <c r="D274" s="8">
        <f t="shared" si="6"/>
        <v>4.58E-2</v>
      </c>
      <c r="E274" s="8">
        <v>2.1830135843240998E-2</v>
      </c>
    </row>
    <row r="275" spans="2:5">
      <c r="B275" s="76">
        <v>45688</v>
      </c>
      <c r="C275" s="8">
        <v>6.5590307289406999E-2</v>
      </c>
      <c r="D275" s="8">
        <f t="shared" si="6"/>
        <v>4.58E-2</v>
      </c>
      <c r="E275" s="8">
        <v>1.9790307289406998E-2</v>
      </c>
    </row>
    <row r="276" spans="2:5">
      <c r="B276" s="76">
        <v>45716</v>
      </c>
      <c r="C276" s="8">
        <v>6.6814514764718003E-2</v>
      </c>
      <c r="D276" s="8">
        <f t="shared" si="6"/>
        <v>4.2400000000000007E-2</v>
      </c>
      <c r="E276" s="8">
        <v>2.4414514764717999E-2</v>
      </c>
    </row>
    <row r="277" spans="2:5">
      <c r="B277" s="76">
        <v>45747</v>
      </c>
      <c r="C277" s="8">
        <v>7.0575554006684402E-2</v>
      </c>
      <c r="D277" s="8">
        <f t="shared" si="6"/>
        <v>4.2300000000000004E-2</v>
      </c>
      <c r="E277" s="8">
        <v>2.8275554006684401E-2</v>
      </c>
    </row>
    <row r="278" spans="2:5">
      <c r="B278" s="76">
        <v>45777</v>
      </c>
      <c r="C278" s="8">
        <v>7.27723931243279E-2</v>
      </c>
      <c r="D278" s="8">
        <f t="shared" si="6"/>
        <v>4.1700000000000001E-2</v>
      </c>
      <c r="E278" s="8">
        <v>3.1072393124327899E-2</v>
      </c>
    </row>
    <row r="279" spans="2:5">
      <c r="B279" s="76">
        <v>45808</v>
      </c>
      <c r="C279" s="8">
        <v>6.9002835986139405E-2</v>
      </c>
      <c r="D279" s="8">
        <f t="shared" si="6"/>
        <v>4.41E-2</v>
      </c>
      <c r="E279" s="8">
        <v>2.4902835986139401E-2</v>
      </c>
    </row>
    <row r="280" spans="2:5">
      <c r="B280" s="76">
        <v>45838</v>
      </c>
      <c r="C280" s="8">
        <v>6.7088171934049895E-2</v>
      </c>
      <c r="D280" s="8">
        <f t="shared" si="6"/>
        <v>4.2399999999999993E-2</v>
      </c>
      <c r="E280" s="8">
        <v>2.4688171934049902E-2</v>
      </c>
    </row>
    <row r="281" spans="2:5">
      <c r="B281" s="76">
        <v>45869</v>
      </c>
      <c r="C281" s="8">
        <v>6.6424373309865795E-2</v>
      </c>
      <c r="D281" s="8">
        <f t="shared" si="6"/>
        <v>4.3699999999999996E-2</v>
      </c>
      <c r="E281" s="8">
        <v>2.2724373309865799E-2</v>
      </c>
    </row>
    <row r="282" spans="2:5">
      <c r="B282" s="76">
        <v>45900</v>
      </c>
      <c r="C282" s="8">
        <v>6.4690500787076999E-2</v>
      </c>
      <c r="D282" s="8">
        <f t="shared" si="6"/>
        <v>4.2299999999999997E-2</v>
      </c>
      <c r="E282" s="8">
        <v>2.2390500787077001E-2</v>
      </c>
    </row>
    <row r="283" spans="2:5">
      <c r="B283" s="76">
        <v>45930</v>
      </c>
      <c r="C283" s="8">
        <v>6.3725065337127296E-2</v>
      </c>
      <c r="D283" s="8">
        <f t="shared" si="6"/>
        <v>4.1599999999999998E-2</v>
      </c>
      <c r="E283" s="8">
        <v>2.2125065337127301E-2</v>
      </c>
    </row>
    <row r="284" spans="2:5">
      <c r="B284" s="76">
        <v>45961</v>
      </c>
      <c r="C284" s="8">
        <v>6.3856850716502794E-2</v>
      </c>
      <c r="D284" s="8">
        <f t="shared" si="6"/>
        <v>4.1099999999999998E-2</v>
      </c>
      <c r="E284" s="8">
        <v>2.27568507165028E-2</v>
      </c>
    </row>
    <row r="285" spans="2:5">
      <c r="B285" s="76">
        <v>45991</v>
      </c>
      <c r="C285" s="8">
        <v>6.4234514207278506E-2</v>
      </c>
      <c r="D285" s="8">
        <f t="shared" si="6"/>
        <v>4.0200000000000007E-2</v>
      </c>
      <c r="E285" s="8">
        <v>2.40345142072785E-2</v>
      </c>
    </row>
    <row r="286" spans="2:5">
      <c r="B286" s="76">
        <v>46022</v>
      </c>
      <c r="C286" s="8">
        <v>6.5454093421452197E-2</v>
      </c>
      <c r="D286" s="8">
        <f t="shared" si="6"/>
        <v>4.1799999999999997E-2</v>
      </c>
      <c r="E286" s="8">
        <v>2.3654093421452201E-2</v>
      </c>
    </row>
    <row r="287" spans="2:5">
      <c r="B287" s="76">
        <v>46053</v>
      </c>
      <c r="C287" s="8">
        <v>6.5184302760166304E-2</v>
      </c>
      <c r="D287" s="8">
        <f t="shared" si="6"/>
        <v>4.2600000000000006E-2</v>
      </c>
      <c r="E287" s="8">
        <v>2.2584302760166299E-2</v>
      </c>
    </row>
    <row r="288" spans="2:5">
      <c r="B288" s="76">
        <v>46081</v>
      </c>
      <c r="C288" s="8">
        <v>6.7629706695468098E-2</v>
      </c>
      <c r="D288" s="8">
        <f t="shared" si="6"/>
        <v>3.9699999999999999E-2</v>
      </c>
      <c r="E288" s="8">
        <v>2.7929706695468098E-2</v>
      </c>
    </row>
    <row r="289" spans="2:5">
      <c r="B289" s="76">
        <v>46082</v>
      </c>
      <c r="E289" s="8">
        <v>3.7400000000000003E-2</v>
      </c>
    </row>
    <row r="290" spans="2:5">
      <c r="B290" s="76">
        <v>46113</v>
      </c>
      <c r="E290" s="8">
        <v>4.0899999999999999E-2</v>
      </c>
    </row>
    <row r="291" spans="2:5">
      <c r="B291" s="76">
        <v>46143</v>
      </c>
      <c r="E291" s="8">
        <v>3.73E-2</v>
      </c>
    </row>
  </sheetData>
  <mergeCells count="1">
    <mergeCell ref="J2:L2"/>
  </mergeCells>
  <pageMargins left="0.7" right="0.7" top="0.75" bottom="0.75" header="0.3" footer="0.3"/>
  <ignoredErrors>
    <ignoredError sqref="H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Calc</vt:lpstr>
      <vt:lpstr>Yield</vt:lpstr>
      <vt:lpstr>Growth</vt:lpstr>
      <vt:lpstr>RiskPrem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Prakash</dc:creator>
  <cp:lastModifiedBy>Jayaprakash P</cp:lastModifiedBy>
  <dcterms:created xsi:type="dcterms:W3CDTF">2026-05-03T13:17:02Z</dcterms:created>
  <dcterms:modified xsi:type="dcterms:W3CDTF">2026-10-08T06:51:23Z</dcterms:modified>
</cp:coreProperties>
</file>